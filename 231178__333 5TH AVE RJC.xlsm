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ynnwoodroofing.sharepoint.com/sites/Data/Shared Documents/General/001. QUOTES/1. Drafts/333 5TH AVE RJC - 231178/"/>
    </mc:Choice>
  </mc:AlternateContent>
  <xr:revisionPtr revIDLastSave="1450" documentId="13_ncr:1_{09C6D7C8-7A1C-4A88-9B2B-94D118766AC9}" xr6:coauthVersionLast="47" xr6:coauthVersionMax="47" xr10:uidLastSave="{5BFC16A9-4E4E-49A6-88B1-013EE824A2BE}"/>
  <bookViews>
    <workbookView xWindow="-98" yWindow="-98" windowWidth="21795" windowHeight="13875" firstSheet="6" activeTab="6" xr2:uid="{00000000-000D-0000-FFFF-FFFF00000000}"/>
  </bookViews>
  <sheets>
    <sheet name="Summary" sheetId="18" r:id="rId1"/>
    <sheet name="Takeoff" sheetId="1" r:id="rId2"/>
    <sheet name="Flat Roof Summary" sheetId="2" r:id="rId3"/>
    <sheet name="Shingle Summary" sheetId="7" state="hidden" r:id="rId4"/>
    <sheet name="Project" sheetId="6" r:id="rId5"/>
    <sheet name="Customer Book (Sharepoint List)" sheetId="19" state="hidden" r:id="rId6"/>
    <sheet name="Bidmaster" sheetId="3" r:id="rId7"/>
    <sheet name="Dropdown" sheetId="10" r:id="rId8"/>
    <sheet name="Price List" sheetId="15" state="hidden" r:id="rId9"/>
    <sheet name="Historical Burden Rates" sheetId="12" state="hidden" r:id="rId10"/>
  </sheets>
  <definedNames>
    <definedName name="_xleta.ADDRESS" hidden="1" xlm="1">#NAME?</definedName>
    <definedName name="_xleta.AND" hidden="1" xlm="1">#NAME?</definedName>
    <definedName name="_xleta.BASE" hidden="1" xlm="1">#NAME?</definedName>
    <definedName name="_xleta.ROUNDUP" hidden="1" xlm="1">#NAME?</definedName>
    <definedName name="_xlpm.adjustedDates" hidden="1" xlm="1">#NAME?</definedName>
    <definedName name="_xlpm.chosenData" hidden="1" xlm="1">#NAME?</definedName>
    <definedName name="_xlpm.filteredData" hidden="1" xlm="1">#NAME?</definedName>
    <definedName name="Actual">(PeriodInActual*(Project!#REF!&gt;0))*PeriodInPlan</definedName>
    <definedName name="ActualBeyond">PeriodInActual*(Project!#REF!&gt;0)</definedName>
    <definedName name="Category">#REF!</definedName>
    <definedName name="Client_Name">_xlfn._xlws.SORT(_xlfn.UNIQUE(#REF!))</definedName>
    <definedName name="ExternalData_1" localSheetId="5" hidden="1">'Customer Book (Sharepoint List)'!$A$1:$AA$1748</definedName>
    <definedName name="ExternalData_1" localSheetId="8" hidden="1">'Price List'!$A$1:$G$3241</definedName>
    <definedName name="Hours">Project!#REF!</definedName>
    <definedName name="KeywordsRange">'Flat Roof Summary'!$J$18,'Flat Roof Summary'!$J$20:$J$23,'Flat Roof Summary'!$J$25:$J$29,'Flat Roof Summary'!$J$33:$J$39,'Flat Roof Summary'!$J$44</definedName>
    <definedName name="PercentComplete">PercentCompleteBeyond*PeriodInPlan</definedName>
    <definedName name="PercentCompleteBeyond">(Project!A$5=MEDIAN(Project!A$5,Project!#REF!,Project!#REF!+Project!#REF!)*(Project!#REF!&gt;0))*((Project!A$5&lt;(INT(Project!#REF!+Project!#REF!*Project!#REF!)))+(Project!A$5=Project!#REF!))*(Project!#REF!&gt;0)</definedName>
    <definedName name="period_selected">Project!#REF!</definedName>
    <definedName name="PeriodInActual">Project!A$5=MEDIAN(Project!A$5,Project!#REF!,Project!#REF!+Project!#REF!-1)</definedName>
    <definedName name="PeriodInPlan">Project!A$5=MEDIAN(Project!A$5,Project!#REF!,Project!#REF!+Project!$D1-1)</definedName>
    <definedName name="Plan">PeriodInPlan*(Project!#REF!&gt;0)</definedName>
    <definedName name="ProductList_Formula">IFERROR(     _xlfn._xlws.FILTER(#REF!,         (#REF!         =#REF!) * (#REF!=#REF!),         "No Match Found"     ),     "No Match Found" )</definedName>
    <definedName name="Sage">#REF!</definedName>
    <definedName name="ValuesRange">'Flat Roof Summary'!$I$17,'Flat Roof Summary'!$I$18,'Flat Roof Summary'!$I$20:$I$23,'Flat Roof Summary'!$I$25:$I$29,'Flat Roof Summary'!$I$33:$I$39,'Flat Roof Summary'!$I$44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4" i="3" l="1"/>
  <c r="I63" i="3"/>
  <c r="G64" i="3"/>
  <c r="G63" i="3"/>
  <c r="G62" i="3"/>
  <c r="C33" i="6"/>
  <c r="C35" i="3"/>
  <c r="F21" i="2"/>
  <c r="K7" i="3"/>
  <c r="D36" i="12"/>
  <c r="D37" i="12"/>
  <c r="D38" i="12"/>
  <c r="D39" i="12"/>
  <c r="D40" i="12"/>
  <c r="D41" i="12"/>
  <c r="B42" i="12"/>
  <c r="C42" i="12"/>
  <c r="E43" i="12"/>
  <c r="A34" i="2"/>
  <c r="A35" i="2"/>
  <c r="A36" i="2"/>
  <c r="A37" i="2"/>
  <c r="A38" i="2"/>
  <c r="A39" i="2"/>
  <c r="A33" i="2"/>
  <c r="F38" i="2"/>
  <c r="F56" i="2"/>
  <c r="F59" i="2"/>
  <c r="E59" i="2"/>
  <c r="F58" i="2"/>
  <c r="K58" i="2" s="1"/>
  <c r="AJ6" i="10"/>
  <c r="AJ5" i="10"/>
  <c r="F45" i="2"/>
  <c r="AJ4" i="10"/>
  <c r="AJ3" i="10"/>
  <c r="A45" i="2"/>
  <c r="G45" i="2" s="1"/>
  <c r="D247" i="15"/>
  <c r="AJ2" i="10"/>
  <c r="F57" i="2"/>
  <c r="E57" i="2" l="1"/>
  <c r="A57" i="2"/>
  <c r="A56" i="2"/>
  <c r="A59" i="2"/>
  <c r="K59" i="2" l="1"/>
  <c r="K57" i="2"/>
  <c r="H35" i="2" l="1"/>
  <c r="D22" i="6"/>
  <c r="E8" i="18"/>
  <c r="AD1" i="19" a="1"/>
  <c r="AD1" i="19" s="1"/>
  <c r="AC1" i="19" a="1"/>
  <c r="AC1" i="19" s="1"/>
  <c r="A1" i="18" a="1"/>
  <c r="A1" i="18" s="1"/>
  <c r="C2" i="2"/>
  <c r="G35" i="2" l="1"/>
  <c r="F6" i="1"/>
  <c r="A17" i="2"/>
  <c r="G44" i="2"/>
  <c r="F44" i="2"/>
  <c r="B30" i="12"/>
  <c r="B29" i="12"/>
  <c r="B28" i="12"/>
  <c r="B27" i="12"/>
  <c r="B26" i="12"/>
  <c r="B25" i="12"/>
  <c r="C31" i="12"/>
  <c r="F27" i="2"/>
  <c r="F26" i="2"/>
  <c r="F25" i="2"/>
  <c r="K66" i="2"/>
  <c r="A100" i="2"/>
  <c r="G100" i="2" s="1"/>
  <c r="A99" i="2"/>
  <c r="G99" i="2" s="1"/>
  <c r="A80" i="2"/>
  <c r="H80" i="2" s="1"/>
  <c r="A74" i="2"/>
  <c r="H74" i="2" s="1"/>
  <c r="A73" i="2"/>
  <c r="H73" i="2" s="1"/>
  <c r="A70" i="2"/>
  <c r="H70" i="2" s="1"/>
  <c r="G36" i="2"/>
  <c r="A93" i="2"/>
  <c r="G93" i="2" s="1"/>
  <c r="A94" i="2"/>
  <c r="G94" i="2" s="1"/>
  <c r="H61" i="2"/>
  <c r="H21" i="2"/>
  <c r="A121" i="2"/>
  <c r="H121" i="2" s="1"/>
  <c r="F91" i="2"/>
  <c r="G70" i="2"/>
  <c r="F119" i="2" a="1"/>
  <c r="F119" i="2" s="1"/>
  <c r="F100" i="2"/>
  <c r="F93" i="2"/>
  <c r="F92" i="2"/>
  <c r="F90" i="2"/>
  <c r="A64" i="2"/>
  <c r="G64" i="2" s="1"/>
  <c r="F77" i="2"/>
  <c r="F75" i="2"/>
  <c r="F74" i="2"/>
  <c r="F49" i="2"/>
  <c r="AE5" i="10"/>
  <c r="AE3" i="10"/>
  <c r="AE14" i="10"/>
  <c r="AE2" i="10"/>
  <c r="A87" i="2"/>
  <c r="A68" i="2"/>
  <c r="G68" i="2" s="1"/>
  <c r="A65" i="2"/>
  <c r="H65" i="2" s="1"/>
  <c r="A43" i="2"/>
  <c r="G43" i="2" s="1"/>
  <c r="A42" i="2"/>
  <c r="A41" i="2"/>
  <c r="G41" i="2" s="1"/>
  <c r="G38" i="2"/>
  <c r="G39" i="2"/>
  <c r="G37" i="2"/>
  <c r="G34" i="2"/>
  <c r="G33" i="2"/>
  <c r="A32" i="2"/>
  <c r="G32" i="2" s="1"/>
  <c r="A29" i="2"/>
  <c r="G29" i="2" s="1"/>
  <c r="A31" i="2"/>
  <c r="G31" i="2" s="1"/>
  <c r="A28" i="2"/>
  <c r="G28" i="2" s="1"/>
  <c r="A27" i="2"/>
  <c r="G27" i="2" s="1"/>
  <c r="A26" i="2"/>
  <c r="G26" i="2" s="1"/>
  <c r="A25" i="2"/>
  <c r="G25" i="2" s="1"/>
  <c r="A23" i="2"/>
  <c r="G23" i="2" s="1"/>
  <c r="A22" i="2"/>
  <c r="G22" i="2" s="1"/>
  <c r="A20" i="2"/>
  <c r="G20" i="2" s="1"/>
  <c r="A54" i="2"/>
  <c r="H54" i="2" s="1"/>
  <c r="A53" i="2"/>
  <c r="H53" i="2" s="1"/>
  <c r="A50" i="2"/>
  <c r="A49" i="2"/>
  <c r="G49" i="2" s="1"/>
  <c r="R9" i="2" a="1"/>
  <c r="R9" i="2" s="1"/>
  <c r="G53" i="2" l="1"/>
  <c r="G54" i="2"/>
  <c r="G74" i="2"/>
  <c r="H99" i="2"/>
  <c r="H100" i="2"/>
  <c r="B31" i="12"/>
  <c r="E32" i="12" s="1"/>
  <c r="H22" i="2"/>
  <c r="H33" i="2"/>
  <c r="H27" i="2"/>
  <c r="H42" i="2"/>
  <c r="H43" i="2"/>
  <c r="G121" i="2"/>
  <c r="H68" i="2"/>
  <c r="G65" i="2"/>
  <c r="H39" i="2"/>
  <c r="H38" i="2"/>
  <c r="H37" i="2"/>
  <c r="H36" i="2"/>
  <c r="H34" i="2"/>
  <c r="H29" i="2"/>
  <c r="H28" i="2"/>
  <c r="K27" i="2"/>
  <c r="H26" i="2"/>
  <c r="K26" i="2"/>
  <c r="K25" i="2"/>
  <c r="H25" i="2"/>
  <c r="H23" i="2"/>
  <c r="H20" i="2"/>
  <c r="G80" i="2"/>
  <c r="G73" i="2"/>
  <c r="H17" i="2"/>
  <c r="G87" i="2"/>
  <c r="F70" i="2"/>
  <c r="F69" i="2"/>
  <c r="D20" i="12"/>
  <c r="C20" i="12"/>
  <c r="B20" i="12"/>
  <c r="E21" i="12" s="1"/>
  <c r="D9" i="12" l="1"/>
  <c r="C9" i="12"/>
  <c r="B8" i="12"/>
  <c r="B7" i="12"/>
  <c r="B6" i="12"/>
  <c r="B5" i="12"/>
  <c r="B4" i="12"/>
  <c r="B3" i="12"/>
  <c r="B9" i="12" s="1"/>
  <c r="E10" i="12" s="1"/>
  <c r="C39" i="6" l="1" a="1"/>
  <c r="C39" i="6" s="1"/>
  <c r="N62" i="1"/>
  <c r="O62" i="1" s="1"/>
  <c r="N63" i="1"/>
  <c r="O63" i="1" s="1"/>
  <c r="N64" i="1"/>
  <c r="O64" i="1" s="1"/>
  <c r="N61" i="1"/>
  <c r="P61" i="1"/>
  <c r="O61" i="1"/>
  <c r="P64" i="1"/>
  <c r="P63" i="1"/>
  <c r="P62" i="1"/>
  <c r="F52" i="3"/>
  <c r="F46" i="3"/>
  <c r="G42" i="3"/>
  <c r="G41" i="3"/>
  <c r="G40" i="3"/>
  <c r="G39" i="3"/>
  <c r="G38" i="3"/>
  <c r="G37" i="3"/>
  <c r="G36" i="3"/>
  <c r="G35" i="3"/>
  <c r="G34" i="3"/>
  <c r="G33" i="3"/>
  <c r="G32" i="3"/>
  <c r="E31" i="3"/>
  <c r="E29" i="3"/>
  <c r="F11" i="3"/>
  <c r="N37" i="6"/>
  <c r="N36" i="6"/>
  <c r="N33" i="6"/>
  <c r="C35" i="6" s="1"/>
  <c r="D35" i="6" s="1"/>
  <c r="N22" i="6"/>
  <c r="N20" i="6" a="1"/>
  <c r="N20" i="6" s="1"/>
  <c r="C36" i="6" s="1"/>
  <c r="D36" i="6" s="1"/>
  <c r="L16" i="6"/>
  <c r="L15" i="6"/>
  <c r="L14" i="6"/>
  <c r="Y13" i="6"/>
  <c r="L13" i="6"/>
  <c r="L12" i="6"/>
  <c r="L11" i="6"/>
  <c r="L10" i="6"/>
  <c r="L9" i="6"/>
  <c r="L8" i="6"/>
  <c r="H37" i="7"/>
  <c r="D37" i="7"/>
  <c r="H36" i="7"/>
  <c r="H35" i="7"/>
  <c r="H34" i="7"/>
  <c r="H33" i="7"/>
  <c r="H32" i="7"/>
  <c r="H31" i="7"/>
  <c r="E31" i="7"/>
  <c r="D31" i="7"/>
  <c r="H30" i="7"/>
  <c r="D30" i="7"/>
  <c r="D29" i="7"/>
  <c r="H28" i="7"/>
  <c r="E28" i="7"/>
  <c r="H27" i="7"/>
  <c r="H25" i="7"/>
  <c r="H24" i="7"/>
  <c r="H23" i="7"/>
  <c r="H22" i="7"/>
  <c r="H21" i="7"/>
  <c r="H20" i="7"/>
  <c r="H19" i="7"/>
  <c r="H18" i="7"/>
  <c r="H17" i="7"/>
  <c r="E17" i="7"/>
  <c r="H16" i="7"/>
  <c r="E16" i="7"/>
  <c r="D16" i="7"/>
  <c r="H15" i="7"/>
  <c r="E15" i="7"/>
  <c r="D15" i="7"/>
  <c r="H14" i="7"/>
  <c r="E14" i="7"/>
  <c r="C14" i="7"/>
  <c r="H13" i="7"/>
  <c r="E13" i="7"/>
  <c r="H12" i="7"/>
  <c r="E12" i="7"/>
  <c r="D10" i="7"/>
  <c r="H9" i="7"/>
  <c r="E9" i="7"/>
  <c r="B5" i="7"/>
  <c r="D13" i="7" s="1"/>
  <c r="B3" i="7"/>
  <c r="K119" i="2"/>
  <c r="K118" i="2"/>
  <c r="E118" i="2"/>
  <c r="K117" i="2"/>
  <c r="K116" i="2"/>
  <c r="K115" i="2"/>
  <c r="E115" i="2"/>
  <c r="F109" i="2"/>
  <c r="K109" i="2" s="1"/>
  <c r="C109" i="2"/>
  <c r="F108" i="2"/>
  <c r="K108" i="2" s="1"/>
  <c r="C108" i="2"/>
  <c r="F107" i="2"/>
  <c r="K107" i="2" s="1"/>
  <c r="C107" i="2"/>
  <c r="F106" i="2"/>
  <c r="K106" i="2" s="1"/>
  <c r="C106" i="2"/>
  <c r="F104" i="2"/>
  <c r="K104" i="2" s="1"/>
  <c r="C104" i="2"/>
  <c r="F103" i="2"/>
  <c r="K103" i="2" s="1"/>
  <c r="K100" i="2"/>
  <c r="A97" i="2"/>
  <c r="A96" i="2"/>
  <c r="A92" i="2"/>
  <c r="G92" i="2" s="1"/>
  <c r="K91" i="2"/>
  <c r="K90" i="2"/>
  <c r="K88" i="2"/>
  <c r="C84" i="2"/>
  <c r="A79" i="2"/>
  <c r="A77" i="2"/>
  <c r="A76" i="2"/>
  <c r="K75" i="2"/>
  <c r="K74" i="2"/>
  <c r="K70" i="2"/>
  <c r="K69" i="2"/>
  <c r="C61" i="2"/>
  <c r="E55" i="2"/>
  <c r="F55" i="2" s="1"/>
  <c r="A55" i="2"/>
  <c r="G55" i="2" s="1"/>
  <c r="D54" i="2"/>
  <c r="F53" i="2"/>
  <c r="E50" i="2"/>
  <c r="F50" i="2" s="1"/>
  <c r="K45" i="2"/>
  <c r="K44" i="2"/>
  <c r="F21" i="3" s="1"/>
  <c r="G21" i="3" s="1"/>
  <c r="F32" i="2"/>
  <c r="E31" i="2"/>
  <c r="Z9" i="2" a="1"/>
  <c r="Z9" i="2" s="1"/>
  <c r="G83" i="1"/>
  <c r="G82" i="1"/>
  <c r="G81" i="1"/>
  <c r="G80" i="1"/>
  <c r="G79" i="1"/>
  <c r="F121" i="2" s="1"/>
  <c r="K121" i="2" s="1"/>
  <c r="H76" i="1"/>
  <c r="H75" i="1"/>
  <c r="H74" i="1"/>
  <c r="H73" i="1"/>
  <c r="H72" i="1"/>
  <c r="H71" i="1"/>
  <c r="H70" i="1"/>
  <c r="H69" i="1"/>
  <c r="H68" i="1"/>
  <c r="G64" i="1"/>
  <c r="M64" i="1" s="1"/>
  <c r="G63" i="1"/>
  <c r="M63" i="1" s="1"/>
  <c r="G62" i="1"/>
  <c r="M62" i="1" s="1"/>
  <c r="G61" i="1"/>
  <c r="M61" i="1" s="1"/>
  <c r="F58" i="1"/>
  <c r="R57" i="1"/>
  <c r="Q57" i="1"/>
  <c r="P57" i="1"/>
  <c r="O57" i="1"/>
  <c r="N57" i="1"/>
  <c r="M57" i="1"/>
  <c r="K57" i="1"/>
  <c r="H57" i="1"/>
  <c r="G57" i="1"/>
  <c r="R56" i="1"/>
  <c r="Q56" i="1"/>
  <c r="P56" i="1"/>
  <c r="O56" i="1"/>
  <c r="N56" i="1"/>
  <c r="M56" i="1"/>
  <c r="K56" i="1"/>
  <c r="H56" i="1"/>
  <c r="G56" i="1"/>
  <c r="R55" i="1"/>
  <c r="K55" i="1"/>
  <c r="H55" i="1"/>
  <c r="P55" i="1" s="1"/>
  <c r="Q55" i="1" s="1"/>
  <c r="G55" i="1"/>
  <c r="O55" i="1" s="1"/>
  <c r="R54" i="1"/>
  <c r="K54" i="1"/>
  <c r="H54" i="1"/>
  <c r="P54" i="1" s="1"/>
  <c r="Q54" i="1" s="1"/>
  <c r="G54" i="1"/>
  <c r="N54" i="1" s="1"/>
  <c r="R53" i="1"/>
  <c r="K53" i="1"/>
  <c r="H53" i="1"/>
  <c r="P53" i="1" s="1"/>
  <c r="G53" i="1"/>
  <c r="H48" i="1"/>
  <c r="F48" i="1"/>
  <c r="F50" i="1" s="1"/>
  <c r="F47" i="1"/>
  <c r="H46" i="1"/>
  <c r="F46" i="1"/>
  <c r="F45" i="1"/>
  <c r="H44" i="1"/>
  <c r="F44" i="1"/>
  <c r="H43" i="1"/>
  <c r="F43" i="1"/>
  <c r="F42" i="1"/>
  <c r="F41" i="1"/>
  <c r="G37" i="1"/>
  <c r="I36" i="1"/>
  <c r="H36" i="1"/>
  <c r="G36" i="1"/>
  <c r="I35" i="1"/>
  <c r="H35" i="1"/>
  <c r="G35" i="1"/>
  <c r="I34" i="1"/>
  <c r="H34" i="1"/>
  <c r="G34" i="1"/>
  <c r="I33" i="1"/>
  <c r="H33" i="1"/>
  <c r="G33" i="1"/>
  <c r="I32" i="1"/>
  <c r="H32" i="1"/>
  <c r="G32" i="1"/>
  <c r="F28" i="1"/>
  <c r="F27" i="1"/>
  <c r="E27" i="1"/>
  <c r="D27" i="1"/>
  <c r="F25" i="1"/>
  <c r="F24" i="1"/>
  <c r="F23" i="1"/>
  <c r="F22" i="1"/>
  <c r="F21" i="1"/>
  <c r="F20" i="1"/>
  <c r="E13" i="1"/>
  <c r="D13" i="1"/>
  <c r="N11" i="1"/>
  <c r="K11" i="1"/>
  <c r="F11" i="1"/>
  <c r="N10" i="1"/>
  <c r="K10" i="1"/>
  <c r="F10" i="1"/>
  <c r="N9" i="1"/>
  <c r="K9" i="1"/>
  <c r="F9" i="1"/>
  <c r="N8" i="1"/>
  <c r="K8" i="1"/>
  <c r="F8" i="1"/>
  <c r="N7" i="1"/>
  <c r="K7" i="1"/>
  <c r="F7" i="1"/>
  <c r="F13" i="1" s="1"/>
  <c r="K21" i="2" s="1"/>
  <c r="N6" i="1"/>
  <c r="K6" i="1"/>
  <c r="N5" i="1"/>
  <c r="K5" i="1"/>
  <c r="E58" i="2" l="1"/>
  <c r="E32" i="2"/>
  <c r="E56" i="2"/>
  <c r="K56" i="2" s="1"/>
  <c r="E37" i="2"/>
  <c r="G76" i="2"/>
  <c r="H76" i="2"/>
  <c r="G79" i="2"/>
  <c r="H79" i="2"/>
  <c r="G96" i="2"/>
  <c r="H96" i="2"/>
  <c r="K97" i="2"/>
  <c r="G97" i="2"/>
  <c r="H97" i="2"/>
  <c r="G77" i="2"/>
  <c r="K77" i="2" s="1"/>
  <c r="H77" i="2"/>
  <c r="E72" i="2"/>
  <c r="F72" i="2" s="1"/>
  <c r="F23" i="2"/>
  <c r="K23" i="2" s="1"/>
  <c r="F20" i="2"/>
  <c r="K20" i="2" s="1"/>
  <c r="F22" i="2"/>
  <c r="K22" i="2" s="1"/>
  <c r="K72" i="2"/>
  <c r="E91" i="2"/>
  <c r="E48" i="2"/>
  <c r="F48" i="2" s="1"/>
  <c r="K48" i="2" s="1"/>
  <c r="K92" i="2"/>
  <c r="K93" i="2"/>
  <c r="E69" i="2"/>
  <c r="F52" i="2"/>
  <c r="K52" i="2" s="1"/>
  <c r="E53" i="2"/>
  <c r="E64" i="2"/>
  <c r="F64" i="2" s="1"/>
  <c r="K64" i="2" s="1"/>
  <c r="F14" i="1"/>
  <c r="N13" i="6" s="1"/>
  <c r="E28" i="2"/>
  <c r="F28" i="2" s="1"/>
  <c r="K28" i="2" s="1"/>
  <c r="E70" i="2"/>
  <c r="E41" i="2"/>
  <c r="E68" i="2"/>
  <c r="E100" i="2"/>
  <c r="E27" i="2"/>
  <c r="E65" i="2"/>
  <c r="F65" i="2" s="1"/>
  <c r="K65" i="2" s="1"/>
  <c r="E87" i="2"/>
  <c r="E25" i="2"/>
  <c r="E43" i="2"/>
  <c r="F43" i="2" s="1"/>
  <c r="E26" i="2"/>
  <c r="N25" i="6" a="1"/>
  <c r="N25" i="6" s="1"/>
  <c r="O54" i="1"/>
  <c r="K32" i="2"/>
  <c r="E54" i="2"/>
  <c r="F54" i="2" s="1"/>
  <c r="K54" i="2" s="1"/>
  <c r="H84" i="2"/>
  <c r="G84" i="2"/>
  <c r="K53" i="2"/>
  <c r="F20" i="3"/>
  <c r="G20" i="3" s="1"/>
  <c r="K49" i="2"/>
  <c r="K50" i="2"/>
  <c r="I127" i="2"/>
  <c r="L17" i="6"/>
  <c r="I46" i="2"/>
  <c r="K31" i="2"/>
  <c r="K55" i="2"/>
  <c r="N65" i="1"/>
  <c r="F113" i="2" s="1"/>
  <c r="M65" i="1"/>
  <c r="E113" i="2" s="1"/>
  <c r="K113" i="2" s="1"/>
  <c r="O65" i="1"/>
  <c r="N44" i="6" s="1"/>
  <c r="M54" i="1"/>
  <c r="O53" i="1"/>
  <c r="M53" i="1"/>
  <c r="K95" i="2"/>
  <c r="E111" i="2"/>
  <c r="F111" i="2" s="1"/>
  <c r="K111" i="2" s="1"/>
  <c r="E90" i="2"/>
  <c r="N53" i="1"/>
  <c r="N58" i="1" s="1"/>
  <c r="E39" i="2" s="1"/>
  <c r="F39" i="2" s="1"/>
  <c r="N26" i="6" a="1"/>
  <c r="N26" i="6" s="1"/>
  <c r="N27" i="6" a="1"/>
  <c r="N27" i="6" s="1"/>
  <c r="N28" i="6" a="1"/>
  <c r="N28" i="6" s="1"/>
  <c r="M55" i="1"/>
  <c r="N55" i="1"/>
  <c r="N30" i="6" a="1"/>
  <c r="N30" i="6" s="1"/>
  <c r="P58" i="1"/>
  <c r="E112" i="2" s="1"/>
  <c r="F112" i="2" s="1"/>
  <c r="K112" i="2" s="1"/>
  <c r="N29" i="6" a="1"/>
  <c r="N29" i="6" s="1"/>
  <c r="Q53" i="1"/>
  <c r="F19" i="3"/>
  <c r="G19" i="3" s="1"/>
  <c r="D18" i="7"/>
  <c r="E10" i="7"/>
  <c r="D33" i="7"/>
  <c r="D9" i="7"/>
  <c r="D19" i="7"/>
  <c r="D11" i="7"/>
  <c r="D34" i="7"/>
  <c r="D17" i="7"/>
  <c r="E11" i="7"/>
  <c r="D12" i="7"/>
  <c r="D36" i="7"/>
  <c r="D20" i="7"/>
  <c r="E10" i="3"/>
  <c r="G10" i="3" s="1"/>
  <c r="D39" i="6"/>
  <c r="N43" i="6"/>
  <c r="F94" i="2" l="1"/>
  <c r="F95" i="2" s="1"/>
  <c r="F37" i="2"/>
  <c r="K37" i="2" s="1"/>
  <c r="F41" i="2"/>
  <c r="H41" i="2" s="1"/>
  <c r="G13" i="18" a="1"/>
  <c r="G13" i="18" s="1"/>
  <c r="H13" i="18" a="1"/>
  <c r="H13" i="18" s="1"/>
  <c r="F13" i="18" a="1"/>
  <c r="F13" i="18" s="1"/>
  <c r="E5" i="2" a="1"/>
  <c r="E5" i="2" s="1"/>
  <c r="F68" i="2"/>
  <c r="E73" i="2" s="1"/>
  <c r="F73" i="2" s="1"/>
  <c r="K43" i="2"/>
  <c r="F87" i="2"/>
  <c r="G5" i="2" a="1"/>
  <c r="G5" i="2" s="1"/>
  <c r="H5" i="2" a="1"/>
  <c r="H5" i="2" s="1"/>
  <c r="K39" i="2"/>
  <c r="N12" i="6"/>
  <c r="N17" i="6"/>
  <c r="L18" i="6"/>
  <c r="N11" i="6"/>
  <c r="N9" i="6"/>
  <c r="N16" i="6"/>
  <c r="N8" i="6"/>
  <c r="F16" i="3"/>
  <c r="G16" i="3" s="1"/>
  <c r="K94" i="2"/>
  <c r="O58" i="1"/>
  <c r="C3" i="3"/>
  <c r="I11" i="3" s="1"/>
  <c r="C15" i="2"/>
  <c r="E45" i="2" s="1"/>
  <c r="N10" i="6"/>
  <c r="N14" i="6"/>
  <c r="N15" i="6"/>
  <c r="M58" i="1"/>
  <c r="G61" i="2"/>
  <c r="F24" i="3"/>
  <c r="G24" i="3" s="1"/>
  <c r="N31" i="6"/>
  <c r="C38" i="6"/>
  <c r="E8" i="3" s="1"/>
  <c r="G8" i="3" s="1"/>
  <c r="E29" i="7"/>
  <c r="H29" i="7" s="1"/>
  <c r="H10" i="7"/>
  <c r="E26" i="7"/>
  <c r="H26" i="7" s="1"/>
  <c r="H11" i="7"/>
  <c r="F120" i="2" l="1" a="1"/>
  <c r="F120" i="2" s="1"/>
  <c r="K120" i="2" s="1"/>
  <c r="F25" i="3" s="1"/>
  <c r="G25" i="3" s="1"/>
  <c r="E38" i="2"/>
  <c r="E36" i="2"/>
  <c r="F36" i="2" s="1"/>
  <c r="K36" i="2" s="1"/>
  <c r="K41" i="2"/>
  <c r="E34" i="2"/>
  <c r="E33" i="2"/>
  <c r="F33" i="2" s="1"/>
  <c r="E35" i="2"/>
  <c r="K73" i="2"/>
  <c r="E79" i="2"/>
  <c r="F79" i="2" s="1"/>
  <c r="K79" i="2" s="1"/>
  <c r="I10" i="3"/>
  <c r="I9" i="3"/>
  <c r="I8" i="3"/>
  <c r="I7" i="3"/>
  <c r="E76" i="2"/>
  <c r="F76" i="2" s="1"/>
  <c r="K76" i="2" s="1"/>
  <c r="K68" i="2"/>
  <c r="E99" i="2"/>
  <c r="F99" i="2" s="1"/>
  <c r="K99" i="2" s="1"/>
  <c r="K87" i="2"/>
  <c r="E96" i="2"/>
  <c r="F96" i="2" s="1"/>
  <c r="K96" i="2" s="1"/>
  <c r="N18" i="6"/>
  <c r="C34" i="6" s="1"/>
  <c r="F51" i="2"/>
  <c r="K51" i="2" s="1"/>
  <c r="G125" i="2"/>
  <c r="K125" i="2" s="1"/>
  <c r="E29" i="2"/>
  <c r="F29" i="2" s="1"/>
  <c r="K29" i="2" s="1"/>
  <c r="E46" i="2"/>
  <c r="F46" i="2" s="1"/>
  <c r="K46" i="2" s="1"/>
  <c r="F123" i="2"/>
  <c r="K123" i="2" s="1"/>
  <c r="F30" i="3" s="1"/>
  <c r="G30" i="3" s="1"/>
  <c r="E17" i="2"/>
  <c r="F17" i="2" s="1"/>
  <c r="K17" i="2" s="1"/>
  <c r="F124" i="2"/>
  <c r="K124" i="2" s="1"/>
  <c r="F31" i="3" s="1"/>
  <c r="G31" i="3" s="1"/>
  <c r="E124" i="2"/>
  <c r="E101" i="2"/>
  <c r="E81" i="2"/>
  <c r="E42" i="2"/>
  <c r="F42" i="2" s="1"/>
  <c r="E80" i="2"/>
  <c r="D38" i="6"/>
  <c r="H38" i="7"/>
  <c r="I38" i="7" s="1"/>
  <c r="F35" i="2" l="1"/>
  <c r="K35" i="2" s="1"/>
  <c r="F34" i="2"/>
  <c r="K34" i="2" s="1"/>
  <c r="K33" i="2"/>
  <c r="F22" i="3"/>
  <c r="G22" i="3" s="1"/>
  <c r="F29" i="3"/>
  <c r="G29" i="3" s="1"/>
  <c r="G43" i="3" s="1"/>
  <c r="K42" i="2"/>
  <c r="F81" i="2"/>
  <c r="K81" i="2" s="1"/>
  <c r="F80" i="2"/>
  <c r="K80" i="2" s="1"/>
  <c r="K101" i="2"/>
  <c r="F101" i="2"/>
  <c r="K38" i="2"/>
  <c r="F17" i="3"/>
  <c r="G17" i="3" s="1"/>
  <c r="D33" i="6"/>
  <c r="N40" i="6" a="1"/>
  <c r="N40" i="6" s="1"/>
  <c r="C37" i="6" s="1"/>
  <c r="D37" i="6" s="1"/>
  <c r="E84" i="2"/>
  <c r="E61" i="2"/>
  <c r="C40" i="6"/>
  <c r="D40" i="6" s="1"/>
  <c r="D34" i="6"/>
  <c r="C32" i="6"/>
  <c r="D32" i="6" s="1"/>
  <c r="I13" i="18" l="1" a="1"/>
  <c r="I13" i="18" s="1"/>
  <c r="H43" i="3"/>
  <c r="H10" i="18"/>
  <c r="N38" i="6"/>
  <c r="C31" i="6" s="1"/>
  <c r="C42" i="6" s="1"/>
  <c r="F23" i="3"/>
  <c r="G23" i="3" s="1"/>
  <c r="F18" i="3"/>
  <c r="G18" i="3" s="1"/>
  <c r="F84" i="2"/>
  <c r="F85" i="2" s="1"/>
  <c r="K85" i="2" s="1"/>
  <c r="F61" i="2"/>
  <c r="F62" i="2" s="1"/>
  <c r="K62" i="2" s="1"/>
  <c r="F18" i="2"/>
  <c r="K18" i="2" s="1"/>
  <c r="E7" i="3"/>
  <c r="D31" i="6" l="1"/>
  <c r="D42" i="6" s="1"/>
  <c r="H8" i="3" s="1"/>
  <c r="H10" i="3" s="1"/>
  <c r="E9" i="3"/>
  <c r="G9" i="3" s="1"/>
  <c r="G7" i="3"/>
  <c r="F15" i="3"/>
  <c r="G15" i="3" s="1"/>
  <c r="G26" i="3" s="1"/>
  <c r="K127" i="2"/>
  <c r="H26" i="3" l="1"/>
  <c r="H8" i="18"/>
  <c r="G11" i="3"/>
  <c r="E11" i="3"/>
  <c r="F12" i="3" l="1"/>
  <c r="I9" i="18"/>
  <c r="H11" i="3"/>
  <c r="H9" i="18"/>
  <c r="E44" i="3"/>
  <c r="E49" i="3" s="1"/>
  <c r="E54" i="3" s="1"/>
  <c r="E52" i="3" l="1"/>
  <c r="E55" i="3"/>
  <c r="J2" i="3" s="1"/>
  <c r="G47" i="3"/>
  <c r="E46" i="3"/>
  <c r="E57" i="3" l="1"/>
  <c r="B1" i="1"/>
  <c r="B1" i="7" s="1"/>
  <c r="E3" i="3"/>
  <c r="C1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875ACD-A171-4966-BFC9-98F661E15ABC}" keepAlive="1" interval="30" name="Query - Customer Book (SiteList)" description="Connection to the 'Customer Book (SiteList)' query in the workbook." type="5" refreshedVersion="8" background="1" saveData="1">
    <dbPr connection="Provider=Microsoft.Mashup.OleDb.1;Data Source=$Workbook$;Location=&quot;Customer Book (SiteList)&quot;;Extended Properties=&quot;&quot;" command="SELECT * FROM [Customer Book (SiteList)]"/>
  </connection>
  <connection id="2" xr16:uid="{7BBAECD5-B4BE-4D44-9679-913C3F51F894}" keepAlive="1" name="Query - priceListForExcel_2025" description="Connection to the 'priceListForExcel_2025' query in the workbook." type="5" refreshedVersion="8" background="1" saveData="1">
    <dbPr connection="Provider=Microsoft.Mashup.OleDb.1;Data Source=$Workbook$;Location=priceListForExcel_2025;Extended Properties=&quot;&quot;" command="SELECT * FROM [priceListForExcel_2025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<sst xmlns="http://schemas.openxmlformats.org/spreadsheetml/2006/main" count="45768" uniqueCount="11253">
  <si>
    <t>Summary</t>
  </si>
  <si>
    <t>Job Information</t>
  </si>
  <si>
    <t>Worksheet Overview</t>
  </si>
  <si>
    <t>Site Walk</t>
  </si>
  <si>
    <t>Tender Close</t>
  </si>
  <si>
    <t>Job Name</t>
  </si>
  <si>
    <t>Submitted Pricing</t>
  </si>
  <si>
    <t>Client/Company Name</t>
  </si>
  <si>
    <t>Material Cost</t>
  </si>
  <si>
    <t>Hours</t>
  </si>
  <si>
    <t>Site Address</t>
  </si>
  <si>
    <t>Labour Cost</t>
  </si>
  <si>
    <t>Email</t>
  </si>
  <si>
    <t>Other Cost</t>
  </si>
  <si>
    <t>Contact Name</t>
  </si>
  <si>
    <t>Contact Phone</t>
  </si>
  <si>
    <t>System</t>
  </si>
  <si>
    <t>Layers</t>
  </si>
  <si>
    <t>Attachment</t>
  </si>
  <si>
    <t>Cost</t>
  </si>
  <si>
    <t>Other</t>
  </si>
  <si>
    <t>Internal Notes</t>
  </si>
  <si>
    <t>Job Name:</t>
  </si>
  <si>
    <t>Address:</t>
  </si>
  <si>
    <t>Version</t>
  </si>
  <si>
    <t>mm</t>
  </si>
  <si>
    <t>feet</t>
  </si>
  <si>
    <t>m2</t>
  </si>
  <si>
    <t>ft2</t>
  </si>
  <si>
    <t>FLAT</t>
  </si>
  <si>
    <t>Sections</t>
  </si>
  <si>
    <t>#</t>
  </si>
  <si>
    <t>Length</t>
  </si>
  <si>
    <t>Width</t>
  </si>
  <si>
    <t>Total</t>
  </si>
  <si>
    <t>Section #1</t>
  </si>
  <si>
    <t>Section #2</t>
  </si>
  <si>
    <t>Section #3</t>
  </si>
  <si>
    <t>Section #4</t>
  </si>
  <si>
    <t>Section #5</t>
  </si>
  <si>
    <t>Section #6</t>
  </si>
  <si>
    <t>sf</t>
  </si>
  <si>
    <t>sq</t>
  </si>
  <si>
    <t>Total Number of Perimeter Corners</t>
  </si>
  <si>
    <t>Total Corners</t>
  </si>
  <si>
    <t>SHINGLES</t>
  </si>
  <si>
    <t>Curbs</t>
  </si>
  <si>
    <t>length(FT)</t>
  </si>
  <si>
    <t>width(FT)</t>
  </si>
  <si>
    <t>height(IN)</t>
  </si>
  <si>
    <t>Perimeter</t>
  </si>
  <si>
    <t>For Flat Sections Only</t>
  </si>
  <si>
    <t>RTU</t>
  </si>
  <si>
    <t>Roof Hatch</t>
  </si>
  <si>
    <t>Vent Curbs</t>
  </si>
  <si>
    <t>Skylight</t>
  </si>
  <si>
    <t>Extra Mechanical Hours</t>
  </si>
  <si>
    <t>Vents</t>
  </si>
  <si>
    <t>Additional</t>
  </si>
  <si>
    <t>Default Hrs</t>
  </si>
  <si>
    <t>Additional Hrs</t>
  </si>
  <si>
    <t>Pipe Boots</t>
  </si>
  <si>
    <t>B-Vents</t>
  </si>
  <si>
    <t>Hood Vents</t>
  </si>
  <si>
    <t>Normal or Hard</t>
  </si>
  <si>
    <t>Plumb Vents</t>
  </si>
  <si>
    <t>Thaler SJ-26 or SBS/Alsans</t>
  </si>
  <si>
    <t>Gum Boxes</t>
  </si>
  <si>
    <t>Scuppers</t>
  </si>
  <si>
    <t>Easy or Hard</t>
  </si>
  <si>
    <t>Radon Pipe</t>
  </si>
  <si>
    <t>Drains</t>
  </si>
  <si>
    <t>Drop Drain</t>
  </si>
  <si>
    <t>sq ft</t>
  </si>
  <si>
    <t>pcs</t>
  </si>
  <si>
    <t>Stripping</t>
  </si>
  <si>
    <t>Metal</t>
  </si>
  <si>
    <t>Base</t>
  </si>
  <si>
    <t>Cap</t>
  </si>
  <si>
    <t>Wood</t>
  </si>
  <si>
    <t>Height (IN)</t>
  </si>
  <si>
    <t>Width (IN)</t>
  </si>
  <si>
    <t>Type</t>
  </si>
  <si>
    <t>Lineal Footage</t>
  </si>
  <si>
    <t>Strip Girth (IN)</t>
  </si>
  <si>
    <t>Girth (IN)</t>
  </si>
  <si>
    <t>Fabrication</t>
  </si>
  <si>
    <t>Install</t>
  </si>
  <si>
    <t>Top of Parapet (IN)</t>
  </si>
  <si>
    <t>Girth x LF</t>
  </si>
  <si>
    <t>Face x LF</t>
  </si>
  <si>
    <t># Sheets</t>
  </si>
  <si>
    <t>Install Hours</t>
  </si>
  <si>
    <t>A</t>
  </si>
  <si>
    <t>Interior Walls</t>
  </si>
  <si>
    <t>Normal</t>
  </si>
  <si>
    <t>B</t>
  </si>
  <si>
    <t>Choose</t>
  </si>
  <si>
    <t>C</t>
  </si>
  <si>
    <t>D</t>
  </si>
  <si>
    <t>E</t>
  </si>
  <si>
    <t>LF</t>
  </si>
  <si>
    <t>Sq. Ft.</t>
  </si>
  <si>
    <t>Cladding</t>
  </si>
  <si>
    <t>Height (ft)</t>
  </si>
  <si>
    <t>Length (ft)</t>
  </si>
  <si>
    <t>Fastening</t>
  </si>
  <si>
    <t>Lift or Scaffold</t>
  </si>
  <si>
    <t>Sqft.</t>
  </si>
  <si>
    <t>Windows, doors, etc.</t>
  </si>
  <si>
    <t>Difficulty</t>
  </si>
  <si>
    <t>Sqft - Frame</t>
  </si>
  <si>
    <t>Panels</t>
  </si>
  <si>
    <t>Time Variable</t>
  </si>
  <si>
    <t>Mechanical</t>
  </si>
  <si>
    <t>Wood Work</t>
  </si>
  <si>
    <t>Spacing (IN)</t>
  </si>
  <si>
    <t>Quantity</t>
  </si>
  <si>
    <t>Description</t>
  </si>
  <si>
    <t>Wood 1</t>
  </si>
  <si>
    <t>Wood 2</t>
  </si>
  <si>
    <t>Wood 3</t>
  </si>
  <si>
    <t>Wood 4</t>
  </si>
  <si>
    <t>Wood 5</t>
  </si>
  <si>
    <t>Wood 6</t>
  </si>
  <si>
    <t>Wood 7</t>
  </si>
  <si>
    <t>Wood 8</t>
  </si>
  <si>
    <t>Wood 9</t>
  </si>
  <si>
    <t>Batt Insulation</t>
  </si>
  <si>
    <t>For Pony Walls</t>
  </si>
  <si>
    <t>Height</t>
  </si>
  <si>
    <t>Lineal</t>
  </si>
  <si>
    <t>Don't Touch</t>
  </si>
  <si>
    <t xml:space="preserve">Drop Down Menu / Changeable </t>
  </si>
  <si>
    <t>Auto Calculated</t>
  </si>
  <si>
    <t>Updated: June 2025</t>
  </si>
  <si>
    <t>Overview</t>
  </si>
  <si>
    <t>Existing System</t>
  </si>
  <si>
    <t>New System</t>
  </si>
  <si>
    <t>Attatchment</t>
  </si>
  <si>
    <t>Notes/Details of Project</t>
  </si>
  <si>
    <t>elastophene</t>
  </si>
  <si>
    <t>prtnum</t>
  </si>
  <si>
    <t>prtdsc</t>
  </si>
  <si>
    <t>untdsc</t>
  </si>
  <si>
    <t>linprc</t>
  </si>
  <si>
    <t>invdte</t>
  </si>
  <si>
    <t>vndnme</t>
  </si>
  <si>
    <t>source</t>
  </si>
  <si>
    <t>Search</t>
  </si>
  <si>
    <t>IsNumber</t>
  </si>
  <si>
    <t>Squares</t>
  </si>
  <si>
    <t>Category</t>
  </si>
  <si>
    <t>Product</t>
  </si>
  <si>
    <t>Yes / No</t>
  </si>
  <si>
    <t>Size</t>
  </si>
  <si>
    <t>Unit Price</t>
  </si>
  <si>
    <t>Price Source</t>
  </si>
  <si>
    <t>Reviewed</t>
  </si>
  <si>
    <t>Notes</t>
  </si>
  <si>
    <t>Vapour Barrier</t>
  </si>
  <si>
    <t>Elastophene SP 2.2</t>
  </si>
  <si>
    <t>Torched</t>
  </si>
  <si>
    <t>Tie In</t>
  </si>
  <si>
    <t>Insulation</t>
  </si>
  <si>
    <t>2in. ISO Glass</t>
  </si>
  <si>
    <t>Adhesive</t>
  </si>
  <si>
    <t>Tapered Insulation</t>
  </si>
  <si>
    <t>Per Sqft</t>
  </si>
  <si>
    <t xml:space="preserve">Tapered Insulation </t>
  </si>
  <si>
    <t>ISO</t>
  </si>
  <si>
    <t>Optional 2nd Layer</t>
  </si>
  <si>
    <t>N/A</t>
  </si>
  <si>
    <t>Optional 3rd Layer</t>
  </si>
  <si>
    <t>Coverboard</t>
  </si>
  <si>
    <t>Securock</t>
  </si>
  <si>
    <t>Densdeck Primed 1/2in.</t>
  </si>
  <si>
    <t>Smartboard</t>
  </si>
  <si>
    <t>Std.Ctd Fiberboard 4x4 (1/2in.)</t>
  </si>
  <si>
    <t>Fire Prevention Board</t>
  </si>
  <si>
    <t>Both</t>
  </si>
  <si>
    <t>Membrane</t>
  </si>
  <si>
    <t>Alsan RS 230 Flash Summer 7032</t>
  </si>
  <si>
    <t>Alsan RS - Additional</t>
  </si>
  <si>
    <t>Peel &amp; Stick</t>
  </si>
  <si>
    <t>Sopraply Base 520</t>
  </si>
  <si>
    <t>Base Field</t>
  </si>
  <si>
    <t>Base Sheet</t>
  </si>
  <si>
    <t xml:space="preserve">Sopraply Traffic Cap </t>
  </si>
  <si>
    <t>Field &amp; Wall</t>
  </si>
  <si>
    <t>Cap Sheet</t>
  </si>
  <si>
    <t xml:space="preserve">Sopraply Stick </t>
  </si>
  <si>
    <t>Base Wall</t>
  </si>
  <si>
    <t>Primers/ Adhesives</t>
  </si>
  <si>
    <t>Duotack</t>
  </si>
  <si>
    <t>Elastocol Stick (19L)</t>
  </si>
  <si>
    <t>WALL</t>
  </si>
  <si>
    <t>Elastocol 500 (19L)</t>
  </si>
  <si>
    <t>FIELD</t>
  </si>
  <si>
    <t>Ballast</t>
  </si>
  <si>
    <t>Ashphalt Flood Coat</t>
  </si>
  <si>
    <t>Check coverage and 5gal price</t>
  </si>
  <si>
    <t>Asphalt</t>
  </si>
  <si>
    <t>EasyMelt</t>
  </si>
  <si>
    <t>Roofing Accessories</t>
  </si>
  <si>
    <t>Sealant (Mulco Supra)</t>
  </si>
  <si>
    <t>15ft Per Tube</t>
  </si>
  <si>
    <t>Catalyst</t>
  </si>
  <si>
    <t>Alsan RS 0.1kg</t>
  </si>
  <si>
    <t>Fleece</t>
  </si>
  <si>
    <t>lin.ft</t>
  </si>
  <si>
    <t>Misc. (Round tops etc)</t>
  </si>
  <si>
    <t>Screws + Plates</t>
  </si>
  <si>
    <t>IKO 6in. Roof Tape (Firetape)</t>
  </si>
  <si>
    <t>Sopralap (Cover Strip)</t>
  </si>
  <si>
    <t>PMMA Primer</t>
  </si>
  <si>
    <t>10kg Pail</t>
  </si>
  <si>
    <t>Tuff-Stuff MS</t>
  </si>
  <si>
    <t>Garland 2025</t>
  </si>
  <si>
    <t>Garla-Flex</t>
  </si>
  <si>
    <t>Gar-Mesh</t>
  </si>
  <si>
    <t>Flashing Bond Cold Applied Mastic</t>
  </si>
  <si>
    <t>EPDM</t>
  </si>
  <si>
    <t>Copied from B6</t>
  </si>
  <si>
    <t>EPS</t>
  </si>
  <si>
    <t>per sheet (4x4)</t>
  </si>
  <si>
    <t>$0.31 per sqft &amp; inch</t>
  </si>
  <si>
    <t>Sopra XPS</t>
  </si>
  <si>
    <t>per sheet (2x8)</t>
  </si>
  <si>
    <t>Dow XPS</t>
  </si>
  <si>
    <t>Carlisle 60 mil or 45 mil</t>
  </si>
  <si>
    <t>10x100</t>
  </si>
  <si>
    <t>Filter Fabric (Soprafilter)</t>
  </si>
  <si>
    <t>Convoy April 2023</t>
  </si>
  <si>
    <t>Drainage Mat (Sopradrain 15G 6x50)</t>
  </si>
  <si>
    <t>RUSS 6"</t>
  </si>
  <si>
    <t>September 2025</t>
  </si>
  <si>
    <t>Securtape Seam Tape 3in.x100ft.</t>
  </si>
  <si>
    <t>PS IS/OS Corner</t>
  </si>
  <si>
    <t xml:space="preserve">Curb Flash 20" , 18" </t>
  </si>
  <si>
    <t>Lap Sealant</t>
  </si>
  <si>
    <t>22 ft per tube</t>
  </si>
  <si>
    <t>1in.-6in. PS Pipe Flashing</t>
  </si>
  <si>
    <t>Primer</t>
  </si>
  <si>
    <t>HP-250</t>
  </si>
  <si>
    <t>Bonding Adhesive</t>
  </si>
  <si>
    <t>90-8-30A (5gal)</t>
  </si>
  <si>
    <t>Cav Grip</t>
  </si>
  <si>
    <t>Cylinder Only</t>
  </si>
  <si>
    <t>Proline April 2024</t>
  </si>
  <si>
    <t>TPO</t>
  </si>
  <si>
    <t>Carlisle or IKO InnoviTPO</t>
  </si>
  <si>
    <t>TPO Flashing 24"x50'</t>
  </si>
  <si>
    <t>Proline April 2025</t>
  </si>
  <si>
    <t>TPO Flashing 12"x50'</t>
  </si>
  <si>
    <t>InnoviTPO Universal Pipe Boot</t>
  </si>
  <si>
    <t>Roofmart April 2024</t>
  </si>
  <si>
    <t>TPO In/Out Corner</t>
  </si>
  <si>
    <t>Rhinobond Plate</t>
  </si>
  <si>
    <t>Screws</t>
  </si>
  <si>
    <t>Tuck Tape</t>
  </si>
  <si>
    <t>TPO Primer</t>
  </si>
  <si>
    <t>1 gal</t>
  </si>
  <si>
    <t>Bonding Adhesive TPO - SureWeld</t>
  </si>
  <si>
    <t>5 gal</t>
  </si>
  <si>
    <t>Drains/ Scuppers</t>
  </si>
  <si>
    <t>Vents/Gum boxes/ Curbs</t>
  </si>
  <si>
    <t>Prefinished Metal Flashing</t>
  </si>
  <si>
    <t>Galvanized (Clips)</t>
  </si>
  <si>
    <t>Prepainted</t>
  </si>
  <si>
    <t>Cladding Panels</t>
  </si>
  <si>
    <t>per sqft</t>
  </si>
  <si>
    <t>includes all clad accessories (ie. Blueskin, clips, etc.)</t>
  </si>
  <si>
    <t>Cant Strip (4x4)</t>
  </si>
  <si>
    <t>2x4</t>
  </si>
  <si>
    <t>per 10 ft</t>
  </si>
  <si>
    <t>2x6</t>
  </si>
  <si>
    <t>2x10</t>
  </si>
  <si>
    <t>Plywood 3/4"</t>
  </si>
  <si>
    <t>Plywood 1/2"</t>
  </si>
  <si>
    <t>Delivery- #of Delivery/Dwnlod</t>
  </si>
  <si>
    <t>Disposal #of Roofs to dispose</t>
  </si>
  <si>
    <t>Rental of toilet + Fencing</t>
  </si>
  <si>
    <t>Total Materials</t>
  </si>
  <si>
    <t>RoofMakeUp</t>
  </si>
  <si>
    <t>Existing</t>
  </si>
  <si>
    <t>Replace</t>
  </si>
  <si>
    <t>VP</t>
  </si>
  <si>
    <t>Address</t>
  </si>
  <si>
    <t>Insul</t>
  </si>
  <si>
    <t>Sq</t>
  </si>
  <si>
    <t>Metal Flash</t>
  </si>
  <si>
    <t>Deck</t>
  </si>
  <si>
    <t>wood</t>
  </si>
  <si>
    <t>?</t>
  </si>
  <si>
    <t>MATERIALS</t>
  </si>
  <si>
    <t>QTY</t>
  </si>
  <si>
    <t>units</t>
  </si>
  <si>
    <t>Ice &amp; Watershield</t>
  </si>
  <si>
    <t>1/2"</t>
  </si>
  <si>
    <t>per linft</t>
  </si>
  <si>
    <t>bottom edge&amp;valley</t>
  </si>
  <si>
    <t>Vapor Barrier</t>
  </si>
  <si>
    <t>1 ply #15</t>
  </si>
  <si>
    <t>per roll</t>
  </si>
  <si>
    <t>4 SQ/roll</t>
  </si>
  <si>
    <t>cover 36" for all eaves and valleys</t>
  </si>
  <si>
    <t>Shingles</t>
  </si>
  <si>
    <t>per bundle</t>
  </si>
  <si>
    <t>starters</t>
  </si>
  <si>
    <t>bottom edge&amp;rake edge</t>
  </si>
  <si>
    <t>caps</t>
  </si>
  <si>
    <t>25 linft/bundle</t>
  </si>
  <si>
    <t>Cut shingles for caps</t>
  </si>
  <si>
    <t>Drip Edge</t>
  </si>
  <si>
    <t>metal</t>
  </si>
  <si>
    <t>10ft</t>
  </si>
  <si>
    <t>Valley flashings</t>
  </si>
  <si>
    <t>Step flashings</t>
  </si>
  <si>
    <t>Back Pans</t>
  </si>
  <si>
    <t>5ft length</t>
  </si>
  <si>
    <t>Skylights</t>
  </si>
  <si>
    <t>Gumbox</t>
  </si>
  <si>
    <t>Caulking</t>
  </si>
  <si>
    <t>P-Vents</t>
  </si>
  <si>
    <t>Gose Necks</t>
  </si>
  <si>
    <t>Phoenix Vents</t>
  </si>
  <si>
    <t>Nails</t>
  </si>
  <si>
    <t>*</t>
  </si>
  <si>
    <t>Plywood</t>
  </si>
  <si>
    <t>5/8" plywood:$18/sheet;5/8" OSB:$12/sheet; treated 5/8" plywood:$40/sheet</t>
  </si>
  <si>
    <t>Truck</t>
  </si>
  <si>
    <t>Delivery</t>
  </si>
  <si>
    <t>Check Pitch before ordering. Over 7/12 is 190/hr</t>
  </si>
  <si>
    <t>Disposal</t>
  </si>
  <si>
    <t>Sheetmetal</t>
  </si>
  <si>
    <t>Galv</t>
  </si>
  <si>
    <t>PP</t>
  </si>
  <si>
    <t>Insurance</t>
  </si>
  <si>
    <t>Warranty</t>
  </si>
  <si>
    <t>(Min $500) for ARCA</t>
  </si>
  <si>
    <t>roof hatch</t>
  </si>
  <si>
    <t>Special Item</t>
  </si>
  <si>
    <t>Mechanical units</t>
  </si>
  <si>
    <t>Difficulty Factor</t>
  </si>
  <si>
    <t>Definition</t>
  </si>
  <si>
    <t>Access</t>
  </si>
  <si>
    <t>Height of Building (Stories)</t>
  </si>
  <si>
    <t>Vents and Curbs (2 Workers)</t>
  </si>
  <si>
    <t>Total Labour Hours</t>
  </si>
  <si>
    <t>1 Sq. No Obstruction</t>
  </si>
  <si>
    <t>10 sq.</t>
  </si>
  <si>
    <t>Crane</t>
  </si>
  <si>
    <t>Yes</t>
  </si>
  <si>
    <t>Fraction of Hour</t>
  </si>
  <si>
    <t>Calculation</t>
  </si>
  <si>
    <t>Layer</t>
  </si>
  <si>
    <t>Time</t>
  </si>
  <si>
    <t>No Curb</t>
  </si>
  <si>
    <t>4 guys 2hrs</t>
  </si>
  <si>
    <t>How many times will it be needed? Ex. 2 (Upload + Download)</t>
  </si>
  <si>
    <t>Curb</t>
  </si>
  <si>
    <t>Glued</t>
  </si>
  <si>
    <t>3 x 1.5hrs</t>
  </si>
  <si>
    <t>Site Access (Elevator, multiple stairs/ladders, etc.)</t>
  </si>
  <si>
    <t>Screwed</t>
  </si>
  <si>
    <t>3 x 3</t>
  </si>
  <si>
    <t>Mopped</t>
  </si>
  <si>
    <t>4 x 1</t>
  </si>
  <si>
    <t>Hard</t>
  </si>
  <si>
    <t>3 x 1.5</t>
  </si>
  <si>
    <t>Loose Laid</t>
  </si>
  <si>
    <t>2 x .5</t>
  </si>
  <si>
    <t>Thaler SJ-26</t>
  </si>
  <si>
    <t>4 x 3</t>
  </si>
  <si>
    <t>Time to take off and then reapply</t>
  </si>
  <si>
    <t>EPDM Ballast</t>
  </si>
  <si>
    <t>Dingo</t>
  </si>
  <si>
    <t>With Flood Coat</t>
  </si>
  <si>
    <t>9 x 1.75</t>
  </si>
  <si>
    <t>Reuse, Vacuum, or Crane (See Project!V18)</t>
  </si>
  <si>
    <t>Flood Coat</t>
  </si>
  <si>
    <t>Curb w/ SBS/alsans</t>
  </si>
  <si>
    <t>Induction</t>
  </si>
  <si>
    <t>Torching &gt; but &lt; Loose Laid</t>
  </si>
  <si>
    <t>1 min to weld and rest one rhino plate</t>
  </si>
  <si>
    <t>Loose Laid + Seam work</t>
  </si>
  <si>
    <t>Loadup / Prep</t>
  </si>
  <si>
    <t>1-2 Stories</t>
  </si>
  <si>
    <t>Soprablock</t>
  </si>
  <si>
    <t>Does metal get loaded up by staircase</t>
  </si>
  <si>
    <t>Total Hours</t>
  </si>
  <si>
    <t>Are there extra safety standards? (See Q42)</t>
  </si>
  <si>
    <t>Easy</t>
  </si>
  <si>
    <t>Default</t>
  </si>
  <si>
    <t>Manually shoveled, manually spread</t>
  </si>
  <si>
    <t>Working on Ballast</t>
  </si>
  <si>
    <t>Vent Installation</t>
  </si>
  <si>
    <t>Height (0.1)</t>
  </si>
  <si>
    <t>Height taller than 8 stories (as the vacuum cannot get up higher)</t>
  </si>
  <si>
    <t>Hard Detail Work</t>
  </si>
  <si>
    <t>Dingo (-0.4)</t>
  </si>
  <si>
    <t>Can we use a dingo? Or hand shoveled?</t>
  </si>
  <si>
    <t># of Corners</t>
  </si>
  <si>
    <t>Curb Stripping &amp; Detail Work</t>
  </si>
  <si>
    <t>Reuse</t>
  </si>
  <si>
    <t>Move around and reuse the same ballast</t>
  </si>
  <si>
    <t>Vacuum</t>
  </si>
  <si>
    <t>Vacuum up old ballast and crane in new ballast</t>
  </si>
  <si>
    <t>Parapets (Stripping)</t>
  </si>
  <si>
    <t>Crane down the ballast and crane up ballast (if need new one, but should be counted in cell D9)</t>
  </si>
  <si>
    <t>Is there a pony wall?</t>
  </si>
  <si>
    <t>No</t>
  </si>
  <si>
    <t>15 ft/hr (5 strips)</t>
  </si>
  <si>
    <t>Drop Drain (RD24-A or RD29)</t>
  </si>
  <si>
    <t xml:space="preserve">Height (0.1) + Dingo (-0.4) + Reuse (0), Vacuum (-0.6), Crane (0.2) </t>
  </si>
  <si>
    <t>Linear Feet</t>
  </si>
  <si>
    <t>12ft/hr (4)</t>
  </si>
  <si>
    <t>Mech Attachment (Zern 100 or Watts 100)</t>
  </si>
  <si>
    <t>9ft/hr &gt;70 in (3)</t>
  </si>
  <si>
    <t>*Plumber or interior finishing</t>
  </si>
  <si>
    <t>1 Day</t>
  </si>
  <si>
    <t>Parapet Walls</t>
  </si>
  <si>
    <t>Woodwork</t>
  </si>
  <si>
    <t>Ft.</t>
  </si>
  <si>
    <t>22.5ft/hr (7.5)</t>
  </si>
  <si>
    <t>Resurface w Plywood</t>
  </si>
  <si>
    <t>1 guy x 5hrs</t>
  </si>
  <si>
    <t>ACTIVITY</t>
  </si>
  <si>
    <t>Description of planned work procedure</t>
  </si>
  <si>
    <t># of Hours</t>
  </si>
  <si>
    <t>#of Days w/ 6 Man Crew</t>
  </si>
  <si>
    <t>18ft/hr (6)</t>
  </si>
  <si>
    <t>hr/sh</t>
  </si>
  <si>
    <t>Easy/Normal</t>
  </si>
  <si>
    <t>3 Layers of 2x4 or Dimensional Lumber on Edge</t>
  </si>
  <si>
    <t>1 x 10</t>
  </si>
  <si>
    <t>15ft/hr (5)</t>
  </si>
  <si>
    <t>Hard (25 sheets)</t>
  </si>
  <si>
    <t>30 (3 workers)</t>
  </si>
  <si>
    <t>Normal/Hard</t>
  </si>
  <si>
    <t>5+ Layers of Dimensional Lumber</t>
  </si>
  <si>
    <t>2 x 10</t>
  </si>
  <si>
    <t>Load &amp; Logistics</t>
  </si>
  <si>
    <t>Load,  Download</t>
  </si>
  <si>
    <t>Total Stripping Hours</t>
  </si>
  <si>
    <t>Normal (30)</t>
  </si>
  <si>
    <t>Pony Wall (w Insulation)</t>
  </si>
  <si>
    <t>4 x 10</t>
  </si>
  <si>
    <t>Project Prep</t>
  </si>
  <si>
    <t>Pre Job Prepping/Organization</t>
  </si>
  <si>
    <t>Easy (40)</t>
  </si>
  <si>
    <t>Tearing</t>
  </si>
  <si>
    <t>Tearing &amp; cleaning</t>
  </si>
  <si>
    <t>Corners</t>
  </si>
  <si>
    <t>Stripping (including prep)</t>
  </si>
  <si>
    <t>Lineal Ft. /8 hrs</t>
  </si>
  <si>
    <t>Normal (12-16in.)</t>
  </si>
  <si>
    <t>Hard (&gt;30in)</t>
  </si>
  <si>
    <t>Field &amp; Parapets</t>
  </si>
  <si>
    <t>Laying field &amp; parapet stripping</t>
  </si>
  <si>
    <t>Load up &amp; Prep</t>
  </si>
  <si>
    <t>Hard (Crane, stairs)</t>
  </si>
  <si>
    <t>1 Skilled Worker</t>
  </si>
  <si>
    <t>165' = 20.63'/hr</t>
  </si>
  <si>
    <t>6.88 strips/hr</t>
  </si>
  <si>
    <t>Corners (Roof)</t>
  </si>
  <si>
    <t>Hours spent roofing on corner</t>
  </si>
  <si>
    <t>Medium (Hoist, elevator)</t>
  </si>
  <si>
    <t>1 Intermediate</t>
  </si>
  <si>
    <t>105' = 13.13</t>
  </si>
  <si>
    <t>Vents &amp; Curbs</t>
  </si>
  <si>
    <t>Installing and curb work</t>
  </si>
  <si>
    <t>Stories</t>
  </si>
  <si>
    <t>Easy (1-2 Stories)</t>
  </si>
  <si>
    <t>1 Beginner</t>
  </si>
  <si>
    <t>45' = 5.63</t>
  </si>
  <si>
    <t>Measure, Cut, Install</t>
  </si>
  <si>
    <t>Typical Flashing</t>
  </si>
  <si>
    <t>20 flashings installed w/ clips</t>
  </si>
  <si>
    <t>20 (2 workers)</t>
  </si>
  <si>
    <t>Above is only for Cap</t>
  </si>
  <si>
    <t>Measure, Fabricate, &amp; Install</t>
  </si>
  <si>
    <t>Site</t>
  </si>
  <si>
    <t>Hard Flashings</t>
  </si>
  <si>
    <t>For Base, multiply by 1.5</t>
  </si>
  <si>
    <t>Total days for Mechanical</t>
  </si>
  <si>
    <t>If Easy (Change Manually if needed)</t>
  </si>
  <si>
    <t>Post Job Work</t>
  </si>
  <si>
    <t>Hours for detail touch ups</t>
  </si>
  <si>
    <t>Time Variables</t>
  </si>
  <si>
    <t>+- from Typical Flashing sh/hr</t>
  </si>
  <si>
    <t>Wall Corners</t>
  </si>
  <si>
    <t>Per Typical Corner</t>
  </si>
  <si>
    <t>Days</t>
  </si>
  <si>
    <t>Higher than 3 stories</t>
  </si>
  <si>
    <t>1 Worker</t>
  </si>
  <si>
    <t>1hr</t>
  </si>
  <si>
    <t>Cap and Base</t>
  </si>
  <si>
    <t>Using stairs to load/unload</t>
  </si>
  <si>
    <t xml:space="preserve">Extra Safety standards (schools, commercial [daily sign in/out], </t>
  </si>
  <si>
    <t>Hrs per upload/download</t>
  </si>
  <si>
    <t>Total Labour hrs (6 workers)</t>
  </si>
  <si>
    <t>installing extra anchors, etc.)</t>
  </si>
  <si>
    <t>Own Crane</t>
  </si>
  <si>
    <t>+0</t>
  </si>
  <si>
    <t>Working around ballast</t>
  </si>
  <si>
    <t>3+</t>
  </si>
  <si>
    <t>N Force Subcontract</t>
  </si>
  <si>
    <t>+1</t>
  </si>
  <si>
    <t>Downtown High Rise</t>
  </si>
  <si>
    <t>Stampede Subcontract</t>
  </si>
  <si>
    <t>+3</t>
  </si>
  <si>
    <t>Normal (1 hr)</t>
  </si>
  <si>
    <t>Easy (0.5 hrs)</t>
  </si>
  <si>
    <t>One Ladder/ Stairs</t>
  </si>
  <si>
    <t>30 min up/down per day</t>
  </si>
  <si>
    <t>Elevator, Mutliple Ladders</t>
  </si>
  <si>
    <t>Calculation: (Fabrication * Diff) + ((LNft.7.5) / (Typical flashing sh/hr - Time Variables)) + (Corners * Diff) + Load Up</t>
  </si>
  <si>
    <t>Hard parking, sign in, elevator</t>
  </si>
  <si>
    <t>Tear off</t>
  </si>
  <si>
    <t>Clad</t>
  </si>
  <si>
    <t>Labour Time                8 Hours</t>
  </si>
  <si>
    <t>Width =3 ft</t>
  </si>
  <si>
    <t>In an 8 hour day, it takes anywhere from 2-3hrs to tear off 8-10sq</t>
  </si>
  <si>
    <t>Panels per worker</t>
  </si>
  <si>
    <t>pn/hr</t>
  </si>
  <si>
    <t>Therefore, for simplicity, 0.3hrs/sq (3hrs / 10sq)</t>
  </si>
  <si>
    <t>0-4ft</t>
  </si>
  <si>
    <t>5-8</t>
  </si>
  <si>
    <t>9-11</t>
  </si>
  <si>
    <t>12+</t>
  </si>
  <si>
    <t>Takes into account the tear and installation of everything (underlayment, trim, etc.)</t>
  </si>
  <si>
    <t>mechanically fastend</t>
  </si>
  <si>
    <t>exposed fastners</t>
  </si>
  <si>
    <t xml:space="preserve">Windows/Doors, etc. </t>
  </si>
  <si>
    <t>Client Name</t>
  </si>
  <si>
    <t>Contact Phone Number</t>
  </si>
  <si>
    <t>Contact Email</t>
  </si>
  <si>
    <t>Info/Other</t>
  </si>
  <si>
    <t>Color Tag</t>
  </si>
  <si>
    <t>Compliance Asset Id</t>
  </si>
  <si>
    <t>ID</t>
  </si>
  <si>
    <t>Content Type</t>
  </si>
  <si>
    <t>Modified</t>
  </si>
  <si>
    <t>Created</t>
  </si>
  <si>
    <t>Created By</t>
  </si>
  <si>
    <t>Modified By</t>
  </si>
  <si>
    <t>Attachments</t>
  </si>
  <si>
    <t>Edit</t>
  </si>
  <si>
    <t>Item Child Count</t>
  </si>
  <si>
    <t>Folder Child Count</t>
  </si>
  <si>
    <t>Label setting</t>
  </si>
  <si>
    <t>Retention label</t>
  </si>
  <si>
    <t>Retention label Applied</t>
  </si>
  <si>
    <t>Label applied by</t>
  </si>
  <si>
    <t>Item is a Record</t>
  </si>
  <si>
    <t>App Created By</t>
  </si>
  <si>
    <t>App Modified By</t>
  </si>
  <si>
    <t>1000839663 Ontario Inc</t>
  </si>
  <si>
    <t>Moon</t>
  </si>
  <si>
    <t>825-558-1254</t>
  </si>
  <si>
    <t/>
  </si>
  <si>
    <t xml:space="preserve">2555 32 St Ne : </t>
  </si>
  <si>
    <t>Item</t>
  </si>
  <si>
    <t>[List]</t>
  </si>
  <si>
    <t>1.0</t>
  </si>
  <si>
    <t>0</t>
  </si>
  <si>
    <t>OneDrive SyncEngine</t>
  </si>
  <si>
    <t>Gordon Lane</t>
  </si>
  <si>
    <t>587-227-7713</t>
  </si>
  <si>
    <t xml:space="preserve">150 Crowfoot Cr NW : </t>
  </si>
  <si>
    <t>1121695 AB LTD</t>
  </si>
  <si>
    <t>Erin Chan ( Invoices )</t>
  </si>
  <si>
    <t xml:space="preserve">3333 34 Ave NE : </t>
  </si>
  <si>
    <t>12185806 Canada Inc</t>
  </si>
  <si>
    <t>Dean Mcguirk</t>
  </si>
  <si>
    <t>(403) 636-1501</t>
  </si>
  <si>
    <t xml:space="preserve">5644 Dalhousie Drive NW : </t>
  </si>
  <si>
    <t>1287760 Alberta Ltd.</t>
  </si>
  <si>
    <t>MCherie  Purnell</t>
  </si>
  <si>
    <t>587-227-1728</t>
  </si>
  <si>
    <t xml:space="preserve">8561 8 A Ave SW : </t>
  </si>
  <si>
    <t>12962</t>
  </si>
  <si>
    <t>Carlos Alvarez</t>
  </si>
  <si>
    <t>403-630-0616</t>
  </si>
  <si>
    <t>1368489 Alberta Ltd.</t>
  </si>
  <si>
    <t>M'Cherie Purnel</t>
  </si>
  <si>
    <t>(587)227-1728</t>
  </si>
  <si>
    <t xml:space="preserve">8560 8A Ave SW : </t>
  </si>
  <si>
    <t>1439368 AB Ltd</t>
  </si>
  <si>
    <t>Jon Adam</t>
  </si>
  <si>
    <t>(403) 519-4672</t>
  </si>
  <si>
    <t xml:space="preserve">1950 10 Avenue SW : </t>
  </si>
  <si>
    <t>1499714 Alberta LTD</t>
  </si>
  <si>
    <t>Zain</t>
  </si>
  <si>
    <t>403 804 7900</t>
  </si>
  <si>
    <t xml:space="preserve">4220 17th ST SE : </t>
  </si>
  <si>
    <t>1700005 Alberta Ltd</t>
  </si>
  <si>
    <t>Adham Jaber</t>
  </si>
  <si>
    <t>403-481-1459</t>
  </si>
  <si>
    <t xml:space="preserve">1515 14 Ave SW : </t>
  </si>
  <si>
    <t>1717823 Alberta Ltd.</t>
  </si>
  <si>
    <t>AP</t>
  </si>
  <si>
    <t xml:space="preserve">Building 100- 1035 New Brighton Drive SE : </t>
  </si>
  <si>
    <t>1821689 Alberta Ltd c/o Palladium Properties</t>
  </si>
  <si>
    <t>Darlene Gardiner ( invoices and reports)</t>
  </si>
  <si>
    <t>403-678-8483</t>
  </si>
  <si>
    <t xml:space="preserve">5830-45 Avenue : </t>
  </si>
  <si>
    <t>1831452 Alberta Ltd.</t>
  </si>
  <si>
    <t>Janey Young Perez</t>
  </si>
  <si>
    <t>403-689-2509</t>
  </si>
  <si>
    <t xml:space="preserve">4420 17 Ave SE : </t>
  </si>
  <si>
    <t>2055169 Alberta Ltd.</t>
  </si>
  <si>
    <t>MCherie Purnell</t>
  </si>
  <si>
    <t>802 Cityscape Square : 802 Cityscaoe Dr NE</t>
  </si>
  <si>
    <t>2229246 Alberta Ltd</t>
  </si>
  <si>
    <t>Morid</t>
  </si>
  <si>
    <t>403-462-4070</t>
  </si>
  <si>
    <t xml:space="preserve">2616 - 18 Street NE : </t>
  </si>
  <si>
    <t>2621374 Alberta Inc</t>
  </si>
  <si>
    <t>Jay Sheen</t>
  </si>
  <si>
    <t>403-312-0586</t>
  </si>
  <si>
    <t xml:space="preserve">5800 1A St SW : </t>
  </si>
  <si>
    <t>3 D Interiors</t>
  </si>
  <si>
    <t>Neal Harlos</t>
  </si>
  <si>
    <t>403-701-8050</t>
  </si>
  <si>
    <t>kelly@3d-interiors.ca</t>
  </si>
  <si>
    <t>Strathcona Square : 555 Strathcona Bldv</t>
  </si>
  <si>
    <t>3333 Sunridge Way Inc</t>
  </si>
  <si>
    <t>calgaryinvoices@artisreit.com</t>
  </si>
  <si>
    <t xml:space="preserve">3333 Sunridge Way NE : </t>
  </si>
  <si>
    <t>3934381 Canada Inc.</t>
  </si>
  <si>
    <t>Rafael</t>
  </si>
  <si>
    <t>403-389-4417</t>
  </si>
  <si>
    <t xml:space="preserve">106 Crowfoot Terrace NW : </t>
  </si>
  <si>
    <t xml:space="preserve">18 Crowfoot Terrace NW : </t>
  </si>
  <si>
    <t>Nick</t>
  </si>
  <si>
    <t>403-465-1500</t>
  </si>
  <si>
    <t>Crowfoot Crossing : 88 Crowfoot Terrace NW</t>
  </si>
  <si>
    <t xml:space="preserve">48 Crowfoot Terrace NW : </t>
  </si>
  <si>
    <t>Nick Cloutier</t>
  </si>
  <si>
    <t xml:space="preserve">900, 333 7th Avenue SW : </t>
  </si>
  <si>
    <t xml:space="preserve">10 Crowfoot Terrace : </t>
  </si>
  <si>
    <t xml:space="preserve">63 Crowfoot Terrace NW : </t>
  </si>
  <si>
    <t>151 Crowfoot Terrace NW : Sport Check</t>
  </si>
  <si>
    <t>Emmanuel</t>
  </si>
  <si>
    <t>1 403 978 4920</t>
  </si>
  <si>
    <t xml:space="preserve">600 Crowfoot Crescent NW : </t>
  </si>
  <si>
    <t>600 Crowfoot Crescent NW : RBC 4th Floor</t>
  </si>
  <si>
    <t xml:space="preserve">103 Crowfoot Terrace NW : </t>
  </si>
  <si>
    <t xml:space="preserve">151 Crowfoot Terrace NW : </t>
  </si>
  <si>
    <t>Emanueal</t>
  </si>
  <si>
    <t>403-978-4920</t>
  </si>
  <si>
    <t xml:space="preserve">45 Crowfoot Terrace NW : </t>
  </si>
  <si>
    <t>Rafaell</t>
  </si>
  <si>
    <t xml:space="preserve">98 Crowfoot Terrace NW : </t>
  </si>
  <si>
    <t xml:space="preserve">66 Crowfoot Terrace NW : </t>
  </si>
  <si>
    <t>rafael</t>
  </si>
  <si>
    <t xml:space="preserve">92 Crowfoot Terrace NW : </t>
  </si>
  <si>
    <t>C/O Cushman Wakefield Asset Services ULC : Dome Tower 900, 333 7th Avenue SW</t>
  </si>
  <si>
    <t>404305 Alberta Ltd</t>
  </si>
  <si>
    <t>Martin Martinez Rios</t>
  </si>
  <si>
    <t>403-692-4630</t>
  </si>
  <si>
    <t xml:space="preserve">6130 1A Street SW : </t>
  </si>
  <si>
    <t>52nd Street Business Centre LP</t>
  </si>
  <si>
    <t>c/o BentallGreenOak (Canada) Limited Partnership : Suite 240, 640-5th Avenue SW</t>
  </si>
  <si>
    <t>5400 Dalhousie</t>
  </si>
  <si>
    <t>accounting@simcomgt.com</t>
  </si>
  <si>
    <t xml:space="preserve">5400 Dalhousie c/o Simco Management (Calgary) Inc. : </t>
  </si>
  <si>
    <t>58 Wen Inc</t>
  </si>
  <si>
    <t>Faraaz Sorathia</t>
  </si>
  <si>
    <t>403-613-7253</t>
  </si>
  <si>
    <t xml:space="preserve">3311 26 St NE : </t>
  </si>
  <si>
    <t>6020 Business Park Ltd</t>
  </si>
  <si>
    <t>Marin Marinez Rios</t>
  </si>
  <si>
    <t>403-962-4630</t>
  </si>
  <si>
    <t xml:space="preserve">6110 &amp; 6120 1A St SW : </t>
  </si>
  <si>
    <t>607347 Alberta Ltd</t>
  </si>
  <si>
    <t>Glenn De La Torre</t>
  </si>
  <si>
    <t>403-899-5173</t>
  </si>
  <si>
    <t xml:space="preserve">4129 8th Street SE : </t>
  </si>
  <si>
    <t>623201 Alberta Ltd.</t>
  </si>
  <si>
    <t>Gerry Edwards</t>
  </si>
  <si>
    <t xml:space="preserve">250 5920 1A Street SW : </t>
  </si>
  <si>
    <t>Arlan Cantos</t>
  </si>
  <si>
    <t>403-869-8049</t>
  </si>
  <si>
    <t>Burns Building : 6325 11 St SE</t>
  </si>
  <si>
    <t>7 Construction Inc.</t>
  </si>
  <si>
    <t>Clarke</t>
  </si>
  <si>
    <t>Unit 104 : 11127 15th Street NE</t>
  </si>
  <si>
    <t>Unit 140 : 118080 50th Street SE</t>
  </si>
  <si>
    <t>Robert</t>
  </si>
  <si>
    <t>587.575.4844</t>
  </si>
  <si>
    <t xml:space="preserve">2550 61 Ave SE : </t>
  </si>
  <si>
    <t>715639 Alberta Ltd</t>
  </si>
  <si>
    <t>Jamie Bertwell</t>
  </si>
  <si>
    <t xml:space="preserve">400-70 Shawville Blvd SE : </t>
  </si>
  <si>
    <t>729608 Alberta Ltd.</t>
  </si>
  <si>
    <t>Shirley</t>
  </si>
  <si>
    <t>403-253-9679</t>
  </si>
  <si>
    <t>dmocg@shaw.ca</t>
  </si>
  <si>
    <t xml:space="preserve">20 Frobisher Blvd SE : </t>
  </si>
  <si>
    <t>7796528 &amp; CLAC</t>
  </si>
  <si>
    <t>GWL</t>
  </si>
  <si>
    <t>gulfcanadasquare@gwlra.com</t>
  </si>
  <si>
    <t xml:space="preserve">401 9 Ave SW : </t>
  </si>
  <si>
    <t>800 Fifth Limited Partnership</t>
  </si>
  <si>
    <t>Andrew</t>
  </si>
  <si>
    <t>(403) 470-7865</t>
  </si>
  <si>
    <t>awwebley@gmail.com</t>
  </si>
  <si>
    <t xml:space="preserve">800 5th Avenue SW : </t>
  </si>
  <si>
    <t>8800 Venture c/o Go Smart Property Managers Inc.</t>
  </si>
  <si>
    <t>Tyler Garland</t>
  </si>
  <si>
    <t xml:space="preserve">8800 Venture Ave SE : </t>
  </si>
  <si>
    <t>987338 AB Ltd</t>
  </si>
  <si>
    <t>rjenkins2005@gmail.com</t>
  </si>
  <si>
    <t xml:space="preserve">6508 Lautrentian Way SW : </t>
  </si>
  <si>
    <t>A G Baxter Contracting Co Ltd</t>
  </si>
  <si>
    <t>Collin</t>
  </si>
  <si>
    <t>(403) 279-0575</t>
  </si>
  <si>
    <t xml:space="preserve">8812 44 St SE : </t>
  </si>
  <si>
    <t>A&amp;W Glendeer JCT</t>
  </si>
  <si>
    <t>Don</t>
  </si>
  <si>
    <t>403-689-5654</t>
  </si>
  <si>
    <t xml:space="preserve">80 Gleendeer Circle SE : </t>
  </si>
  <si>
    <t>A1 Auto body Ltd</t>
  </si>
  <si>
    <t>Lorne Phelps</t>
  </si>
  <si>
    <t>(587) 224-7117</t>
  </si>
  <si>
    <t>lfranks@a1autobody.com</t>
  </si>
  <si>
    <t xml:space="preserve">5304 1A Street : </t>
  </si>
  <si>
    <t>AAR Management Inc.</t>
  </si>
  <si>
    <t>Tom</t>
  </si>
  <si>
    <t>403-819-0979</t>
  </si>
  <si>
    <t xml:space="preserve">1933- 10th Ave SW : </t>
  </si>
  <si>
    <t>Absolute Masonry</t>
  </si>
  <si>
    <t>Michael</t>
  </si>
  <si>
    <t>403-397-9577</t>
  </si>
  <si>
    <t xml:space="preserve">7 Lock Crescent : </t>
  </si>
  <si>
    <t>Acredited Condominium Management</t>
  </si>
  <si>
    <t>Kathy</t>
  </si>
  <si>
    <t>403-813-9961</t>
  </si>
  <si>
    <t xml:space="preserve">509 Patterson View SW : </t>
  </si>
  <si>
    <t>ADEM Engineering Inc</t>
  </si>
  <si>
    <t>aanvik@ademengineering.com</t>
  </si>
  <si>
    <t xml:space="preserve">4532 Manilla Road SE : </t>
  </si>
  <si>
    <t>AGAT Laboratories Ltd.</t>
  </si>
  <si>
    <t>Desiree Hui</t>
  </si>
  <si>
    <t>780-218-6182</t>
  </si>
  <si>
    <t>payables@agatlabs.com</t>
  </si>
  <si>
    <t xml:space="preserve">2905 12th Street NE : </t>
  </si>
  <si>
    <t>Steve Millar</t>
  </si>
  <si>
    <t>403-736-5304</t>
  </si>
  <si>
    <t xml:space="preserve">2420 42 Ave NE : </t>
  </si>
  <si>
    <t>(403) 736-5300</t>
  </si>
  <si>
    <t>2420 - AQM/STACKS : 2420 42ND AVENUE NE</t>
  </si>
  <si>
    <t>eugene</t>
  </si>
  <si>
    <t>(403) 569-7716</t>
  </si>
  <si>
    <t xml:space="preserve">2620 21 Street NE : </t>
  </si>
  <si>
    <t>Agata Kesik</t>
  </si>
  <si>
    <t xml:space="preserve">3917 15A Street SW : </t>
  </si>
  <si>
    <t>Agrium Canada Partnership</t>
  </si>
  <si>
    <t>gaccount@agrium.com</t>
  </si>
  <si>
    <t xml:space="preserve">5 Miles West of Carseland : </t>
  </si>
  <si>
    <t>James Budden</t>
  </si>
  <si>
    <t>403-936-3366</t>
  </si>
  <si>
    <t>GAccount@nutrien.com</t>
  </si>
  <si>
    <t>Carseland Nitrogen Operations : 5 Miles West of Carseland</t>
  </si>
  <si>
    <t>Ainsworth Inc.</t>
  </si>
  <si>
    <t>apcalgary@ainsworth.com</t>
  </si>
  <si>
    <t xml:space="preserve">6732 8 St NE : </t>
  </si>
  <si>
    <t>Trevor</t>
  </si>
  <si>
    <t>403-813-1397</t>
  </si>
  <si>
    <t xml:space="preserve">100-2588 27Th Street NE : </t>
  </si>
  <si>
    <t>Jeremy</t>
  </si>
  <si>
    <t>403-813-5621</t>
  </si>
  <si>
    <t xml:space="preserve">200 Sunmills Dr SE : </t>
  </si>
  <si>
    <t>Mike</t>
  </si>
  <si>
    <t>403828-1483</t>
  </si>
  <si>
    <t xml:space="preserve">9309 Macleod Trail S : </t>
  </si>
  <si>
    <t xml:space="preserve">4627 77 st nw : </t>
  </si>
  <si>
    <t>(403) 801-6987</t>
  </si>
  <si>
    <t xml:space="preserve">6455 Macleod Trail SE : </t>
  </si>
  <si>
    <t>Tyler</t>
  </si>
  <si>
    <t>403-700-6514</t>
  </si>
  <si>
    <t xml:space="preserve">3705 35 ST NE : </t>
  </si>
  <si>
    <t>Kevin</t>
  </si>
  <si>
    <t>403 807 3247.</t>
  </si>
  <si>
    <t xml:space="preserve">605 Queensland Dr SE : </t>
  </si>
  <si>
    <t xml:space="preserve">4500 50 St : </t>
  </si>
  <si>
    <t>Steve</t>
  </si>
  <si>
    <t>(403) 710-5430</t>
  </si>
  <si>
    <t xml:space="preserve">V-1338 36th Ave NE : </t>
  </si>
  <si>
    <t>Tim</t>
  </si>
  <si>
    <t>403-669-0610</t>
  </si>
  <si>
    <t xml:space="preserve">10201 Southport Rd SW : </t>
  </si>
  <si>
    <t>403-801-6987</t>
  </si>
  <si>
    <t xml:space="preserve">Morley Community School : </t>
  </si>
  <si>
    <t>Wayne</t>
  </si>
  <si>
    <t>403 969 3244</t>
  </si>
  <si>
    <t xml:space="preserve">30 - 11 STREET NE : </t>
  </si>
  <si>
    <t xml:space="preserve">1120 Mountain Ave : </t>
  </si>
  <si>
    <t xml:space="preserve">19 Rosevale Dr NW : </t>
  </si>
  <si>
    <t xml:space="preserve">1610 6 St NE : </t>
  </si>
  <si>
    <t>Troy Kiefuik</t>
  </si>
  <si>
    <t>403-265-6750</t>
  </si>
  <si>
    <t xml:space="preserve">134 Rainbow Falls Dr : </t>
  </si>
  <si>
    <t xml:space="preserve">221 6 Ave SE : </t>
  </si>
  <si>
    <t xml:space="preserve">4720 Bowness Rd : </t>
  </si>
  <si>
    <t xml:space="preserve">4525 49 St NW : </t>
  </si>
  <si>
    <t>Peter</t>
  </si>
  <si>
    <t>403-700-1265</t>
  </si>
  <si>
    <t xml:space="preserve">1338 36 Ave NE : </t>
  </si>
  <si>
    <t xml:space="preserve">2031 Sable Dr SE : </t>
  </si>
  <si>
    <t>Mike Rae</t>
  </si>
  <si>
    <t>403-700-7021</t>
  </si>
  <si>
    <t xml:space="preserve">110 12 Ave SW : </t>
  </si>
  <si>
    <t xml:space="preserve">5505 4a St SW : </t>
  </si>
  <si>
    <t>kevin.harris@ainsworth.com</t>
  </si>
  <si>
    <t xml:space="preserve">114 8th Ave SW, Calgary </t>
  </si>
  <si>
    <t xml:space="preserve">Michael Ross </t>
  </si>
  <si>
    <t>Michael.Ross@ainsworth.com</t>
  </si>
  <si>
    <t>200 Fireside Dr, Cochrane, AB T4C 2L6</t>
  </si>
  <si>
    <t xml:space="preserve">Kevin Harris </t>
  </si>
  <si>
    <t xml:space="preserve"> kevin.harris@ainsworth.com</t>
  </si>
  <si>
    <t>709 1 St NE, Sundre, AB T0M 1X0</t>
  </si>
  <si>
    <t>Microsoft Power Platform</t>
  </si>
  <si>
    <t>AirTech Services</t>
  </si>
  <si>
    <t>Jeff T</t>
  </si>
  <si>
    <t>403-369-7169</t>
  </si>
  <si>
    <t xml:space="preserve">6325 - 11th Street S.E : </t>
  </si>
  <si>
    <t xml:space="preserve">11555 Barlow Trail NE : </t>
  </si>
  <si>
    <t>ALBARI Holdings Ltd. &amp; CIP Nominee Inc.</t>
  </si>
  <si>
    <t>Chris Belnavis</t>
  </si>
  <si>
    <t>403-990-2941</t>
  </si>
  <si>
    <t>geocg@shaw.ca</t>
  </si>
  <si>
    <t>11810 Barlow Trail NE : Lovingly Made</t>
  </si>
  <si>
    <t xml:space="preserve">2626 Country Hills Boulevard NE : </t>
  </si>
  <si>
    <t xml:space="preserve">12290 ‐ 18 Street NE : </t>
  </si>
  <si>
    <t xml:space="preserve">11810 Barlow Trail NE : </t>
  </si>
  <si>
    <t>Stoney 3 : 1867 120 Ave NE</t>
  </si>
  <si>
    <t xml:space="preserve">11550 Barlow Trail NE : </t>
  </si>
  <si>
    <t xml:space="preserve">1867 / 1819 ‐ 120 Avenue NE : </t>
  </si>
  <si>
    <t>Stonegate C : 11358 Barlow Trail NE</t>
  </si>
  <si>
    <t>Stoney 3 : 1769 120 Ave NE</t>
  </si>
  <si>
    <t>(403) 990-2941</t>
  </si>
  <si>
    <t>StoneGate C : 11358 Barlow Tr. NE</t>
  </si>
  <si>
    <t>Chris</t>
  </si>
  <si>
    <t>StoneGate Industrial B : 11550 Barlow Trail NE</t>
  </si>
  <si>
    <t>StoneGate 6B : 10 Stonehill Place NE</t>
  </si>
  <si>
    <t>Harmony Logistics : 1832 ‐ 115 Avenue NE</t>
  </si>
  <si>
    <t>Stonegate 6A : 10 Stonehill Place #220</t>
  </si>
  <si>
    <t>StoneGate B : 11550 Barlow Trail NE</t>
  </si>
  <si>
    <t>Stonegate E : 2638 Country Hills Blvd NE</t>
  </si>
  <si>
    <t>Stonegate A : 2626 Country Hills Blvd NE</t>
  </si>
  <si>
    <t>StoneGate 6B : 120 10 Stonehill Pl NE</t>
  </si>
  <si>
    <t xml:space="preserve">2638 Country Hills Boulevard NE : </t>
  </si>
  <si>
    <t>Stonegate D : #150 11810 Barlow Tr NE</t>
  </si>
  <si>
    <t xml:space="preserve">110-10 Stonehill Pl NE : </t>
  </si>
  <si>
    <t xml:space="preserve">11358 Barlow Trail NE : </t>
  </si>
  <si>
    <t>Stonegate C : 11358 Barlow Tr NE</t>
  </si>
  <si>
    <t xml:space="preserve">1832 ‐ 115 Avenue NE : </t>
  </si>
  <si>
    <t xml:space="preserve">1802/1882 118 Ave NE : </t>
  </si>
  <si>
    <t xml:space="preserve">1819 ‐ 120 Avenue NE : </t>
  </si>
  <si>
    <t xml:space="preserve">12285 ‐ 18 Street NE, : </t>
  </si>
  <si>
    <t>Lais</t>
  </si>
  <si>
    <t>587-973-2950</t>
  </si>
  <si>
    <t>Summit Nano Tech : 2638 Country Hills Blvd NE</t>
  </si>
  <si>
    <t>Brewers Distributors : 12285 18 St NE</t>
  </si>
  <si>
    <t>Stonegate D : 11810 Barlow Trail NE</t>
  </si>
  <si>
    <t>Dan Roberts</t>
  </si>
  <si>
    <t>403-512-4152</t>
  </si>
  <si>
    <t>Stoney Industrial 5 : #115-12285 18 St NE</t>
  </si>
  <si>
    <t>Stonegate A : # 10 -2626 Country Hills Blvd NE</t>
  </si>
  <si>
    <t>Stonegate B : #10 1155 Barlow Tr  NE</t>
  </si>
  <si>
    <t>Mitch Beat</t>
  </si>
  <si>
    <t>Stonegate E : 2638 Country Hills Blvd</t>
  </si>
  <si>
    <t xml:space="preserve">1881 (Vacant Unit ) - 120 Ave NE : </t>
  </si>
  <si>
    <t>403-710-1500</t>
  </si>
  <si>
    <t>Stonegate A : # 10 2626 Country Hills Blvd NE</t>
  </si>
  <si>
    <t>Stonegate Industrial E : 2638 Country Hills Blvd NE</t>
  </si>
  <si>
    <t>Amanda</t>
  </si>
  <si>
    <t>Stonegate 6 A : # 220 10 Stonehill Pl NE</t>
  </si>
  <si>
    <t>Stoney 3 : 1783 120 Ave NE</t>
  </si>
  <si>
    <t>Stoney Industrial 3 : 1881 120 Av NE</t>
  </si>
  <si>
    <t>Stonegate 6B : #110 10 Stonehill Pl NE</t>
  </si>
  <si>
    <t>Stoney 2 : 1802/1882-118 Ave NE</t>
  </si>
  <si>
    <t>Stoney 3 : 1797 120 Ave NE</t>
  </si>
  <si>
    <t>Stoney 1 : 1832 ‐ 115 Avenue NE</t>
  </si>
  <si>
    <t>Stoney 3 : 1881 120 Ave NE</t>
  </si>
  <si>
    <t xml:space="preserve">Agrocrop / 100, 10 Stonehill Place NE : </t>
  </si>
  <si>
    <t>StoneGate 6B : 10 Stonehill Pl NE #250</t>
  </si>
  <si>
    <t xml:space="preserve">100, 10 Stonehill Place NE : </t>
  </si>
  <si>
    <t>1722 118 Ave NE : Stoney 2</t>
  </si>
  <si>
    <t>c/o ONE Property Management Limited Partnership : 920, 205 - 5 Avenue SW</t>
  </si>
  <si>
    <t>Bay 20 : 11550 Barlow Trail NE</t>
  </si>
  <si>
    <t xml:space="preserve">Stonegate C : </t>
  </si>
  <si>
    <t>1802 / 1882 ‐ 118 Avenue NE : Kuehne Nagel</t>
  </si>
  <si>
    <t>StoneGate B : 10 Stonehill Pl NE #250</t>
  </si>
  <si>
    <t>Alberta Janitorial Ltd.</t>
  </si>
  <si>
    <t>Dave</t>
  </si>
  <si>
    <t>403-272-7801</t>
  </si>
  <si>
    <t xml:space="preserve">2520 Centre Ave. NE : </t>
  </si>
  <si>
    <t>Alberta Pro Group</t>
  </si>
  <si>
    <t>accounting@albertaprogroup.com</t>
  </si>
  <si>
    <t xml:space="preserve">433 Marlborough Way : </t>
  </si>
  <si>
    <t>Alberta Roofing Contractors Association</t>
  </si>
  <si>
    <t>403-250-7055</t>
  </si>
  <si>
    <t>info@arcaonline.ca</t>
  </si>
  <si>
    <t xml:space="preserve">8777 Nose Hill Dr. NW : </t>
  </si>
  <si>
    <t xml:space="preserve">2380 Pegauss Rd NE : </t>
  </si>
  <si>
    <t xml:space="preserve">2380 Pegasus Road NE : </t>
  </si>
  <si>
    <t>1919 Sirocco Dr SW : Jordan Valley Shawarma</t>
  </si>
  <si>
    <t xml:space="preserve">1515 93 St SW, : </t>
  </si>
  <si>
    <t>Alcon Electrical Corporation</t>
  </si>
  <si>
    <t>Steven Szentes</t>
  </si>
  <si>
    <t>403-850-4141</t>
  </si>
  <si>
    <t>Unit 110 : 10555 74 St SE</t>
  </si>
  <si>
    <t>Steven</t>
  </si>
  <si>
    <t xml:space="preserve">12065 Converty Hills Way NE : </t>
  </si>
  <si>
    <t>ALR Commercial Corp</t>
  </si>
  <si>
    <t>Rochel</t>
  </si>
  <si>
    <t>403-818-5620</t>
  </si>
  <si>
    <t>rochel@advancedlevelroofing.com</t>
  </si>
  <si>
    <t>Joe</t>
  </si>
  <si>
    <t>(403) 818-5620</t>
  </si>
  <si>
    <t>alr-c@advancedlevelroofing.com</t>
  </si>
  <si>
    <t xml:space="preserve">5110 77 Ave SE : </t>
  </si>
  <si>
    <t xml:space="preserve">125, 3801 54 Ave NE : </t>
  </si>
  <si>
    <t xml:space="preserve">125, 3901 54 Ave NE : </t>
  </si>
  <si>
    <t xml:space="preserve">750 49 Ave SW : </t>
  </si>
  <si>
    <t>Alta Ramps</t>
  </si>
  <si>
    <t>ALTARAMPS@GMAIL.COM</t>
  </si>
  <si>
    <t>315 : 8560 8A Ave SW</t>
  </si>
  <si>
    <t>Altitude Energy</t>
  </si>
  <si>
    <t>Jerry</t>
  </si>
  <si>
    <t>403-999-7905</t>
  </si>
  <si>
    <t xml:space="preserve">6030 3 St SE : </t>
  </si>
  <si>
    <t>Analog Mechanical Ltd</t>
  </si>
  <si>
    <t>Han</t>
  </si>
  <si>
    <t xml:space="preserve">1060 -220 Manning Road NE : </t>
  </si>
  <si>
    <t>Angeli Contracting</t>
  </si>
  <si>
    <t>Joel</t>
  </si>
  <si>
    <t xml:space="preserve">6825 Livingstone Drive SW : </t>
  </si>
  <si>
    <t>Anteco Ventures Inc.</t>
  </si>
  <si>
    <t>403-831-2161.</t>
  </si>
  <si>
    <t>. Terry</t>
  </si>
  <si>
    <t>altex@altexsystems.com</t>
  </si>
  <si>
    <t xml:space="preserve">336 35 Ave NE : </t>
  </si>
  <si>
    <t>Anten Properties Inc</t>
  </si>
  <si>
    <t>Kayla Andrews</t>
  </si>
  <si>
    <t>587-433-1494</t>
  </si>
  <si>
    <t xml:space="preserve">500 Ranch Market : </t>
  </si>
  <si>
    <t>Antony Ware</t>
  </si>
  <si>
    <t>Antony</t>
  </si>
  <si>
    <t>(403) 455-3903</t>
  </si>
  <si>
    <t xml:space="preserve">2266 Passchendaele Ave SW : </t>
  </si>
  <si>
    <t>Ardor LTD</t>
  </si>
  <si>
    <t>780.803.7393</t>
  </si>
  <si>
    <t>martin@ardorltd.ca</t>
  </si>
  <si>
    <t>1120 53 Ave NE</t>
  </si>
  <si>
    <t>ARI 8AP GP INC.</t>
  </si>
  <si>
    <t>403-592-2866</t>
  </si>
  <si>
    <t>patricia.mah@hines.com</t>
  </si>
  <si>
    <t>Arkon Solutions</t>
  </si>
  <si>
    <t>Chad</t>
  </si>
  <si>
    <t>(403) 816-2608</t>
  </si>
  <si>
    <t>chad.c@arkonsolutions.com</t>
  </si>
  <si>
    <t xml:space="preserve">101 Macleod Trail : </t>
  </si>
  <si>
    <t xml:space="preserve">4333 46 Ave SE : </t>
  </si>
  <si>
    <t>ARTIS Britannia Ltd</t>
  </si>
  <si>
    <t>Chandra Petterson</t>
  </si>
  <si>
    <t>(403) 705-3532</t>
  </si>
  <si>
    <t xml:space="preserve">703 - 6 Avenue SW : </t>
  </si>
  <si>
    <t>Artis Calgary Dominion Ltd.</t>
  </si>
  <si>
    <t>Jim Work</t>
  </si>
  <si>
    <t>(403) 689-4508</t>
  </si>
  <si>
    <t>dpoulin@artisreit.com</t>
  </si>
  <si>
    <t xml:space="preserve">405-18th Street SE : </t>
  </si>
  <si>
    <t>Artis Crowfoot Village Ltd.</t>
  </si>
  <si>
    <t xml:space="preserve">150 Crowfoot Cres NW : </t>
  </si>
  <si>
    <t>20 Crowfoot Crescent NW : Unit 200</t>
  </si>
  <si>
    <t xml:space="preserve">Crowfoot Crecent NW : </t>
  </si>
  <si>
    <t>Artis Maynard Ltd.</t>
  </si>
  <si>
    <t>Rachel Halford</t>
  </si>
  <si>
    <t>403-705-3536</t>
  </si>
  <si>
    <t xml:space="preserve">1930 Maynard Rd. SE : </t>
  </si>
  <si>
    <t>Artis Mountpara Ltd.</t>
  </si>
  <si>
    <t>Ayo Salaudeen</t>
  </si>
  <si>
    <t>(403) 630-7717</t>
  </si>
  <si>
    <t xml:space="preserve">630-4th Avenue SW : </t>
  </si>
  <si>
    <t>ARTIS REIT</t>
  </si>
  <si>
    <t xml:space="preserve">150 Crowfoot Crescent NW : </t>
  </si>
  <si>
    <t>Lawrence Nault</t>
  </si>
  <si>
    <t>587-434-4215</t>
  </si>
  <si>
    <t>2840 - 2 Avenue SE Calgary : Unit 101</t>
  </si>
  <si>
    <t>Adam</t>
  </si>
  <si>
    <t>403-607-1802</t>
  </si>
  <si>
    <t>2555 32ST NE : Roof Access code 241</t>
  </si>
  <si>
    <t>Adam Elliot</t>
  </si>
  <si>
    <t>Razwan</t>
  </si>
  <si>
    <t>403-607-7671</t>
  </si>
  <si>
    <t xml:space="preserve">706-7th Avenue SW : </t>
  </si>
  <si>
    <t>403-629-9459</t>
  </si>
  <si>
    <t xml:space="preserve">800 5th Ave SW : </t>
  </si>
  <si>
    <t xml:space="preserve">703-6th Avenue SW : </t>
  </si>
  <si>
    <t xml:space="preserve">3805 29 Street NE : </t>
  </si>
  <si>
    <t>Oldrich Berger</t>
  </si>
  <si>
    <t>(403) 629-4999</t>
  </si>
  <si>
    <t xml:space="preserve">1930 Maynard Road SE : </t>
  </si>
  <si>
    <t>Andre</t>
  </si>
  <si>
    <t>(403) 473-8677</t>
  </si>
  <si>
    <t xml:space="preserve">301 14 Street NW : </t>
  </si>
  <si>
    <t>Ainsworth Mechanical : 1338 36 Avenue NE</t>
  </si>
  <si>
    <t>David Rolson</t>
  </si>
  <si>
    <t>14034712564</t>
  </si>
  <si>
    <t xml:space="preserve">1331 Macleod Trail SE : </t>
  </si>
  <si>
    <t xml:space="preserve">1338 36 Avenue NE : </t>
  </si>
  <si>
    <t>Matt Potvin</t>
  </si>
  <si>
    <t>(403) 605-1641</t>
  </si>
  <si>
    <t>McCall Lake Building B : 1338 36 Avenue NE</t>
  </si>
  <si>
    <t>McCall Lake Building : 1338 36 Avenue NE</t>
  </si>
  <si>
    <t>David Chege</t>
  </si>
  <si>
    <t>(403) 619-3418</t>
  </si>
  <si>
    <t xml:space="preserve">521 3 Avenue SW : </t>
  </si>
  <si>
    <t>403-540-6564</t>
  </si>
  <si>
    <t xml:space="preserve">60 Crowfoot Crescent SE : </t>
  </si>
  <si>
    <t xml:space="preserve">7015 Macleod Trail SW : </t>
  </si>
  <si>
    <t>Adam (Artis)</t>
  </si>
  <si>
    <t>2555 32 St. NE : Bay 335</t>
  </si>
  <si>
    <t>(403) 607-1802</t>
  </si>
  <si>
    <t>2555 32 St. NE : Bay 500</t>
  </si>
  <si>
    <t>20 Crowfoot Cr NW : Entire Complex</t>
  </si>
  <si>
    <t xml:space="preserve">2555 32ST NE : </t>
  </si>
  <si>
    <t>Chadi</t>
  </si>
  <si>
    <t>403-681-6045</t>
  </si>
  <si>
    <t xml:space="preserve">1509 Center St SW : </t>
  </si>
  <si>
    <t>Ivan</t>
  </si>
  <si>
    <t>403-606-0070</t>
  </si>
  <si>
    <t xml:space="preserve">615-18th St SE : </t>
  </si>
  <si>
    <t xml:space="preserve">2930 32AveNE : </t>
  </si>
  <si>
    <t>Adrian</t>
  </si>
  <si>
    <t>403-471-7207</t>
  </si>
  <si>
    <t xml:space="preserve">8500 MC Leod Trail SE : </t>
  </si>
  <si>
    <t>Adam Elliott</t>
  </si>
  <si>
    <t xml:space="preserve">140, 150 Crowfoot Corner NW : </t>
  </si>
  <si>
    <t>Accounts Payable</t>
  </si>
  <si>
    <t xml:space="preserve"># 410 1331 Macleod Tr SE : </t>
  </si>
  <si>
    <t xml:space="preserve">20 Crowfoot Cr NW : </t>
  </si>
  <si>
    <t xml:space="preserve">2555 32 St NE : </t>
  </si>
  <si>
    <t xml:space="preserve">323-2555 32 St NE : </t>
  </si>
  <si>
    <t xml:space="preserve">2555 32 St NE  Unit # 150 : </t>
  </si>
  <si>
    <t>adam</t>
  </si>
  <si>
    <t xml:space="preserve">#520 20 Crowfoot Cr NW : </t>
  </si>
  <si>
    <t xml:space="preserve">#730 -20 Crowfoot Village : </t>
  </si>
  <si>
    <t xml:space="preserve"># 311 -150 Crowfoot Cr NW : </t>
  </si>
  <si>
    <t xml:space="preserve">#305-150 Crowfoot Cr NW : </t>
  </si>
  <si>
    <t>1338B 36 Ave NE : Suite 236,</t>
  </si>
  <si>
    <t xml:space="preserve">#109-150 Crowfoor Cr NW : </t>
  </si>
  <si>
    <t xml:space="preserve"># 20- 300 Crowfoot Crescent NW : </t>
  </si>
  <si>
    <t>McCall Lake Building B : 1338 36 Ave NE</t>
  </si>
  <si>
    <t xml:space="preserve">#301 150 Crowfoot Crescent NW : </t>
  </si>
  <si>
    <t xml:space="preserve">2555 35 St NE # 303 : </t>
  </si>
  <si>
    <t xml:space="preserve">24 Crowfoot Cr NW : </t>
  </si>
  <si>
    <t>McCall Building B : 1338 36 Ave SE</t>
  </si>
  <si>
    <t>Robin Thompson</t>
  </si>
  <si>
    <t>403-705-3574</t>
  </si>
  <si>
    <t xml:space="preserve">660, 1509 Centre Street SW : </t>
  </si>
  <si>
    <t xml:space="preserve">20 Crowfoot Crescent #840 : </t>
  </si>
  <si>
    <t xml:space="preserve">810-20 Crowfoot Cr NW : </t>
  </si>
  <si>
    <t xml:space="preserve">Sinead Brossart </t>
  </si>
  <si>
    <t>sbrossart@artisreit.com</t>
  </si>
  <si>
    <t xml:space="preserve">#730 -20 Crowfoot Village, Calgary </t>
  </si>
  <si>
    <t>Artis Sierra Place Ltd.</t>
  </si>
  <si>
    <t>(403) 607-7671</t>
  </si>
  <si>
    <t xml:space="preserve">706 7th Ave SW : </t>
  </si>
  <si>
    <t xml:space="preserve">660-1509 Centre Street SW : </t>
  </si>
  <si>
    <t>Artis Vaughn Construction Services Inc</t>
  </si>
  <si>
    <t>Brad Watts ( Artis Vaughn)</t>
  </si>
  <si>
    <t>403-680-1450</t>
  </si>
  <si>
    <t xml:space="preserve">8435 Bowfort Rd NW : </t>
  </si>
  <si>
    <t>Brad Watts</t>
  </si>
  <si>
    <t xml:space="preserve">4605 25 th St SE : </t>
  </si>
  <si>
    <t>Aspen Grove Condominium Association</t>
  </si>
  <si>
    <t>Monique Gibeau</t>
  </si>
  <si>
    <t>780-937-4218 </t>
  </si>
  <si>
    <t>monique.gibeau@gmail.com</t>
  </si>
  <si>
    <t xml:space="preserve">8203 Silver Springs Rd NW : </t>
  </si>
  <si>
    <t>AtkinsRéalis Operations &amp; Maintenance Inc</t>
  </si>
  <si>
    <t>Rory Wolf</t>
  </si>
  <si>
    <t>403-542-2397</t>
  </si>
  <si>
    <t>Suite 101N : 601 5th Street SW</t>
  </si>
  <si>
    <t>(403) 542-2397</t>
  </si>
  <si>
    <t>Calgary Courts Centre : Suite 101N, 601-5th Street SW</t>
  </si>
  <si>
    <t>Duncan Fender</t>
  </si>
  <si>
    <t>403-369-0155</t>
  </si>
  <si>
    <t>Calgary Court Centre : Suite 101N 601-5th Street SW</t>
  </si>
  <si>
    <t>Atlas-Apex Alberta</t>
  </si>
  <si>
    <t>Braden Reimer</t>
  </si>
  <si>
    <t xml:space="preserve">285177 Wrangler Ave SE : </t>
  </si>
  <si>
    <t>Atmostphere Developments Inc</t>
  </si>
  <si>
    <t>Joey Couture</t>
  </si>
  <si>
    <t>587-414-8904</t>
  </si>
  <si>
    <t>joeyatmostsphere@gmail.com</t>
  </si>
  <si>
    <t>Aurora Developments</t>
  </si>
  <si>
    <t>Toni</t>
  </si>
  <si>
    <t>(403) 369-1939</t>
  </si>
  <si>
    <t>auroradev@telus.net</t>
  </si>
  <si>
    <t xml:space="preserve">Unit 215 exploration Ave : </t>
  </si>
  <si>
    <t>Avaedan Property Maintenance Ltd</t>
  </si>
  <si>
    <t>Shane Greisinger</t>
  </si>
  <si>
    <t xml:space="preserve">3116 4th Street NW. : </t>
  </si>
  <si>
    <t xml:space="preserve">49 Richard Way : </t>
  </si>
  <si>
    <t>Avalanche Air Systems</t>
  </si>
  <si>
    <t>Wade Williams</t>
  </si>
  <si>
    <t>403-278-4567</t>
  </si>
  <si>
    <t xml:space="preserve"> : </t>
  </si>
  <si>
    <t>Avalanche Waste Management Inc.</t>
  </si>
  <si>
    <t>Kenton</t>
  </si>
  <si>
    <t>(403) 461-1677</t>
  </si>
  <si>
    <t>info@avalanchewm.com</t>
  </si>
  <si>
    <t>2419 52 Ave SE : Unit#1</t>
  </si>
  <si>
    <t>Avenue Commercial</t>
  </si>
  <si>
    <t>Jason</t>
  </si>
  <si>
    <t>403-589-9769</t>
  </si>
  <si>
    <t>MPotvin@avenuecommercial.ca</t>
  </si>
  <si>
    <t xml:space="preserve">55 Castleridge BLVD NE : </t>
  </si>
  <si>
    <t>dacry</t>
  </si>
  <si>
    <t>403-542-6608</t>
  </si>
  <si>
    <t>2770 3rd Avenue NE : #125/#129</t>
  </si>
  <si>
    <t xml:space="preserve">206 5 Ave West Cochrane : </t>
  </si>
  <si>
    <t>Darcy Rosenke</t>
  </si>
  <si>
    <t xml:space="preserve">1324 11 Ave SW : </t>
  </si>
  <si>
    <t>David</t>
  </si>
  <si>
    <t>403-837-7959</t>
  </si>
  <si>
    <t xml:space="preserve">95 Crowfoot Crescent NW : </t>
  </si>
  <si>
    <t xml:space="preserve">13750 Bow Bottom Trail SE : </t>
  </si>
  <si>
    <t xml:space="preserve">706 17 Ave SW : </t>
  </si>
  <si>
    <t xml:space="preserve">200 5th Ave West : </t>
  </si>
  <si>
    <t xml:space="preserve">121 10th Ave SE : </t>
  </si>
  <si>
    <t xml:space="preserve">55 Castleridge Blvd SE : </t>
  </si>
  <si>
    <t xml:space="preserve">15 Millrise Blvd SW : </t>
  </si>
  <si>
    <t>Bakery and chiropractor : 400 Mainstreet North</t>
  </si>
  <si>
    <t>Constance</t>
  </si>
  <si>
    <t>403-478-7716</t>
  </si>
  <si>
    <t>Woodwinds Building : 1324 11th ave SW</t>
  </si>
  <si>
    <t xml:space="preserve">12 Royal Vista Way NW : </t>
  </si>
  <si>
    <t xml:space="preserve">1001 1st Street SE : </t>
  </si>
  <si>
    <t xml:space="preserve">396 11 Ave SE : </t>
  </si>
  <si>
    <t xml:space="preserve">101 400 Main Street N : </t>
  </si>
  <si>
    <t>1725 10th Ave SW : Suite 300</t>
  </si>
  <si>
    <t>1725 10th Ave SW : Suite 200</t>
  </si>
  <si>
    <t xml:space="preserve">1725 10 Avenue SW : </t>
  </si>
  <si>
    <t>Matt</t>
  </si>
  <si>
    <t xml:space="preserve">7337 Sierra Morena Blvd : </t>
  </si>
  <si>
    <t xml:space="preserve">400 Main Street NE : </t>
  </si>
  <si>
    <t>400 Main Stree NE Airdrie AB : #111</t>
  </si>
  <si>
    <t xml:space="preserve">400 Main Stree NE Airdrie AB : </t>
  </si>
  <si>
    <t xml:space="preserve">400 Main Street : </t>
  </si>
  <si>
    <t xml:space="preserve">110- 400 Main Street NE : </t>
  </si>
  <si>
    <t>#88 : 55 castleridge blv ne</t>
  </si>
  <si>
    <t xml:space="preserve"> : 55 castleridge blv ne</t>
  </si>
  <si>
    <t>#76 : 55 Castleridge Blvd</t>
  </si>
  <si>
    <t>400 Main Street N : sushi place</t>
  </si>
  <si>
    <t xml:space="preserve">55 Castleridge : </t>
  </si>
  <si>
    <t>Darcy</t>
  </si>
  <si>
    <t>(403) 542-6608</t>
  </si>
  <si>
    <t xml:space="preserve">55 Castleridge Blvd : </t>
  </si>
  <si>
    <t>Tracey</t>
  </si>
  <si>
    <t>587-335-5974</t>
  </si>
  <si>
    <t>Building C : 2750 3rd Ave NE</t>
  </si>
  <si>
    <t>206 Fifth Ave : #1</t>
  </si>
  <si>
    <t xml:space="preserve">417 10St NW : </t>
  </si>
  <si>
    <t>Nathan</t>
  </si>
  <si>
    <t>(403) 827-7018</t>
  </si>
  <si>
    <t xml:space="preserve">705 East Lake Road : </t>
  </si>
  <si>
    <t xml:space="preserve">1324 11th ave SW : </t>
  </si>
  <si>
    <t xml:space="preserve">7337 Sierra Morena Blvd SW : </t>
  </si>
  <si>
    <t>400 Main Street N : #115</t>
  </si>
  <si>
    <t>Daniel</t>
  </si>
  <si>
    <t>(503) 479-4560</t>
  </si>
  <si>
    <t>Building A : Unit 147 2710 3rd Avenue</t>
  </si>
  <si>
    <t>Unit 225 Bld 2770 : 2730 3rd Ave</t>
  </si>
  <si>
    <t>10 country hills landing : #10</t>
  </si>
  <si>
    <t>Building A : , 2710 3rd Avenue</t>
  </si>
  <si>
    <t xml:space="preserve">4503 Brisebois Dr NW : </t>
  </si>
  <si>
    <t>Feisum</t>
  </si>
  <si>
    <t>(403) 837-7959</t>
  </si>
  <si>
    <t xml:space="preserve">15 Millrise Blv SW : </t>
  </si>
  <si>
    <t>Unit 30 : 7337 Sierra Morena Blvd SW</t>
  </si>
  <si>
    <t xml:space="preserve">10 Country Hills Landing : </t>
  </si>
  <si>
    <t>Units #108 &amp; #112 2730 : 2730 3rd Ave</t>
  </si>
  <si>
    <t xml:space="preserve">5603 Riverbend Road NW : </t>
  </si>
  <si>
    <t>Avenue Health</t>
  </si>
  <si>
    <t>Wesam Salem</t>
  </si>
  <si>
    <t xml:space="preserve">55 Christie Point SW : </t>
  </si>
  <si>
    <t>Aztec Machine Works Ltd.</t>
  </si>
  <si>
    <t>403-263-5221</t>
  </si>
  <si>
    <t>Bailey Metal Products Limited</t>
  </si>
  <si>
    <t>Ryan Robertson</t>
  </si>
  <si>
    <t>(403) 248-3536</t>
  </si>
  <si>
    <t>rnorman@bmp-group.com</t>
  </si>
  <si>
    <t xml:space="preserve">3924 27 Street NE : </t>
  </si>
  <si>
    <t>Bailey Metals</t>
  </si>
  <si>
    <t>403-312-4725</t>
  </si>
  <si>
    <t>Revans@bmp-group.com</t>
  </si>
  <si>
    <t>Balzers Canada Inc</t>
  </si>
  <si>
    <t>Chris Benz</t>
  </si>
  <si>
    <t>403-466-1768</t>
  </si>
  <si>
    <t xml:space="preserve">235051 Wrangler Dr SE : </t>
  </si>
  <si>
    <t xml:space="preserve">1440 17a St SE : </t>
  </si>
  <si>
    <t>Baxter Roof Consulting</t>
  </si>
  <si>
    <t>Stephen Baxter</t>
  </si>
  <si>
    <t>403-771-7957</t>
  </si>
  <si>
    <t xml:space="preserve">4448 Front St SE : </t>
  </si>
  <si>
    <t>Brent Larose</t>
  </si>
  <si>
    <t>587-284-6029</t>
  </si>
  <si>
    <t xml:space="preserve">801 6th St SW : </t>
  </si>
  <si>
    <t>Chrisitne Baxter</t>
  </si>
  <si>
    <t>403-651-8859</t>
  </si>
  <si>
    <t xml:space="preserve">2255 22 St NE : </t>
  </si>
  <si>
    <t>Christine Baxter</t>
  </si>
  <si>
    <t xml:space="preserve">3023 16 St SW : </t>
  </si>
  <si>
    <t xml:space="preserve">1145 65 Ave NE : </t>
  </si>
  <si>
    <t xml:space="preserve">Stephen Baxter </t>
  </si>
  <si>
    <t>stephen.baxter@shaw.ca</t>
  </si>
  <si>
    <t>5010 Spruce Dr SW, Calgary, AB T3C 3B2</t>
  </si>
  <si>
    <t>BBA Engineering Inc</t>
  </si>
  <si>
    <t>Trevor Buckley</t>
  </si>
  <si>
    <t>403-770-2111</t>
  </si>
  <si>
    <t xml:space="preserve">4129 8th St se : </t>
  </si>
  <si>
    <t>BC Autobody</t>
  </si>
  <si>
    <t>Alvin</t>
  </si>
  <si>
    <t>587-434-7988</t>
  </si>
  <si>
    <t xml:space="preserve">4608 12 St NE : </t>
  </si>
  <si>
    <t>Beacon Hill Apts Ltd Agents for Hamilton Aviation Ltd</t>
  </si>
  <si>
    <t>Rizwan Adhami</t>
  </si>
  <si>
    <t>587-582-4502</t>
  </si>
  <si>
    <t xml:space="preserve">4715 8 Ave SE : </t>
  </si>
  <si>
    <t>Beedie Construction Ltd.</t>
  </si>
  <si>
    <t>Ryan</t>
  </si>
  <si>
    <t>(403) 909-7070</t>
  </si>
  <si>
    <t>accounting@beedie.ca</t>
  </si>
  <si>
    <t xml:space="preserve">6027 79 Ave SE : </t>
  </si>
  <si>
    <t xml:space="preserve">#4 Highland Park Green : </t>
  </si>
  <si>
    <t xml:space="preserve"> : 5423-61 St. SE</t>
  </si>
  <si>
    <t>Gaetan</t>
  </si>
  <si>
    <t>403.607.7599</t>
  </si>
  <si>
    <t>Unit 2003 : #4 Highland Park Green</t>
  </si>
  <si>
    <t>Unit 132 : 10450 50th St. SE</t>
  </si>
  <si>
    <t xml:space="preserve">6027 - 79 Ave SE : </t>
  </si>
  <si>
    <t>Rich</t>
  </si>
  <si>
    <t>Bay 1001 &amp; 1002 : Highland Park Way NE</t>
  </si>
  <si>
    <t>Bay 2001 : 101 Highland Park Common</t>
  </si>
  <si>
    <t>403-909-7070</t>
  </si>
  <si>
    <t>Unit 1003 : 101 Highland Park Common</t>
  </si>
  <si>
    <t>(403) 607-7599</t>
  </si>
  <si>
    <t xml:space="preserve">34 Highland Park Way NE : </t>
  </si>
  <si>
    <t>Unit #2 : 2 Highland Park N.E</t>
  </si>
  <si>
    <t>Gaetan Falardeau</t>
  </si>
  <si>
    <t>403-607-7599</t>
  </si>
  <si>
    <t xml:space="preserve">10450-50 St. S.E : </t>
  </si>
  <si>
    <t>Bell Canada Inc.</t>
  </si>
  <si>
    <t>bell.invoice@bgis.com</t>
  </si>
  <si>
    <t xml:space="preserve">80 Patina Rise SW : </t>
  </si>
  <si>
    <t>Bell Mahoney Roofing Inc.</t>
  </si>
  <si>
    <t>smahoney@bellmahoneyroofing.com</t>
  </si>
  <si>
    <t>Sean Mahoney</t>
  </si>
  <si>
    <t>smahoney@bellmahoneyroofing.co</t>
  </si>
  <si>
    <t xml:space="preserve">210 Dovercliffe Way SE : </t>
  </si>
  <si>
    <t>Bellare Industrial Coatings Inc</t>
  </si>
  <si>
    <t>Ken Quantz</t>
  </si>
  <si>
    <t>403-539-9793</t>
  </si>
  <si>
    <t xml:space="preserve">645 37 Ave NE : </t>
  </si>
  <si>
    <t>Ken</t>
  </si>
  <si>
    <t>403-650-0023</t>
  </si>
  <si>
    <t xml:space="preserve">636 36 Ave NE : </t>
  </si>
  <si>
    <t>Ben Ference</t>
  </si>
  <si>
    <t>Ben</t>
  </si>
  <si>
    <t xml:space="preserve">1235 Child Ave NE : </t>
  </si>
  <si>
    <t>Bentall Green Oak</t>
  </si>
  <si>
    <t>Enzo</t>
  </si>
  <si>
    <t>403-303-2400</t>
  </si>
  <si>
    <t>Enzo.DiPasquale@bgo.com</t>
  </si>
  <si>
    <t>Atif.Warsi@bgo.com</t>
  </si>
  <si>
    <t xml:space="preserve">153 Aero Way NE, Calgary </t>
  </si>
  <si>
    <t xml:space="preserve">Atif Warsi </t>
  </si>
  <si>
    <t xml:space="preserve">Logan Pinchbeck </t>
  </si>
  <si>
    <t>Logan.Pinchbeck@bgo.com</t>
  </si>
  <si>
    <t xml:space="preserve">2355 52 Ave SE, Calgary </t>
  </si>
  <si>
    <t xml:space="preserve">Nimarat Kaur </t>
  </si>
  <si>
    <t>Nimrat.Kaur@bgo.com</t>
  </si>
  <si>
    <t xml:space="preserve">2616 - 18 Street NE, Calgary </t>
  </si>
  <si>
    <t xml:space="preserve">1145 65 Ave NE, Calgary AB </t>
  </si>
  <si>
    <t>Berun Sheet Metal Ltd</t>
  </si>
  <si>
    <t>Ryan Berun</t>
  </si>
  <si>
    <t>ryan.berun@gmail.com</t>
  </si>
  <si>
    <t>3904 3a St NE : Suite 101</t>
  </si>
  <si>
    <t>BGIS Energy &amp; Facility Solutions</t>
  </si>
  <si>
    <t>403-652-8938</t>
  </si>
  <si>
    <t>1432132ab@bgis.com</t>
  </si>
  <si>
    <t>Muhktar</t>
  </si>
  <si>
    <t>403-243-4262</t>
  </si>
  <si>
    <t xml:space="preserve">4201 Macleod Tr. S : </t>
  </si>
  <si>
    <t>Rajni</t>
  </si>
  <si>
    <t>(587) 834-0222</t>
  </si>
  <si>
    <t xml:space="preserve">11808 24 ST SW : </t>
  </si>
  <si>
    <t>Manjeet</t>
  </si>
  <si>
    <t>(584) 361-1230</t>
  </si>
  <si>
    <t xml:space="preserve">1071 Canyon Meadows DR SW : </t>
  </si>
  <si>
    <t>akash singh</t>
  </si>
  <si>
    <t>(403)244-2499</t>
  </si>
  <si>
    <t xml:space="preserve">1419 8 ST SW : </t>
  </si>
  <si>
    <t>587-834-0222</t>
  </si>
  <si>
    <t xml:space="preserve">10241 ELBOW DR SW : </t>
  </si>
  <si>
    <t>Office</t>
  </si>
  <si>
    <t>403-264-2006</t>
  </si>
  <si>
    <t xml:space="preserve">6333 - 35 Street S.E. : </t>
  </si>
  <si>
    <t>Kendra</t>
  </si>
  <si>
    <t>403-291-1233</t>
  </si>
  <si>
    <t xml:space="preserve">2525 32 Ave NE : </t>
  </si>
  <si>
    <t>JAGGI</t>
  </si>
  <si>
    <t>403-236-5225</t>
  </si>
  <si>
    <t xml:space="preserve">5225 106 AVE SE : </t>
  </si>
  <si>
    <t>Deep</t>
  </si>
  <si>
    <t>13062029691</t>
  </si>
  <si>
    <t xml:space="preserve">230 Sandarac Dr NW : </t>
  </si>
  <si>
    <t>Bikaner Restaurant</t>
  </si>
  <si>
    <t>Raj Sidhu</t>
  </si>
  <si>
    <t>(403) 701-1645</t>
  </si>
  <si>
    <t>raj.sidhu75@yahoo.ca</t>
  </si>
  <si>
    <t xml:space="preserve">304 - 4774 Westwinds Dr NE : </t>
  </si>
  <si>
    <t>Bills Plumbing &amp; Heating</t>
  </si>
  <si>
    <t>Mark</t>
  </si>
  <si>
    <t>tech3@billsplumbingbanff.com</t>
  </si>
  <si>
    <t xml:space="preserve">1414 Railway Ave : </t>
  </si>
  <si>
    <t>Bishop O'Byrne Housing Association</t>
  </si>
  <si>
    <t>403-968-0577</t>
  </si>
  <si>
    <t>gmcnamara@bobha.com</t>
  </si>
  <si>
    <t>5320 4th Street S.W : Unit 310</t>
  </si>
  <si>
    <t xml:space="preserve">5320 4th Street S.W : </t>
  </si>
  <si>
    <t>BK Prime Alberta l LP c/o BentallGreenOak (Canada) LP</t>
  </si>
  <si>
    <t>Leonard</t>
  </si>
  <si>
    <t xml:space="preserve">4605 - 4649 52 Ave SE : </t>
  </si>
  <si>
    <t>Blackstone Properties</t>
  </si>
  <si>
    <t>Janet Li ( Administrator )</t>
  </si>
  <si>
    <t>scheduling@blackstonemgmt.ca</t>
  </si>
  <si>
    <t xml:space="preserve">333 28 St NE, Calgary </t>
  </si>
  <si>
    <t xml:space="preserve">Ty Corbiel </t>
  </si>
  <si>
    <t>ty.corbiell@blackstonemgmt.ca</t>
  </si>
  <si>
    <t>2204 1st Street SW</t>
  </si>
  <si>
    <t>Violet Duchesneau</t>
  </si>
  <si>
    <t xml:space="preserve">1449 17 Ave SE, Calgary </t>
  </si>
  <si>
    <t>Bob Fournier Riverstone</t>
  </si>
  <si>
    <t>Terry Heinrichs</t>
  </si>
  <si>
    <t>riverstone2@shaw.ca</t>
  </si>
  <si>
    <t xml:space="preserve">1701 318 26 Ave SW : </t>
  </si>
  <si>
    <t>Bob Morrison</t>
  </si>
  <si>
    <t>403-242-7831</t>
  </si>
  <si>
    <t xml:space="preserve">35 Strandell Crescent SW : </t>
  </si>
  <si>
    <t>Bock Roofing</t>
  </si>
  <si>
    <t>Howard Bock</t>
  </si>
  <si>
    <t xml:space="preserve">2320 Juniper Rd NW : </t>
  </si>
  <si>
    <t>Bogey's Pub &amp; Pizza</t>
  </si>
  <si>
    <t>Lyle</t>
  </si>
  <si>
    <t>(403) 312-4733</t>
  </si>
  <si>
    <t>bogeys@shaw.ca</t>
  </si>
  <si>
    <t xml:space="preserve">905 1st Ave : </t>
  </si>
  <si>
    <t>Bonnybrook Park Ind Dev Co Ltd</t>
  </si>
  <si>
    <t>Shayne</t>
  </si>
  <si>
    <t>403- 826-5204</t>
  </si>
  <si>
    <t xml:space="preserve">4089 Ogden Rd SE : </t>
  </si>
  <si>
    <t>Brian boyd</t>
  </si>
  <si>
    <t>403-237-7570</t>
  </si>
  <si>
    <t xml:space="preserve">4211 Ogden RD SE : </t>
  </si>
  <si>
    <t>Pat</t>
  </si>
  <si>
    <t>403-569-8180</t>
  </si>
  <si>
    <t xml:space="preserve">4111 17th St SE : </t>
  </si>
  <si>
    <t>Bossi Construction</t>
  </si>
  <si>
    <t>Toni Delas</t>
  </si>
  <si>
    <t>604-317-0885</t>
  </si>
  <si>
    <t>nadiab@bossiconstruction.com</t>
  </si>
  <si>
    <t xml:space="preserve">4011 2 St NW : </t>
  </si>
  <si>
    <t xml:space="preserve">1338 36 Avenue Northeast : </t>
  </si>
  <si>
    <t xml:space="preserve">2640 2 Avenue SE : </t>
  </si>
  <si>
    <t xml:space="preserve">8500 MacLeod Trail SE : </t>
  </si>
  <si>
    <t xml:space="preserve">417 14 St NW : </t>
  </si>
  <si>
    <t>Boston Pizza Memorial Drive</t>
  </si>
  <si>
    <t>Norm Kelsick</t>
  </si>
  <si>
    <t>(403) 248-4848</t>
  </si>
  <si>
    <t>kelsickN@bostonpizza.com</t>
  </si>
  <si>
    <t xml:space="preserve">2836 Memorial Dr. SE : </t>
  </si>
  <si>
    <t>Norm</t>
  </si>
  <si>
    <t xml:space="preserve">2836 Memorial Dr. S.E. : </t>
  </si>
  <si>
    <t>Bow Valley Agricultural Society</t>
  </si>
  <si>
    <t>CIndy</t>
  </si>
  <si>
    <t xml:space="preserve">225155A RR281A : </t>
  </si>
  <si>
    <t>Bow Valley Community Club</t>
  </si>
  <si>
    <t>induscurling@gmail.com</t>
  </si>
  <si>
    <t xml:space="preserve">255155 E RR281A Indus : </t>
  </si>
  <si>
    <t>Jaron Higgens</t>
  </si>
  <si>
    <t>(403) 975-1169</t>
  </si>
  <si>
    <t>jaron.higgens@hotmail.com</t>
  </si>
  <si>
    <t xml:space="preserve">255155 E RR281A : </t>
  </si>
  <si>
    <t>Bow Valley Power</t>
  </si>
  <si>
    <t>customercare@bowvalleypower.ne</t>
  </si>
  <si>
    <t>Bracewood Heating and Cooling</t>
  </si>
  <si>
    <t>Harold Vaughan</t>
  </si>
  <si>
    <t>403-804-0664</t>
  </si>
  <si>
    <t>Bracko Quality Home Furnishings</t>
  </si>
  <si>
    <t>Carey Bracko</t>
  </si>
  <si>
    <t>(403) 888-6100</t>
  </si>
  <si>
    <t>carey@brackobrothers.com</t>
  </si>
  <si>
    <t xml:space="preserve">5711 Blackfoot Trail SE : </t>
  </si>
  <si>
    <t>Brad Grass</t>
  </si>
  <si>
    <t>Peter Tiffy</t>
  </si>
  <si>
    <t>403-797-5276</t>
  </si>
  <si>
    <t xml:space="preserve">2727 78 Ave SE : </t>
  </si>
  <si>
    <t>Brandy Lane Condos</t>
  </si>
  <si>
    <t>Pamela Suzanne</t>
  </si>
  <si>
    <t>403-688-3161</t>
  </si>
  <si>
    <t xml:space="preserve">10401 19th St SW : </t>
  </si>
  <si>
    <t>Brant's Plumbing &amp; Heating</t>
  </si>
  <si>
    <t>blhagel@efirehose.net</t>
  </si>
  <si>
    <t>Braun Electrical Contractors Ltd</t>
  </si>
  <si>
    <t>Vlad@braunelectrical.com</t>
  </si>
  <si>
    <t>Brenare Contracting</t>
  </si>
  <si>
    <t>403-818-9550</t>
  </si>
  <si>
    <t>brenare@telus.net</t>
  </si>
  <si>
    <t xml:space="preserve">330 Cantebury Dr SW : </t>
  </si>
  <si>
    <t xml:space="preserve">9655 MacLeod Tr : </t>
  </si>
  <si>
    <t>Brewers Distribution</t>
  </si>
  <si>
    <t>Kyle</t>
  </si>
  <si>
    <t>(403) 531-1037</t>
  </si>
  <si>
    <t xml:space="preserve">2930 Centre Ave. N.E. : </t>
  </si>
  <si>
    <t>Brookfield Global Integrated</t>
  </si>
  <si>
    <t>Julie Remus</t>
  </si>
  <si>
    <t>(403) 969-1810</t>
  </si>
  <si>
    <t>julie.remus@brookfieldis.com</t>
  </si>
  <si>
    <t xml:space="preserve">30 Aero Drive NE : </t>
  </si>
  <si>
    <t>LES BAREHAM</t>
  </si>
  <si>
    <t>403)807-5101</t>
  </si>
  <si>
    <t xml:space="preserve">403 -1ST ST : </t>
  </si>
  <si>
    <t>TOM MANDIC</t>
  </si>
  <si>
    <t>4032713327200</t>
  </si>
  <si>
    <t xml:space="preserve">40 Technology way SE : </t>
  </si>
  <si>
    <t>30 Aero Drive NE : 4</t>
  </si>
  <si>
    <t>Brookfield Properties</t>
  </si>
  <si>
    <t>Gio</t>
  </si>
  <si>
    <t>403.770.2378</t>
  </si>
  <si>
    <t xml:space="preserve">420 2nd St SW : </t>
  </si>
  <si>
    <t>George C</t>
  </si>
  <si>
    <t>George Saliba</t>
  </si>
  <si>
    <t>403-863-4729</t>
  </si>
  <si>
    <t xml:space="preserve">420-2nd St SW # 101 : </t>
  </si>
  <si>
    <t>BTC Group</t>
  </si>
  <si>
    <t>jlajeunesse@btcgroup.ca</t>
  </si>
  <si>
    <t xml:space="preserve">5929 Signal Hill Centre SW : </t>
  </si>
  <si>
    <t xml:space="preserve">4750 Hwy 2a : </t>
  </si>
  <si>
    <t>Build It</t>
  </si>
  <si>
    <t>(403) 488-5184</t>
  </si>
  <si>
    <t>rebeka@buildit.ca</t>
  </si>
  <si>
    <t>Bullet Proof Roof</t>
  </si>
  <si>
    <t>(403) 391-4184</t>
  </si>
  <si>
    <t>bulletproofroof@yahoo.com</t>
  </si>
  <si>
    <t>Burnbrea Farms Ltd.</t>
  </si>
  <si>
    <t>Greg Kennedy</t>
  </si>
  <si>
    <t>(403) 279-1779</t>
  </si>
  <si>
    <t>gkennedy@burnbraefarms.com</t>
  </si>
  <si>
    <t xml:space="preserve">3404 56 Ave SE : </t>
  </si>
  <si>
    <t>Burnco</t>
  </si>
  <si>
    <t>4036409355</t>
  </si>
  <si>
    <t>mike@tricyclelane.com</t>
  </si>
  <si>
    <t>Calgary Board of Education</t>
  </si>
  <si>
    <t>403-500-2000</t>
  </si>
  <si>
    <t>cbeaccountspayable@cbe.ab.ca</t>
  </si>
  <si>
    <t>Accounts Payable : 3610 - 9th Street SE</t>
  </si>
  <si>
    <t>Terry Sutton</t>
  </si>
  <si>
    <t xml:space="preserve">2411 Vermilion St NE : </t>
  </si>
  <si>
    <t xml:space="preserve">5808 Madigan Dr NE : </t>
  </si>
  <si>
    <t xml:space="preserve">55 Riverside Gate SE : </t>
  </si>
  <si>
    <t xml:space="preserve">898 Sylvester Cr SW : </t>
  </si>
  <si>
    <t xml:space="preserve">4105 26 Ave SE : </t>
  </si>
  <si>
    <t xml:space="preserve">2215 Uxbridge Dr NW : </t>
  </si>
  <si>
    <t xml:space="preserve">512 18 St NW : </t>
  </si>
  <si>
    <t xml:space="preserve">10020 19 St SW : </t>
  </si>
  <si>
    <t>Calgary Catholic School Dis.</t>
  </si>
  <si>
    <t>henry.hernandez</t>
  </si>
  <si>
    <t>403-500-2045</t>
  </si>
  <si>
    <t>fsa@cssd.ab.ca</t>
  </si>
  <si>
    <t xml:space="preserve">708 - 47 St SE : </t>
  </si>
  <si>
    <t>Sylvain Bouliane</t>
  </si>
  <si>
    <t>403-500-2508</t>
  </si>
  <si>
    <t xml:space="preserve">4 Coral Springs Blvd NE : </t>
  </si>
  <si>
    <t>Tamas Lovasz</t>
  </si>
  <si>
    <t>(403) 500-2507</t>
  </si>
  <si>
    <t xml:space="preserve">41 Cranston Gate SE : </t>
  </si>
  <si>
    <t>Mathew Kennedy</t>
  </si>
  <si>
    <t>403-500-2503</t>
  </si>
  <si>
    <t xml:space="preserve">10910 Elbow Drive SW : </t>
  </si>
  <si>
    <t xml:space="preserve">4511-8  Ave SW : </t>
  </si>
  <si>
    <t>403-500-2507</t>
  </si>
  <si>
    <t xml:space="preserve">16201 McKenzie Lake Blvd SE : </t>
  </si>
  <si>
    <t xml:space="preserve">13825 Parkside Drive SE : </t>
  </si>
  <si>
    <t>403 500-2507</t>
  </si>
  <si>
    <t xml:space="preserve">6006 Rundlehorn Dr NE : </t>
  </si>
  <si>
    <t xml:space="preserve">111 Haddon Rd : </t>
  </si>
  <si>
    <t xml:space="preserve">904-32 St SE : </t>
  </si>
  <si>
    <t xml:space="preserve">70 Sunmills Dr SE : </t>
  </si>
  <si>
    <t xml:space="preserve">121 Midlake Blvd SE : </t>
  </si>
  <si>
    <t xml:space="preserve">3615 Radcliffe Dr. SE : </t>
  </si>
  <si>
    <t xml:space="preserve">3619 28 Street SE : </t>
  </si>
  <si>
    <t xml:space="preserve">4624 Richard Rd SW : </t>
  </si>
  <si>
    <t xml:space="preserve">1820 1 Ave North : </t>
  </si>
  <si>
    <t xml:space="preserve">1420 Falconridge Dr NE : </t>
  </si>
  <si>
    <t xml:space="preserve">736 Evanston Dr NW : </t>
  </si>
  <si>
    <t xml:space="preserve">14826 Millrise Hill S.W. : </t>
  </si>
  <si>
    <t xml:space="preserve">3719 26 Ave SE : </t>
  </si>
  <si>
    <t xml:space="preserve">3743 64 Ave SE : </t>
  </si>
  <si>
    <t xml:space="preserve">416-83 Ave SE : </t>
  </si>
  <si>
    <t xml:space="preserve">6020 4 ave ne : </t>
  </si>
  <si>
    <t>Sherwin Pano</t>
  </si>
  <si>
    <t>403 500-2506</t>
  </si>
  <si>
    <t xml:space="preserve">1010 - 21 Ave SE : </t>
  </si>
  <si>
    <t xml:space="preserve">800 Auburn Bay Blvd SE : </t>
  </si>
  <si>
    <t>luke williams</t>
  </si>
  <si>
    <t>403 500-2000</t>
  </si>
  <si>
    <t xml:space="preserve">13615 Deer Ridge Dr. SE : </t>
  </si>
  <si>
    <t>Luke Williams</t>
  </si>
  <si>
    <t>404-500-2000</t>
  </si>
  <si>
    <t xml:space="preserve">4540 26th Ave SW : </t>
  </si>
  <si>
    <t>(403) 500-2000</t>
  </si>
  <si>
    <t xml:space="preserve">108 - 22 Street NW : </t>
  </si>
  <si>
    <t xml:space="preserve">124-24 Ave NE : </t>
  </si>
  <si>
    <t>(403) 869-2439</t>
  </si>
  <si>
    <t xml:space="preserve">1005 5 Ave SW : </t>
  </si>
  <si>
    <t>404-500-2507</t>
  </si>
  <si>
    <t xml:space="preserve">919 Tuscany Drive NW : </t>
  </si>
  <si>
    <t>sylvain bouliane</t>
  </si>
  <si>
    <t>403-500-2020</t>
  </si>
  <si>
    <t xml:space="preserve">6839 Temple Dr. NE : </t>
  </si>
  <si>
    <t>Cam Browning</t>
  </si>
  <si>
    <t>403-500-2505</t>
  </si>
  <si>
    <t xml:space="preserve">877 Northmount Dr.NW : </t>
  </si>
  <si>
    <t>403 500-2505</t>
  </si>
  <si>
    <t xml:space="preserve">2312 - 18 St. N.W. : </t>
  </si>
  <si>
    <t xml:space="preserve">65 Chaparral Dr. SE : </t>
  </si>
  <si>
    <t>Tamas</t>
  </si>
  <si>
    <t xml:space="preserve">501 Sunset Dr : </t>
  </si>
  <si>
    <t>403-500-2012</t>
  </si>
  <si>
    <t xml:space="preserve">6320 Taralea Park NE : </t>
  </si>
  <si>
    <t xml:space="preserve">375 Hawkstone Dr. NW : </t>
  </si>
  <si>
    <t>Bruce  Taplin</t>
  </si>
  <si>
    <t>(403) 500-2510</t>
  </si>
  <si>
    <t xml:space="preserve">1717 41 St SE : </t>
  </si>
  <si>
    <t xml:space="preserve">111 18 Ave SW : </t>
  </si>
  <si>
    <t>Bruce</t>
  </si>
  <si>
    <t xml:space="preserve">1420 - 28 St SE : </t>
  </si>
  <si>
    <t xml:space="preserve">1005 Abbotsford Dr. NE : </t>
  </si>
  <si>
    <t xml:space="preserve">1916 - 2 St SW : </t>
  </si>
  <si>
    <t>404-500-2508</t>
  </si>
  <si>
    <t xml:space="preserve">2419 - 50 St. N.E. : </t>
  </si>
  <si>
    <t xml:space="preserve">55 Lynndale Cres SE : </t>
  </si>
  <si>
    <t>403-744-5214</t>
  </si>
  <si>
    <t xml:space="preserve">11 Canata Cl SW : </t>
  </si>
  <si>
    <t xml:space="preserve">1710 Acadia Drive SE : </t>
  </si>
  <si>
    <t xml:space="preserve">11020 Fairmount Dr. SE : </t>
  </si>
  <si>
    <t>Luke</t>
  </si>
  <si>
    <t>(403) 500-2130</t>
  </si>
  <si>
    <t xml:space="preserve">31 Silverado Terrace SW : </t>
  </si>
  <si>
    <t xml:space="preserve">730 Woodbine Blvd. SW : </t>
  </si>
  <si>
    <t xml:space="preserve">99 Bridlewood Rd. S.W. : </t>
  </si>
  <si>
    <t>Bruce Taplin</t>
  </si>
  <si>
    <t>403-500-2510</t>
  </si>
  <si>
    <t xml:space="preserve">927 Lake Sylvan Dr SE : </t>
  </si>
  <si>
    <t xml:space="preserve">1204-96 Ave SW : </t>
  </si>
  <si>
    <t>Christine Hooey</t>
  </si>
  <si>
    <t>403-500-2040</t>
  </si>
  <si>
    <t xml:space="preserve">610 Agate Cres. SE : </t>
  </si>
  <si>
    <t xml:space="preserve">65 Shannon Drive SW : </t>
  </si>
  <si>
    <t xml:space="preserve">2990 Cedarbrae DR.SW : </t>
  </si>
  <si>
    <t xml:space="preserve">10340 - 19 St SW : </t>
  </si>
  <si>
    <t>403-500-2500</t>
  </si>
  <si>
    <t xml:space="preserve">500- 333 Shawville Blvd SE : </t>
  </si>
  <si>
    <t xml:space="preserve">730 Citadel Way NE : </t>
  </si>
  <si>
    <t xml:space="preserve">1100 New Brighton Dr SE : </t>
  </si>
  <si>
    <t xml:space="preserve">2919 Douglasdale Boulevard SE : </t>
  </si>
  <si>
    <t xml:space="preserve">729 Legacy Village Road SE : </t>
  </si>
  <si>
    <t xml:space="preserve">225 Prestwick Avenue SE : </t>
  </si>
  <si>
    <t xml:space="preserve">43 Auburn Meadows Blvd SE : </t>
  </si>
  <si>
    <t xml:space="preserve">275 Riverglen Dr SE : </t>
  </si>
  <si>
    <t xml:space="preserve">1500 Arbour Lake Rd NW : </t>
  </si>
  <si>
    <t xml:space="preserve">1232 Northmount Dr NW : </t>
  </si>
  <si>
    <t xml:space="preserve">5030 Northland DR NW : </t>
  </si>
  <si>
    <t xml:space="preserve">129 Powell Street : </t>
  </si>
  <si>
    <t xml:space="preserve">7311 - 34 Ave NW : </t>
  </si>
  <si>
    <t xml:space="preserve">3320 Carol Dr. NW : </t>
  </si>
  <si>
    <t xml:space="preserve">4820 Dalhart Rd NW : </t>
  </si>
  <si>
    <t xml:space="preserve">7318 Silver Springs Blvd NW : </t>
  </si>
  <si>
    <t xml:space="preserve">115 Edenwold Drive NW : </t>
  </si>
  <si>
    <t xml:space="preserve">999 Sherwood Blvd NW : </t>
  </si>
  <si>
    <t xml:space="preserve">8887 Scurfield DR NW : </t>
  </si>
  <si>
    <t xml:space="preserve">134 Rainbow Falls Drive : </t>
  </si>
  <si>
    <t xml:space="preserve">7811 Ranchview Dr. NW : </t>
  </si>
  <si>
    <t xml:space="preserve">4331 - 41 Ave SW : </t>
  </si>
  <si>
    <t xml:space="preserve">10845 Hidden Valley Dr NW : </t>
  </si>
  <si>
    <t xml:space="preserve">410 Yanke Valley Blvd SW : </t>
  </si>
  <si>
    <t xml:space="preserve">15 Skyview Ranch St NE : </t>
  </si>
  <si>
    <t xml:space="preserve">11900 Country Village Link : </t>
  </si>
  <si>
    <t xml:space="preserve">11616 Panarama Hills Blvd NW : </t>
  </si>
  <si>
    <t xml:space="preserve">7423- 10 Street NW : </t>
  </si>
  <si>
    <t xml:space="preserve">327 Sandrac Dr. NW : </t>
  </si>
  <si>
    <t xml:space="preserve">333 Bermuda Dr. NW : </t>
  </si>
  <si>
    <t xml:space="preserve">12455 Coventry Hills Way NE : </t>
  </si>
  <si>
    <t>Tamas Lavasz</t>
  </si>
  <si>
    <t xml:space="preserve">1319 Thorburn Drive SE : </t>
  </si>
  <si>
    <t xml:space="preserve">7970 Wentworth Drive SW : </t>
  </si>
  <si>
    <t xml:space="preserve">20 Aspen Hills Dr SW : </t>
  </si>
  <si>
    <t xml:space="preserve">231 - 6 Street SW : </t>
  </si>
  <si>
    <t xml:space="preserve">4225 44 Ave NE : </t>
  </si>
  <si>
    <t xml:space="preserve">111 Rundlehill Dr NE : </t>
  </si>
  <si>
    <t>(403) 500-2505</t>
  </si>
  <si>
    <t xml:space="preserve">5607 Thornton Road NW : </t>
  </si>
  <si>
    <t xml:space="preserve">197 Invermere Dr. : </t>
  </si>
  <si>
    <t xml:space="preserve">320-64 AVE NW : </t>
  </si>
  <si>
    <t xml:space="preserve">928 Radnor Ave NE : </t>
  </si>
  <si>
    <t xml:space="preserve">119 Castleridge Dr. NE : </t>
  </si>
  <si>
    <t xml:space="preserve">5700 Falconridge Blvd NE : </t>
  </si>
  <si>
    <t xml:space="preserve">320-72 Ave NE : </t>
  </si>
  <si>
    <t xml:space="preserve">2512 - 5 St NW : </t>
  </si>
  <si>
    <t xml:space="preserve">6110 Temple Dr. NE : </t>
  </si>
  <si>
    <t xml:space="preserve">720 58 St SE : </t>
  </si>
  <si>
    <t xml:space="preserve">4589 Marbank Dr NE : </t>
  </si>
  <si>
    <t xml:space="preserve">509 Harvest Hills Drive NE : </t>
  </si>
  <si>
    <t xml:space="preserve">235-18 Ave SW : </t>
  </si>
  <si>
    <t xml:space="preserve">416 - 83 Ave SE : </t>
  </si>
  <si>
    <t xml:space="preserve">2227-58 Ave SW : </t>
  </si>
  <si>
    <t xml:space="preserve">3011 - 35 St SW : </t>
  </si>
  <si>
    <t xml:space="preserve">4811 6 Street SW : </t>
  </si>
  <si>
    <t xml:space="preserve">7112 7 St. SW : </t>
  </si>
  <si>
    <t xml:space="preserve">1312-15 St SW : </t>
  </si>
  <si>
    <t xml:space="preserve">15 12 St. NW : </t>
  </si>
  <si>
    <t xml:space="preserve">5340 - 26 Ave SW : </t>
  </si>
  <si>
    <t xml:space="preserve">6220 Lakeview Dr SW : </t>
  </si>
  <si>
    <t xml:space="preserve">300 Strathcona Drive SW : </t>
  </si>
  <si>
    <t xml:space="preserve">228 Mahogany Boulevard SE : </t>
  </si>
  <si>
    <t xml:space="preserve">1420 Falconridge Dr. N.E : </t>
  </si>
  <si>
    <t xml:space="preserve">416 83 Avenue SW : </t>
  </si>
  <si>
    <t>919 Tuscany Drive NW : Big Gym Leak</t>
  </si>
  <si>
    <t xml:space="preserve">231 - 6 Street NE : </t>
  </si>
  <si>
    <t xml:space="preserve">719 - 44 Ave NW : </t>
  </si>
  <si>
    <t xml:space="preserve">2445 23 Ave SW : </t>
  </si>
  <si>
    <t xml:space="preserve">7011 Farrell Rd SE : </t>
  </si>
  <si>
    <t xml:space="preserve">1140 Mayland Dr NE : </t>
  </si>
  <si>
    <t xml:space="preserve">3 Evansglen Close NW : </t>
  </si>
  <si>
    <t xml:space="preserve">7011 Farrell Rd. S.E. : </t>
  </si>
  <si>
    <t>(403) 500-2508</t>
  </si>
  <si>
    <t xml:space="preserve">730 Woodbine Blvd SW : </t>
  </si>
  <si>
    <t xml:space="preserve">99 Bridlewood Rd SW : </t>
  </si>
  <si>
    <t xml:space="preserve">380 Coopers Dr SW : </t>
  </si>
  <si>
    <t xml:space="preserve">1000 5 Avenue SW : </t>
  </si>
  <si>
    <t>Matt Kennedy</t>
  </si>
  <si>
    <t>403-801-0415</t>
  </si>
  <si>
    <t xml:space="preserve">200 Fireside Dr : </t>
  </si>
  <si>
    <t xml:space="preserve">228 Mahogany Blvd SE : </t>
  </si>
  <si>
    <t xml:space="preserve">730 Citadel Way NW : </t>
  </si>
  <si>
    <t>james.braun@cssd.ab.ca</t>
  </si>
  <si>
    <t>3619 28 St SE, Calgary, AB T2B 2J1</t>
  </si>
  <si>
    <t>mathew.kennedy@cssd.ab.ca</t>
  </si>
  <si>
    <t>55 Lynndale Crescent SE, Calgary, AB T2C 0T8</t>
  </si>
  <si>
    <t>sherwin.pano@cssd.ab.ca</t>
  </si>
  <si>
    <t xml:space="preserve">10845 Hidden Valley Dr NW, Calgary </t>
  </si>
  <si>
    <t>Calgary Chinese Elderly Citizens Association</t>
  </si>
  <si>
    <t>Elaine</t>
  </si>
  <si>
    <t xml:space="preserve">111 Riverfront Ave SW : </t>
  </si>
  <si>
    <t>Calgary Christian School</t>
  </si>
  <si>
    <t>Keith Ermter</t>
  </si>
  <si>
    <t>(403) 462-2363</t>
  </si>
  <si>
    <t>rrdees@gmail.com</t>
  </si>
  <si>
    <t xml:space="preserve">5029 26 Ave SW : </t>
  </si>
  <si>
    <t>Ron Dees</t>
  </si>
  <si>
    <t>(403) 333-3403</t>
  </si>
  <si>
    <t xml:space="preserve">2839 49 Street SW : </t>
  </si>
  <si>
    <t xml:space="preserve">5029 26 Avenue SW : </t>
  </si>
  <si>
    <t>Calgary Courts Centre</t>
  </si>
  <si>
    <t>Duncan.Fender@atkinsrealis.com</t>
  </si>
  <si>
    <t>Calgary Housing Company</t>
  </si>
  <si>
    <t>(587) 390-1200</t>
  </si>
  <si>
    <t>nicolle.ryan@calgary.ca</t>
  </si>
  <si>
    <t>1820 14 Ave NE</t>
  </si>
  <si>
    <t>Calgary L&amp;G Inc.</t>
  </si>
  <si>
    <t>Sukhdeep Gill</t>
  </si>
  <si>
    <t>403-384-5600</t>
  </si>
  <si>
    <t>sukhdeep@calgarylg.ca</t>
  </si>
  <si>
    <t xml:space="preserve">8860- 60  Avenue : </t>
  </si>
  <si>
    <t>Calgary Olympic Development Association</t>
  </si>
  <si>
    <t>Amber Larson</t>
  </si>
  <si>
    <t>403-333-1623</t>
  </si>
  <si>
    <t xml:space="preserve">88 Canada Olympic Road SW : </t>
  </si>
  <si>
    <t>Calgary Police Services</t>
  </si>
  <si>
    <t>4038049043</t>
  </si>
  <si>
    <t>cstride@calgarypolice.ca</t>
  </si>
  <si>
    <t>6528 11 Street NE</t>
  </si>
  <si>
    <t>Michael Serediuk</t>
  </si>
  <si>
    <t>(403) 428-5976</t>
  </si>
  <si>
    <t>Infrastructure Services Div. : 5111 47 Street NE</t>
  </si>
  <si>
    <t>Calibre Construction</t>
  </si>
  <si>
    <t>Mike Jamieson</t>
  </si>
  <si>
    <t>1-855-888-8648</t>
  </si>
  <si>
    <t xml:space="preserve">4220 78 Ave SE : </t>
  </si>
  <si>
    <t xml:space="preserve">Canadian Urban Limited </t>
  </si>
  <si>
    <t xml:space="preserve">Gerry Edwards </t>
  </si>
  <si>
    <t>gestratton@shaw.ca</t>
  </si>
  <si>
    <t xml:space="preserve">4303 26 St NE, Calgary </t>
  </si>
  <si>
    <t>Canadian Urban Real Estate Fund 7 LP</t>
  </si>
  <si>
    <t>Craig Libby</t>
  </si>
  <si>
    <t>587-434-5588</t>
  </si>
  <si>
    <t>payables@canadianurban.com</t>
  </si>
  <si>
    <t xml:space="preserve">10572-105 St. : </t>
  </si>
  <si>
    <t xml:space="preserve">5819 2nd St SW : </t>
  </si>
  <si>
    <t>Craig</t>
  </si>
  <si>
    <t>15874345588</t>
  </si>
  <si>
    <t>Dogtopia : 2807 107ave SE</t>
  </si>
  <si>
    <t>Janet</t>
  </si>
  <si>
    <t>403) 209-0060</t>
  </si>
  <si>
    <t xml:space="preserve">1017 11 Ave SW : </t>
  </si>
  <si>
    <t>Craig libey</t>
  </si>
  <si>
    <t xml:space="preserve">5055 11st NE : </t>
  </si>
  <si>
    <t xml:space="preserve">255 17 ave SW : </t>
  </si>
  <si>
    <t xml:space="preserve">Airdrie : </t>
  </si>
  <si>
    <t>Bay 1 : 10820-27 Street SE</t>
  </si>
  <si>
    <t xml:space="preserve">8-114 Sierra Springs Drive : </t>
  </si>
  <si>
    <t>Bay 8-9 Leak : 2807 107ave SE</t>
  </si>
  <si>
    <t xml:space="preserve"> : 5710 51 St. SE</t>
  </si>
  <si>
    <t>10820 27th Street SE : 2807 107 Ave SE</t>
  </si>
  <si>
    <t xml:space="preserve">3 Kingsview Rd SE : </t>
  </si>
  <si>
    <t>Anytime Fitness : 11500 29 St SE</t>
  </si>
  <si>
    <t>Easy Auto Glass : 2807 107ave SE</t>
  </si>
  <si>
    <t xml:space="preserve">2807 107 Ave Se : </t>
  </si>
  <si>
    <t xml:space="preserve">#10 Chaparral Drive SE : </t>
  </si>
  <si>
    <t xml:space="preserve">805 East Lake Blv : </t>
  </si>
  <si>
    <t>1 5874345588</t>
  </si>
  <si>
    <t xml:space="preserve">2611 Hopewell Place NE : </t>
  </si>
  <si>
    <t xml:space="preserve">5819 2St. SW : </t>
  </si>
  <si>
    <t>4303 26 St NE : CBNCL</t>
  </si>
  <si>
    <t xml:space="preserve">665 Base Line Rd : </t>
  </si>
  <si>
    <t>403-921-6308</t>
  </si>
  <si>
    <t xml:space="preserve">18348 Lessard Rd : </t>
  </si>
  <si>
    <t>Kelly</t>
  </si>
  <si>
    <t>2611 Hopewell Place NE : #125</t>
  </si>
  <si>
    <t>Kelly Dreger</t>
  </si>
  <si>
    <t>888-412-7722</t>
  </si>
  <si>
    <t xml:space="preserve">#129 4303 26 St NE : </t>
  </si>
  <si>
    <t xml:space="preserve">#10 Chaparral Dr Se : </t>
  </si>
  <si>
    <t xml:space="preserve">10572 - 105 Street, Edmonton : </t>
  </si>
  <si>
    <t xml:space="preserve">4303 26th St NE : </t>
  </si>
  <si>
    <t xml:space="preserve">805 East Lake Blvd : </t>
  </si>
  <si>
    <t xml:space="preserve">4303 -26 St NE : </t>
  </si>
  <si>
    <t>2611 Hopewell Place NE : #117</t>
  </si>
  <si>
    <t>4303 26 St NE : #114</t>
  </si>
  <si>
    <t xml:space="preserve">525 11 Ave SW : </t>
  </si>
  <si>
    <t>4303 26 St NE : #130</t>
  </si>
  <si>
    <t xml:space="preserve">10820 27th Street SE : </t>
  </si>
  <si>
    <t xml:space="preserve"> : 2807 107 Ave SE</t>
  </si>
  <si>
    <t xml:space="preserve">#122 4303 26 St NE : </t>
  </si>
  <si>
    <t xml:space="preserve">#10 Chapparral Drive SE : </t>
  </si>
  <si>
    <t>Canderel Management (West) Inc.</t>
  </si>
  <si>
    <t>Jelar</t>
  </si>
  <si>
    <t>Vacant Lot : 13780 Bow Bottom Tr SE</t>
  </si>
  <si>
    <t>403-629-0066</t>
  </si>
  <si>
    <t>Ranchlands Village : 1829 Ranchlands Blvd</t>
  </si>
  <si>
    <t>Ranchlands Village Scotia Bank : 1829 Ranchlands Blvd</t>
  </si>
  <si>
    <t xml:space="preserve">16 Macewan Dr : </t>
  </si>
  <si>
    <t xml:space="preserve">3309 19 st NE : </t>
  </si>
  <si>
    <t>1725 32 Ave NE</t>
  </si>
  <si>
    <t>Mcall Lake Plaza : 1725 32 Ave NE</t>
  </si>
  <si>
    <t>(403) 629-0066</t>
  </si>
  <si>
    <t>Ranchlands Village Tail Blazers : 1829 Ranchlands Blvd</t>
  </si>
  <si>
    <t>Ramy</t>
  </si>
  <si>
    <t>403-400-6585</t>
  </si>
  <si>
    <t>Mall 58 Canadian Choice Windows : 105 58 Ave. SE</t>
  </si>
  <si>
    <t>Alberta Health Service : 1829 Ranchlands Blvd</t>
  </si>
  <si>
    <t>Airways Place End of The Roll : 1920 32nd Avenue NE</t>
  </si>
  <si>
    <t>MacEwan Centre : 16 MacEwan Dr</t>
  </si>
  <si>
    <t>Airways Place : 1920 32nd Avenue NE</t>
  </si>
  <si>
    <t xml:space="preserve">1920 32nd Avenue NE : </t>
  </si>
  <si>
    <t>Canadian Choice Windows : 105 58 Ave. SE</t>
  </si>
  <si>
    <t>Darko</t>
  </si>
  <si>
    <t>403-923 5102</t>
  </si>
  <si>
    <t>7260 12th Street SE : 7260  12th Street SE</t>
  </si>
  <si>
    <t>Jacob</t>
  </si>
  <si>
    <t>(403) 561-8803</t>
  </si>
  <si>
    <t xml:space="preserve">1013 17th Ave SW : </t>
  </si>
  <si>
    <t>Sam</t>
  </si>
  <si>
    <t>Village Square : 2640 52 St NE</t>
  </si>
  <si>
    <t>MacEwan Centre Brixton Pub : 16 MacEwan Dr</t>
  </si>
  <si>
    <t xml:space="preserve"> : 2640 52 St NE</t>
  </si>
  <si>
    <t>MacEwan Medical Centre : 16 MacEwan Dr</t>
  </si>
  <si>
    <t>Darrell</t>
  </si>
  <si>
    <t>403 389 6230</t>
  </si>
  <si>
    <t xml:space="preserve">6012 3 St SW : </t>
  </si>
  <si>
    <t>(403) 973-9063</t>
  </si>
  <si>
    <t>Janitor Room : 2640 52 St NE</t>
  </si>
  <si>
    <t>Paul</t>
  </si>
  <si>
    <t xml:space="preserve">302 50th Ave SE : </t>
  </si>
  <si>
    <t xml:space="preserve">2640 52 St NE : </t>
  </si>
  <si>
    <t>Mccall Lake Plaza : 1725 32 Ave NE</t>
  </si>
  <si>
    <t>Debbie Poulin</t>
  </si>
  <si>
    <t>403.796.3637</t>
  </si>
  <si>
    <t xml:space="preserve">230, 10201 Southport Road SW : </t>
  </si>
  <si>
    <t xml:space="preserve">1032 17 Ave SW : </t>
  </si>
  <si>
    <t>Former Sociables : 2640 52 St NE</t>
  </si>
  <si>
    <t>Candlewood Suites Calgary</t>
  </si>
  <si>
    <t>Bill Frankish</t>
  </si>
  <si>
    <t>403 455 37744</t>
  </si>
  <si>
    <t>bill@frankish.ca</t>
  </si>
  <si>
    <t xml:space="preserve">27 Freeport Cres NE : </t>
  </si>
  <si>
    <t>Canreal Management Corporation</t>
  </si>
  <si>
    <t>Brian</t>
  </si>
  <si>
    <t>(403) 804-5636</t>
  </si>
  <si>
    <t xml:space="preserve">290 Midpark Way SE : </t>
  </si>
  <si>
    <t>Capital City Shopping Centre Limited</t>
  </si>
  <si>
    <t>Rob Overbeck</t>
  </si>
  <si>
    <t>403-801-2810</t>
  </si>
  <si>
    <t>charding@20vic.com</t>
  </si>
  <si>
    <t>Portland Place : 2600 Portland Place SE</t>
  </si>
  <si>
    <t>The Boulevard Shopping Centre : 16061 Macleod Trail SE</t>
  </si>
  <si>
    <t>Robert Overbeck</t>
  </si>
  <si>
    <t>1 403 801 2810</t>
  </si>
  <si>
    <t>c/o Cushman &amp; Wakefield asset services ULC : #201, 1610 – 37th street SW</t>
  </si>
  <si>
    <t>Muder Khambati</t>
  </si>
  <si>
    <t>The Boulevards : 16061 Macleod Trail SE</t>
  </si>
  <si>
    <t>Laraine Mumford</t>
  </si>
  <si>
    <t>(403) 465-1500</t>
  </si>
  <si>
    <t xml:space="preserve">1200 37th Street SW : </t>
  </si>
  <si>
    <t>Portland Place : 2600 Portland Street SE</t>
  </si>
  <si>
    <t>Westbrook Mall : 1200 37th Street SW</t>
  </si>
  <si>
    <t>Ian Haward</t>
  </si>
  <si>
    <t>403-805-1158</t>
  </si>
  <si>
    <t>Westbrook Mall : 1200 37 Street SW</t>
  </si>
  <si>
    <t>Portland PLace : #1070 - 2600 Portland St SE</t>
  </si>
  <si>
    <t>Robert overbeck</t>
  </si>
  <si>
    <t>Portland Place : 1100-2600 Portland Street SE</t>
  </si>
  <si>
    <t>SportCheck : 1200 37th Street SW</t>
  </si>
  <si>
    <t xml:space="preserve">2600 Portland Street SE : </t>
  </si>
  <si>
    <t>Westrbook MAll : 1200 37th Street SW</t>
  </si>
  <si>
    <t>Westbrook Mall 1002 37 St SW : 1002 37 St SW</t>
  </si>
  <si>
    <t>Westbrook Mall : 1200 37th ST SW</t>
  </si>
  <si>
    <t>Gaetz Crossing : 5250 22 St #30F</t>
  </si>
  <si>
    <t>1200 37th Street SW : Entrance 6</t>
  </si>
  <si>
    <t>Ron</t>
  </si>
  <si>
    <t>403-505-0067</t>
  </si>
  <si>
    <t>Gaetz Crossing : 5250 22 St #90B</t>
  </si>
  <si>
    <t>Arron Darlyple</t>
  </si>
  <si>
    <t>The Boulevard Shopping Center : 16061 McLeod Trail SE</t>
  </si>
  <si>
    <t>c/o Cushman &amp; Wakefield Asset : #41 - 1200 37 Street SW</t>
  </si>
  <si>
    <t>Raphael</t>
  </si>
  <si>
    <t xml:space="preserve">151 Crowfoot Terrace NW Unit 39, Calgary, AB : </t>
  </si>
  <si>
    <t>Professional Building : 1200 37th ST SW</t>
  </si>
  <si>
    <t>Cardic Construction</t>
  </si>
  <si>
    <t>accounting@cardiccon.com</t>
  </si>
  <si>
    <t xml:space="preserve">1333 32 Ave NE : </t>
  </si>
  <si>
    <t xml:space="preserve">30 Aero Dr NE : </t>
  </si>
  <si>
    <t>Cardon Group</t>
  </si>
  <si>
    <t>Filip Gigic</t>
  </si>
  <si>
    <t xml:space="preserve">5774 10 Street NE : </t>
  </si>
  <si>
    <t>Carol Ann Williams</t>
  </si>
  <si>
    <t>(403) 681-1330</t>
  </si>
  <si>
    <t>carolannwilliams1@me.com</t>
  </si>
  <si>
    <t xml:space="preserve">1317 Montreal Ave SW : </t>
  </si>
  <si>
    <t>Carol Ryder</t>
  </si>
  <si>
    <t>403-968-5349</t>
  </si>
  <si>
    <t>lcryder@shaw.ca</t>
  </si>
  <si>
    <t xml:space="preserve">1143 39 Avenue SW : </t>
  </si>
  <si>
    <t>Caron Johnson</t>
  </si>
  <si>
    <t>403-874-8824</t>
  </si>
  <si>
    <t>jcaron@telus.net</t>
  </si>
  <si>
    <t xml:space="preserve">602-604 Southland Green SW : </t>
  </si>
  <si>
    <t>Carpenter Canada Co</t>
  </si>
  <si>
    <t>Blake jackson</t>
  </si>
  <si>
    <t xml:space="preserve">5800 36 ST SE : </t>
  </si>
  <si>
    <t>blake.jackson@carpenter.com</t>
  </si>
  <si>
    <t>5800 - 36 St. S.E Calgary, Alberta T2C 2A9</t>
  </si>
  <si>
    <t>Cascade HVAC</t>
  </si>
  <si>
    <t>AJ Enns</t>
  </si>
  <si>
    <t xml:space="preserve">4200 46 Ave SE : </t>
  </si>
  <si>
    <t>Ryan Martinez</t>
  </si>
  <si>
    <t>403.809.3876</t>
  </si>
  <si>
    <t>Suite 106 : 2914 Kingsview BlVD</t>
  </si>
  <si>
    <t>AJ</t>
  </si>
  <si>
    <t>403-703-7467</t>
  </si>
  <si>
    <t>A5</t>
  </si>
  <si>
    <t xml:space="preserve">162 Leva Ave : </t>
  </si>
  <si>
    <t xml:space="preserve">7003-30 St SE : </t>
  </si>
  <si>
    <t xml:space="preserve">1922 9 Ave SE : </t>
  </si>
  <si>
    <t>403.703.7467</t>
  </si>
  <si>
    <t xml:space="preserve">3304 33st NW : </t>
  </si>
  <si>
    <t>Bay 5 : 920 28th Street NE</t>
  </si>
  <si>
    <t>CBI Solar</t>
  </si>
  <si>
    <t>(403) 702-1807</t>
  </si>
  <si>
    <t xml:space="preserve">54 Copperstone Rd SE : </t>
  </si>
  <si>
    <t>Kenneth Maloney</t>
  </si>
  <si>
    <t>403-702-1807</t>
  </si>
  <si>
    <t xml:space="preserve">Kenneth D. Taylor School : </t>
  </si>
  <si>
    <t>Austin</t>
  </si>
  <si>
    <t>(403) 844-6374</t>
  </si>
  <si>
    <t xml:space="preserve">1100 Everridge Dr SW : </t>
  </si>
  <si>
    <t>Mason Fournel</t>
  </si>
  <si>
    <t>(403) 358-7762</t>
  </si>
  <si>
    <t xml:space="preserve">82 Queens Drive : </t>
  </si>
  <si>
    <t>CCN 0711408-Peigan Crossing</t>
  </si>
  <si>
    <t>403-984-2450</t>
  </si>
  <si>
    <t xml:space="preserve">3750 46 Ave SE : </t>
  </si>
  <si>
    <t>Janet Li</t>
  </si>
  <si>
    <t xml:space="preserve">C/O Blackstone Property Mgmt Inc : </t>
  </si>
  <si>
    <t>CCN 1712441- Glacier Village</t>
  </si>
  <si>
    <t xml:space="preserve">C/O Blackstone Property Management Inc : </t>
  </si>
  <si>
    <t>CCOA RED 1 LP</t>
  </si>
  <si>
    <t>Theresa McFarland</t>
  </si>
  <si>
    <t xml:space="preserve">110, 151 - 86 Avenue SE : </t>
  </si>
  <si>
    <t>CCR Creative Renovations</t>
  </si>
  <si>
    <t>Conrad</t>
  </si>
  <si>
    <t>conradk@telus.net</t>
  </si>
  <si>
    <t xml:space="preserve">15931 Woodpath Rd SW : </t>
  </si>
  <si>
    <t>Cedarview Condominium 7911325</t>
  </si>
  <si>
    <t>Jade Cooper</t>
  </si>
  <si>
    <t>403-970-5233</t>
  </si>
  <si>
    <t xml:space="preserve">2114 17th Street SW : </t>
  </si>
  <si>
    <t>Centcom Construction LTD.</t>
  </si>
  <si>
    <t>David Jonasson</t>
  </si>
  <si>
    <t>403-252-5571 e</t>
  </si>
  <si>
    <t>Center Street Church</t>
  </si>
  <si>
    <t>(403) 293-3900</t>
  </si>
  <si>
    <t>rob.mcnaught@cschurch.ca</t>
  </si>
  <si>
    <t>Centre Street Church</t>
  </si>
  <si>
    <t>Stan Banks</t>
  </si>
  <si>
    <t>403-520-2665</t>
  </si>
  <si>
    <t>stan.banks@cschurch.ca</t>
  </si>
  <si>
    <t xml:space="preserve">3900 2 St NE : </t>
  </si>
  <si>
    <t xml:space="preserve">4120 Centre St NE : </t>
  </si>
  <si>
    <t>Rob</t>
  </si>
  <si>
    <t>403-293-3900</t>
  </si>
  <si>
    <t xml:space="preserve">235 8a St NE : </t>
  </si>
  <si>
    <t xml:space="preserve">33 Damkar Court : </t>
  </si>
  <si>
    <t>Centura</t>
  </si>
  <si>
    <t>Bob Russell</t>
  </si>
  <si>
    <t>403.259.0106</t>
  </si>
  <si>
    <t>brussell@centura.ca</t>
  </si>
  <si>
    <t xml:space="preserve">7360-12th Street SE : </t>
  </si>
  <si>
    <t>Chad Welechenko</t>
  </si>
  <si>
    <t>403-836-1790</t>
  </si>
  <si>
    <t xml:space="preserve">3011 36 ST SW : </t>
  </si>
  <si>
    <t>Charter Property Management</t>
  </si>
  <si>
    <t>(587) 318-0798</t>
  </si>
  <si>
    <t>admin@charterpm.ca</t>
  </si>
  <si>
    <t>Sam Frayne</t>
  </si>
  <si>
    <t>403-369-1570</t>
  </si>
  <si>
    <t>claire@charterpm.ca</t>
  </si>
  <si>
    <t xml:space="preserve">211 Exploration Ave SE : </t>
  </si>
  <si>
    <t>(403) 312-4243</t>
  </si>
  <si>
    <t xml:space="preserve">217 Exploration Ave SE : </t>
  </si>
  <si>
    <t>Alvie Reinson</t>
  </si>
  <si>
    <t>(403) 860-8524</t>
  </si>
  <si>
    <t xml:space="preserve">212 Initiatave Ave SE : </t>
  </si>
  <si>
    <t>Jane Mitton</t>
  </si>
  <si>
    <t>587-391-8724</t>
  </si>
  <si>
    <t xml:space="preserve">1730 5A St SW : </t>
  </si>
  <si>
    <t xml:space="preserve">730 5A St SW : </t>
  </si>
  <si>
    <t xml:space="preserve">500, 5940 Macleod Trail SW : </t>
  </si>
  <si>
    <t>Tweed C/O Charter Property : 500, 5940 Macleod Trail SW</t>
  </si>
  <si>
    <t xml:space="preserve">1730 5 A st : </t>
  </si>
  <si>
    <t>403 371 4316</t>
  </si>
  <si>
    <t xml:space="preserve">215 Exploration Ave SE : </t>
  </si>
  <si>
    <t>Cheryl Cook</t>
  </si>
  <si>
    <t>(403) 861-1395</t>
  </si>
  <si>
    <t xml:space="preserve">16 Maryland Place SW : </t>
  </si>
  <si>
    <t>Chinook Highway Operations Inc</t>
  </si>
  <si>
    <t>+1 877-898-7623</t>
  </si>
  <si>
    <t>athulat@chinookoperations.ca</t>
  </si>
  <si>
    <t>Chinook HIghway Operations Inc</t>
  </si>
  <si>
    <t>Athula Tissera</t>
  </si>
  <si>
    <t xml:space="preserve">240045 Frontier Place SE : </t>
  </si>
  <si>
    <t>Chisholm Industries Ltd.</t>
  </si>
  <si>
    <t>403-279-7868</t>
  </si>
  <si>
    <t>accounting@chisholmindustries.com</t>
  </si>
  <si>
    <t>403-875-3194</t>
  </si>
  <si>
    <t>accounting@chisholmindustries.</t>
  </si>
  <si>
    <t xml:space="preserve">8047 22 st NE : </t>
  </si>
  <si>
    <t xml:space="preserve">3442 118 Ave SE : </t>
  </si>
  <si>
    <t xml:space="preserve">244235, Range Rd 33 : </t>
  </si>
  <si>
    <t>Shawn Hungle</t>
  </si>
  <si>
    <t>403-312-2940</t>
  </si>
  <si>
    <t xml:space="preserve">Longview School : </t>
  </si>
  <si>
    <t xml:space="preserve">420 - 2nd Street SW : </t>
  </si>
  <si>
    <t xml:space="preserve">241078 Highway 791 : </t>
  </si>
  <si>
    <t xml:space="preserve">130 Millarville Landing : </t>
  </si>
  <si>
    <t>Kyle Gustavson</t>
  </si>
  <si>
    <t xml:space="preserve">3705 35 St NE : </t>
  </si>
  <si>
    <t>Martin Brosnan</t>
  </si>
  <si>
    <t>403-371-9127</t>
  </si>
  <si>
    <t xml:space="preserve">920 5 Ave SW : </t>
  </si>
  <si>
    <t>Mike Overses</t>
  </si>
  <si>
    <t xml:space="preserve">6620 4 th St NW : </t>
  </si>
  <si>
    <t>Brett</t>
  </si>
  <si>
    <t>403-589-7554</t>
  </si>
  <si>
    <t xml:space="preserve">10020 19 ST SW : </t>
  </si>
  <si>
    <t xml:space="preserve">400 3 Ave SW : </t>
  </si>
  <si>
    <t>Reily</t>
  </si>
  <si>
    <t xml:space="preserve">800 6 Ave SW : </t>
  </si>
  <si>
    <t xml:space="preserve">1-11 Blackthorn Bay Ne : </t>
  </si>
  <si>
    <t>Chris Brown</t>
  </si>
  <si>
    <t>403-870-2506</t>
  </si>
  <si>
    <t xml:space="preserve">8008 Churchhill Drive SW : </t>
  </si>
  <si>
    <t>Cineplex Entertainment LP</t>
  </si>
  <si>
    <t>Larry Jones</t>
  </si>
  <si>
    <t>403-585-8713</t>
  </si>
  <si>
    <t xml:space="preserve">255 32 St NE : </t>
  </si>
  <si>
    <t>Cinnamon Indian Cuisine &amp;  Bar</t>
  </si>
  <si>
    <t>Rakesh</t>
  </si>
  <si>
    <t xml:space="preserve">3022 23rd St NE : </t>
  </si>
  <si>
    <t>City of Calgary</t>
  </si>
  <si>
    <t>4033690711</t>
  </si>
  <si>
    <t>michael.pacholski@calgary.ca</t>
  </si>
  <si>
    <t>City Of Calgary</t>
  </si>
  <si>
    <t>Adriano</t>
  </si>
  <si>
    <t>403-370-0261</t>
  </si>
  <si>
    <t xml:space="preserve">5211 Macleod Trail SW : </t>
  </si>
  <si>
    <t>Mark Pooley</t>
  </si>
  <si>
    <t>403-369-6572</t>
  </si>
  <si>
    <t xml:space="preserve">9009 Fairmount Dr SE : </t>
  </si>
  <si>
    <t xml:space="preserve">5211 McLeod Trail Sw : </t>
  </si>
  <si>
    <t>Seth Longbotham</t>
  </si>
  <si>
    <t>403-650-5256</t>
  </si>
  <si>
    <t xml:space="preserve">9840 Horton Rd : </t>
  </si>
  <si>
    <t>Pat Stewart</t>
  </si>
  <si>
    <t>587-777-9589</t>
  </si>
  <si>
    <t xml:space="preserve">6720 37th ST SW : </t>
  </si>
  <si>
    <t>Dave Preston</t>
  </si>
  <si>
    <t>403-268-1073</t>
  </si>
  <si>
    <t xml:space="preserve">6063 114 Ave SE : </t>
  </si>
  <si>
    <t>Maxwell Pleysier</t>
  </si>
  <si>
    <t>403-852-6182</t>
  </si>
  <si>
    <t xml:space="preserve">1919 29 St SW : </t>
  </si>
  <si>
    <t xml:space="preserve">8415 24 ST SW : </t>
  </si>
  <si>
    <t xml:space="preserve">502 Heritage Dr SW : </t>
  </si>
  <si>
    <t xml:space="preserve">3415 8 Ave SW : </t>
  </si>
  <si>
    <t xml:space="preserve">110 Westhills Way SW : </t>
  </si>
  <si>
    <t xml:space="preserve">1900 Lake Bonivista Dr SE : </t>
  </si>
  <si>
    <t>David Profeta</t>
  </si>
  <si>
    <t>403-993-1168</t>
  </si>
  <si>
    <t xml:space="preserve">2808 Spiller Rd SE : </t>
  </si>
  <si>
    <t>Von Cruz</t>
  </si>
  <si>
    <t>587-572-1339</t>
  </si>
  <si>
    <t xml:space="preserve">2623 56 St NE : </t>
  </si>
  <si>
    <t xml:space="preserve">89 Canova Rd SW : </t>
  </si>
  <si>
    <t xml:space="preserve">3520 90 th Ave SW : </t>
  </si>
  <si>
    <t>Max Pleysier</t>
  </si>
  <si>
    <t xml:space="preserve">800 29 St SW : </t>
  </si>
  <si>
    <t xml:space="preserve">7027 Coach Hill Rd SW : </t>
  </si>
  <si>
    <t xml:space="preserve">5020 26 Ave SW : </t>
  </si>
  <si>
    <t xml:space="preserve">320 13 Ave SW : </t>
  </si>
  <si>
    <t xml:space="preserve">655L 25 Ave SE : </t>
  </si>
  <si>
    <t xml:space="preserve">1720 45 St SW : </t>
  </si>
  <si>
    <t>Allan Yee</t>
  </si>
  <si>
    <t>587-224-6331</t>
  </si>
  <si>
    <t xml:space="preserve">5330 19 th St SW : </t>
  </si>
  <si>
    <t xml:space="preserve">5300 19St SW : </t>
  </si>
  <si>
    <t>Saethor Birgisson</t>
  </si>
  <si>
    <t>403-826-6577</t>
  </si>
  <si>
    <t xml:space="preserve">1525 17 Ave SE : </t>
  </si>
  <si>
    <t xml:space="preserve">2425 9 Ave SE : </t>
  </si>
  <si>
    <t>406-852-6182</t>
  </si>
  <si>
    <t xml:space="preserve">651 25 Ave SE : </t>
  </si>
  <si>
    <t>Allan Yee 587-224-6331</t>
  </si>
  <si>
    <t xml:space="preserve">7000 48 St SE : </t>
  </si>
  <si>
    <t xml:space="preserve">2525 Everstyde Ave Sw : </t>
  </si>
  <si>
    <t>Seth</t>
  </si>
  <si>
    <t xml:space="preserve">3030 68 St SE : </t>
  </si>
  <si>
    <t xml:space="preserve">3800 69 ST SW : </t>
  </si>
  <si>
    <t xml:space="preserve">120 Westhills Way SW : </t>
  </si>
  <si>
    <t>Olusegun Ige</t>
  </si>
  <si>
    <t>403-660-2475</t>
  </si>
  <si>
    <t xml:space="preserve">651C  25 Ave SE : </t>
  </si>
  <si>
    <t xml:space="preserve">3025 Spiller Road SE : </t>
  </si>
  <si>
    <t xml:space="preserve">25 Princess Island Park : </t>
  </si>
  <si>
    <t>403-</t>
  </si>
  <si>
    <t xml:space="preserve">450 1 ST SE : </t>
  </si>
  <si>
    <t xml:space="preserve">3063 Dartmouth Road SE : </t>
  </si>
  <si>
    <t>403-369-5472</t>
  </si>
  <si>
    <t xml:space="preserve">7025 44 St SE : </t>
  </si>
  <si>
    <t>Marek Vajda</t>
  </si>
  <si>
    <t>403-312-9139</t>
  </si>
  <si>
    <t xml:space="preserve">8038 Fairmont Dr Se : </t>
  </si>
  <si>
    <t xml:space="preserve">651P 25 Ave SE : </t>
  </si>
  <si>
    <t>Rolando Thompson</t>
  </si>
  <si>
    <t>403-998-9159</t>
  </si>
  <si>
    <t xml:space="preserve">102 Westhills Way SW : </t>
  </si>
  <si>
    <t xml:space="preserve">655Q 25 AVe SE : </t>
  </si>
  <si>
    <t xml:space="preserve">Patrick </t>
  </si>
  <si>
    <t>patrick.stewart@calgary.ca</t>
  </si>
  <si>
    <t>651 25 Ave SE</t>
  </si>
  <si>
    <t>Tanner Taylor</t>
  </si>
  <si>
    <t>Tanner.Taylor@calgary.ca</t>
  </si>
  <si>
    <t>1515 Home road NW</t>
  </si>
  <si>
    <t>Clark Builders</t>
  </si>
  <si>
    <t>Mitchell Falk</t>
  </si>
  <si>
    <t>403-827-3758</t>
  </si>
  <si>
    <t>mitchell.falk@clarkbuilders.co</t>
  </si>
  <si>
    <t>4000 4 St SE : #222</t>
  </si>
  <si>
    <t>Climatec Solutions Inc.</t>
  </si>
  <si>
    <t>Stacey Harris</t>
  </si>
  <si>
    <t>403-554-3616</t>
  </si>
  <si>
    <t xml:space="preserve">3159 Shepard Pl SE : </t>
  </si>
  <si>
    <t>CMP Roofing Inc.</t>
  </si>
  <si>
    <t>Paul Atkar</t>
  </si>
  <si>
    <t>(403) 862-2243</t>
  </si>
  <si>
    <t>paul@cmproofing.ca</t>
  </si>
  <si>
    <t xml:space="preserve">214-7 Westwinds Crescent NE, : </t>
  </si>
  <si>
    <t xml:space="preserve">24 Aero Cres NE, : </t>
  </si>
  <si>
    <t xml:space="preserve">2410 33 Ave SW, : </t>
  </si>
  <si>
    <t xml:space="preserve">10990 42 st. NE : </t>
  </si>
  <si>
    <t>Cobra Corporate Mgt. Inc</t>
  </si>
  <si>
    <t>deanna@cobracorporate.com</t>
  </si>
  <si>
    <t xml:space="preserve">395 Canterbury Dr SW : </t>
  </si>
  <si>
    <t>Cochrane Alliance Church</t>
  </si>
  <si>
    <t>Nicqueline Shakotko</t>
  </si>
  <si>
    <t>403-932-6100</t>
  </si>
  <si>
    <t xml:space="preserve">902 Glenbow Dr : </t>
  </si>
  <si>
    <t>Colliers International</t>
  </si>
  <si>
    <t>Nadheem</t>
  </si>
  <si>
    <t>(403) 470-3126</t>
  </si>
  <si>
    <t>REMS.Canadaap@colliers.com</t>
  </si>
  <si>
    <t xml:space="preserve">253 62nd Ave SE : </t>
  </si>
  <si>
    <t>Elvin</t>
  </si>
  <si>
    <t>403-371-8818</t>
  </si>
  <si>
    <t xml:space="preserve">225 7 Ave SW : </t>
  </si>
  <si>
    <t>Ben Domaschenz</t>
  </si>
  <si>
    <t>(403) 542-5568</t>
  </si>
  <si>
    <t>Vintage on Ninth : 4110 9 St SE</t>
  </si>
  <si>
    <t xml:space="preserve">6223, 2nd Street S.E. : </t>
  </si>
  <si>
    <t>Blackfoot Corporate Centre : 4411 6 Street SE</t>
  </si>
  <si>
    <t>Nadhim</t>
  </si>
  <si>
    <t>403-470-3126</t>
  </si>
  <si>
    <t>Vintage on Ninth : 4110 9 St. SE</t>
  </si>
  <si>
    <t xml:space="preserve">6227 2nd St. SE : </t>
  </si>
  <si>
    <t>Centron Corner 3 : 6223, 2nd Street S.E.</t>
  </si>
  <si>
    <t>Blackfoot Corporate Center : 4411 6 St. SE</t>
  </si>
  <si>
    <t xml:space="preserve"> : 734 7th Ave SW</t>
  </si>
  <si>
    <t>Matt bMurray</t>
  </si>
  <si>
    <t>403-470-9391</t>
  </si>
  <si>
    <t xml:space="preserve">2303 4Th St SW : </t>
  </si>
  <si>
    <t>Office 180 : 4411 6th St SE</t>
  </si>
  <si>
    <t xml:space="preserve">900 Royal Bank Building 335-8th Avenue SW : </t>
  </si>
  <si>
    <t xml:space="preserve">4110 9 St SE : </t>
  </si>
  <si>
    <t xml:space="preserve">3600 4th StSE : </t>
  </si>
  <si>
    <t>mark</t>
  </si>
  <si>
    <t>403-589-4076</t>
  </si>
  <si>
    <t xml:space="preserve">22 8th Ave SW : </t>
  </si>
  <si>
    <t>Larry</t>
  </si>
  <si>
    <t>403-616-3508</t>
  </si>
  <si>
    <t xml:space="preserve">5920 Macleod Tr SW : </t>
  </si>
  <si>
    <t xml:space="preserve"> : 225 7 Ave SW</t>
  </si>
  <si>
    <t>Corner Court 3 : 6223 2nd St SE</t>
  </si>
  <si>
    <t>Cominar REIT</t>
  </si>
  <si>
    <t>403-542-5568</t>
  </si>
  <si>
    <t>Nadeem</t>
  </si>
  <si>
    <t>Blackfoot Corporate Centre : 4411, 6th Street S.E</t>
  </si>
  <si>
    <t>Blackfoot Corporate Center : 4411, 6th Street SE</t>
  </si>
  <si>
    <t xml:space="preserve">4411, 6th Street S.E : </t>
  </si>
  <si>
    <t xml:space="preserve">360, 225 8th Ave SW : </t>
  </si>
  <si>
    <t xml:space="preserve">640-820 28th Strre N.E. : </t>
  </si>
  <si>
    <t>Comtech Communication Technology</t>
  </si>
  <si>
    <t>Jeff Clark</t>
  </si>
  <si>
    <t>403-354-4124</t>
  </si>
  <si>
    <t xml:space="preserve">433 Marlborough Way NE : </t>
  </si>
  <si>
    <t>Concert Income Property LP</t>
  </si>
  <si>
    <t>c/o BentallGreenOak (Canada) Limited Partnership S : Suite 240, 640-5th Avenue SW</t>
  </si>
  <si>
    <t>Kevin Allen</t>
  </si>
  <si>
    <t>403-968-5095</t>
  </si>
  <si>
    <t xml:space="preserve">1145 - 65 Ave. NE : </t>
  </si>
  <si>
    <t>Kris</t>
  </si>
  <si>
    <t>(403) 640-2632</t>
  </si>
  <si>
    <t>Manchester B : 5901 3 St SE</t>
  </si>
  <si>
    <t>Conseil Franco Sud</t>
  </si>
  <si>
    <t>403-701-6998</t>
  </si>
  <si>
    <t xml:space="preserve">360 94 Ave SE : </t>
  </si>
  <si>
    <t>Conseil Scolaire FrancoSud</t>
  </si>
  <si>
    <t>Michael Tremblay</t>
  </si>
  <si>
    <t>403-620-8662</t>
  </si>
  <si>
    <t xml:space="preserve">3100B Stewart Creek Drive : </t>
  </si>
  <si>
    <t>Stephan Deloof</t>
  </si>
  <si>
    <t xml:space="preserve">230 6940 Fisher Road SE : </t>
  </si>
  <si>
    <t xml:space="preserve">809 Willindong Blvd SE : </t>
  </si>
  <si>
    <t>Stephan</t>
  </si>
  <si>
    <t xml:space="preserve">4700 Richard Rd SW : </t>
  </si>
  <si>
    <t>Convergent INT</t>
  </si>
  <si>
    <t>Mike Lima</t>
  </si>
  <si>
    <t>403-837-9081</t>
  </si>
  <si>
    <t>mike.lima@convergint.com</t>
  </si>
  <si>
    <t>Cool Calgary Air Condition &amp; Mechanical Maintenance Ltd</t>
  </si>
  <si>
    <t>carlos@coolcalgary.ca</t>
  </si>
  <si>
    <t xml:space="preserve">2355 52nd Ave SE : </t>
  </si>
  <si>
    <t>Cooperstown Holdings Ltd.</t>
  </si>
  <si>
    <t xml:space="preserve">401 Coopers Boulevard SW : </t>
  </si>
  <si>
    <t>Copez Properties Ltd.</t>
  </si>
  <si>
    <t>Derek Sharp</t>
  </si>
  <si>
    <t>nfo@riverparkproperties.ca</t>
  </si>
  <si>
    <t>707 - 10th Avenue : 707 - 19th Avenue SW</t>
  </si>
  <si>
    <t>Sunrise Square : 602 - 11th Ave SW,</t>
  </si>
  <si>
    <t>Taylor</t>
  </si>
  <si>
    <t>403-542-1633</t>
  </si>
  <si>
    <t xml:space="preserve">1010 8th St SW : </t>
  </si>
  <si>
    <t>Geoff Poyntz</t>
  </si>
  <si>
    <t>403-542-1833</t>
  </si>
  <si>
    <t xml:space="preserve">902 11th Ave SW : </t>
  </si>
  <si>
    <t>403-253-0600</t>
  </si>
  <si>
    <t xml:space="preserve">999 8th St SW : </t>
  </si>
  <si>
    <t>Holy Grill : 1010 8 St SW</t>
  </si>
  <si>
    <t>c/o Riverpark Properties Ltd. : Suite 445, 999 - 8th Street SW</t>
  </si>
  <si>
    <t>Corie Herman</t>
  </si>
  <si>
    <t>corieherman@hotmail.com</t>
  </si>
  <si>
    <t xml:space="preserve">63 Bel-Aire Pl SW : </t>
  </si>
  <si>
    <t>Cougar Contractors Ltd.</t>
  </si>
  <si>
    <t>L.Klassen@cougar-contractors.c</t>
  </si>
  <si>
    <t xml:space="preserve">334 53 Ave SE : </t>
  </si>
  <si>
    <t xml:space="preserve">5513 3rd ST SE : </t>
  </si>
  <si>
    <t>Marci LeBlanc</t>
  </si>
  <si>
    <t>403-519-1581</t>
  </si>
  <si>
    <t>m.leblanc@cougar-contractors.com</t>
  </si>
  <si>
    <t xml:space="preserve">222-3 Ave SW : </t>
  </si>
  <si>
    <t xml:space="preserve">909 11 Ave SW : </t>
  </si>
  <si>
    <t>Cougar Technical Services</t>
  </si>
  <si>
    <t>Scott</t>
  </si>
  <si>
    <t>403-831-1564</t>
  </si>
  <si>
    <t xml:space="preserve">148 Saddletree Close NE : </t>
  </si>
  <si>
    <t>Scott Grobel</t>
  </si>
  <si>
    <t xml:space="preserve">5711 6th St SE : </t>
  </si>
  <si>
    <t xml:space="preserve">911d 46 Ave SE : </t>
  </si>
  <si>
    <t>CRCA | Chestermere Regional Community Association</t>
  </si>
  <si>
    <t>tyler Garland</t>
  </si>
  <si>
    <t xml:space="preserve">201 W Chestermere Dr : </t>
  </si>
  <si>
    <t>Crombie Property Holdings Limited</t>
  </si>
  <si>
    <t>mark.mcdowell@crombie.ca</t>
  </si>
  <si>
    <t xml:space="preserve">304 Fifth Ave : </t>
  </si>
  <si>
    <t xml:space="preserve">550 Cassils Rd W : </t>
  </si>
  <si>
    <t xml:space="preserve">300-555 Strathcona BLVD SW : </t>
  </si>
  <si>
    <t xml:space="preserve">521- 54 th Ave NW : </t>
  </si>
  <si>
    <t xml:space="preserve">1818 Center St NE : </t>
  </si>
  <si>
    <t>Josh</t>
  </si>
  <si>
    <t>1587-352-0757</t>
  </si>
  <si>
    <t>Strathcona Square : #156-555 Strathcona Blvd</t>
  </si>
  <si>
    <t xml:space="preserve">100-555 Strathcona Blvd SW : </t>
  </si>
  <si>
    <t xml:space="preserve">555 Strathcona Blvd SW : </t>
  </si>
  <si>
    <t>244 : 555 Strathcona Blvd</t>
  </si>
  <si>
    <t xml:space="preserve">212-555 Strathcona Blvd SW : </t>
  </si>
  <si>
    <t xml:space="preserve">136-555 Strathcona Blvd SW : </t>
  </si>
  <si>
    <t xml:space="preserve">310- 555 Strathcona Blvd SW : </t>
  </si>
  <si>
    <t xml:space="preserve">5615 4 St NW : </t>
  </si>
  <si>
    <t>Jody</t>
  </si>
  <si>
    <t xml:space="preserve">5607 4 St NW : </t>
  </si>
  <si>
    <t xml:space="preserve">5617 4 St NW : </t>
  </si>
  <si>
    <t xml:space="preserve">4915 130 Ave SE : </t>
  </si>
  <si>
    <t xml:space="preserve">4915 130th Ave SE : </t>
  </si>
  <si>
    <t>403-462-0284</t>
  </si>
  <si>
    <t xml:space="preserve">116 -555 Strathcona Blvd SW : </t>
  </si>
  <si>
    <t>902.755.8100</t>
  </si>
  <si>
    <t xml:space="preserve">521-54th Avenue NW : </t>
  </si>
  <si>
    <t xml:space="preserve">100 RanchMarket : </t>
  </si>
  <si>
    <t xml:space="preserve">4915-130 Ave SE : </t>
  </si>
  <si>
    <t xml:space="preserve">4915 130 Ave : </t>
  </si>
  <si>
    <t xml:space="preserve">555 Strathcona square : </t>
  </si>
  <si>
    <t xml:space="preserve">4915  130 Ave SE : </t>
  </si>
  <si>
    <t xml:space="preserve">216-555 Strathcona Blvd SW : </t>
  </si>
  <si>
    <t xml:space="preserve">200-555 Strathcona Blvd : </t>
  </si>
  <si>
    <t>Crombie REIT</t>
  </si>
  <si>
    <t>Jody Haynes</t>
  </si>
  <si>
    <t>Jody.Haynes@crombie.ca</t>
  </si>
  <si>
    <t>CTR Refrigeration</t>
  </si>
  <si>
    <t>Stacey Lauer</t>
  </si>
  <si>
    <t>403-444-2877</t>
  </si>
  <si>
    <t xml:space="preserve">919 28th St  NE : </t>
  </si>
  <si>
    <t>Dalwing Roof Consulting LTD</t>
  </si>
  <si>
    <t>bids@dalwing.com</t>
  </si>
  <si>
    <t xml:space="preserve">6732 8th Street NE, Calgary </t>
  </si>
  <si>
    <t>Darrell McRae</t>
  </si>
  <si>
    <t>403-540-7863</t>
  </si>
  <si>
    <t xml:space="preserve">1323 9th Ave SE : </t>
  </si>
  <si>
    <t>Dave Negus</t>
  </si>
  <si>
    <t>dpdeth@shaw.ca</t>
  </si>
  <si>
    <t xml:space="preserve">69 Taradale Drive NE : </t>
  </si>
  <si>
    <t>David Pattison</t>
  </si>
  <si>
    <t>403-681-4355</t>
  </si>
  <si>
    <t xml:space="preserve">3027 Underhill Drive NW : </t>
  </si>
  <si>
    <t>David Richardson</t>
  </si>
  <si>
    <t>(403) 284-1716</t>
  </si>
  <si>
    <t xml:space="preserve">3707 Underhill Drive NW : </t>
  </si>
  <si>
    <t>David Smith</t>
  </si>
  <si>
    <t>403-826-7636</t>
  </si>
  <si>
    <t xml:space="preserve">15 Hawthorne Cr NW : </t>
  </si>
  <si>
    <t>Dawson Glass</t>
  </si>
  <si>
    <t>jeremy@dawsonglass.ca</t>
  </si>
  <si>
    <t xml:space="preserve">1604 62 Avenue SE : </t>
  </si>
  <si>
    <t>Dawson Wallace Construction LTD.</t>
  </si>
  <si>
    <t>KDutton@DawsonWallace.com</t>
  </si>
  <si>
    <t xml:space="preserve">380 Coopers Drive SW : </t>
  </si>
  <si>
    <t xml:space="preserve">5112 Elbow drive SW : </t>
  </si>
  <si>
    <t>Bob</t>
  </si>
  <si>
    <t>403-899-5494</t>
  </si>
  <si>
    <t xml:space="preserve">12100 Macleod Trail SE : </t>
  </si>
  <si>
    <t>Deanne Marie Watson</t>
  </si>
  <si>
    <t>403-807-9255</t>
  </si>
  <si>
    <t>deannmariewatson@gmail.com</t>
  </si>
  <si>
    <t xml:space="preserve">1331 Montreal Ave SW : </t>
  </si>
  <si>
    <t>Deborah Iseman</t>
  </si>
  <si>
    <t xml:space="preserve">2615 29 St SW : </t>
  </si>
  <si>
    <t>Defence Construction (1951) Limited</t>
  </si>
  <si>
    <t>Michael Leitch</t>
  </si>
  <si>
    <t>780-261-0745</t>
  </si>
  <si>
    <t xml:space="preserve">PO Box 69 : </t>
  </si>
  <si>
    <t>Delnor Construction Ltd</t>
  </si>
  <si>
    <t>(403) 294-1650</t>
  </si>
  <si>
    <t>DeebD@delnor.ca</t>
  </si>
  <si>
    <t>3743 - 64 Avenue SE</t>
  </si>
  <si>
    <t>Diaz &amp; Sons Roofing Inc.</t>
  </si>
  <si>
    <t>Manuel</t>
  </si>
  <si>
    <t>403-830-4901</t>
  </si>
  <si>
    <t xml:space="preserve">PO Box 700 : </t>
  </si>
  <si>
    <t>Diversity Soccer Society</t>
  </si>
  <si>
    <t>edfedun@shaw.ca</t>
  </si>
  <si>
    <t xml:space="preserve">311 Woodhaven Bay S.W. : </t>
  </si>
  <si>
    <t>Don MacDonald</t>
  </si>
  <si>
    <t>(403) 612-6425</t>
  </si>
  <si>
    <t xml:space="preserve">402 40th St NE : </t>
  </si>
  <si>
    <t>Doug Muncaster</t>
  </si>
  <si>
    <t>(403) 371-6513</t>
  </si>
  <si>
    <t>dougmuncaster@numun.ca</t>
  </si>
  <si>
    <t xml:space="preserve">35 Woodland Range Green : </t>
  </si>
  <si>
    <t>DYAM Cafe</t>
  </si>
  <si>
    <t>dontyellatme@dyam-ab.ca</t>
  </si>
  <si>
    <t xml:space="preserve">63 Crowfoot Crossing : </t>
  </si>
  <si>
    <t>Dynamic Furniture</t>
  </si>
  <si>
    <t>Tyler WIth Garland</t>
  </si>
  <si>
    <t>tboldt@garlandind.com</t>
  </si>
  <si>
    <t xml:space="preserve">5300 61 Ave SE : </t>
  </si>
  <si>
    <t>E&amp;P Enterprises Inc.</t>
  </si>
  <si>
    <t>todd.surowski@epenterprisesinc</t>
  </si>
  <si>
    <t xml:space="preserve">6715 Ogden Dale Rd SE : </t>
  </si>
  <si>
    <t xml:space="preserve">4303 - 26th Street S.E. : </t>
  </si>
  <si>
    <t>North Building : 6815 85 St NE</t>
  </si>
  <si>
    <t>#807 : 119-42nd Ave SE</t>
  </si>
  <si>
    <t>Edward Gillmor</t>
  </si>
  <si>
    <t>Ed Gilmor</t>
  </si>
  <si>
    <t xml:space="preserve">52 Woodlark Dr SW : </t>
  </si>
  <si>
    <t>Eighty-Eight Brewing Co.</t>
  </si>
  <si>
    <t>carson@88brewing.ca</t>
  </si>
  <si>
    <t xml:space="preserve">1070-2600 Portland St. SE : </t>
  </si>
  <si>
    <t>Elias Haska</t>
  </si>
  <si>
    <t>Elias</t>
  </si>
  <si>
    <t>(403) 690-4351</t>
  </si>
  <si>
    <t>ehaska@shaw.ca</t>
  </si>
  <si>
    <t xml:space="preserve">2204 Glenmount Drive SW : </t>
  </si>
  <si>
    <t>EllisDon Construction Services</t>
  </si>
  <si>
    <t>(403) 259-6627</t>
  </si>
  <si>
    <t>epage@ellisdon.com</t>
  </si>
  <si>
    <t xml:space="preserve">600 Stewart Green SW : </t>
  </si>
  <si>
    <t>Enercept Energy</t>
  </si>
  <si>
    <t>Laura</t>
  </si>
  <si>
    <t>(403) 250-8007</t>
  </si>
  <si>
    <t>lhupalo@elspect.com</t>
  </si>
  <si>
    <t xml:space="preserve">2801-18th Street NE : </t>
  </si>
  <si>
    <t>403-250-8007</t>
  </si>
  <si>
    <t xml:space="preserve">2801 18th Street NE : </t>
  </si>
  <si>
    <t>Engelhart Construction</t>
  </si>
  <si>
    <t>Ryan Parcels Site Super</t>
  </si>
  <si>
    <t>403-700-3148</t>
  </si>
  <si>
    <t>accounting@engelhart-reed.com.</t>
  </si>
  <si>
    <t xml:space="preserve">11358 Barlow Tr NE : </t>
  </si>
  <si>
    <t xml:space="preserve">#103 5760 9th St SE : </t>
  </si>
  <si>
    <t>Tod Engelhart</t>
  </si>
  <si>
    <t>403-608-0558</t>
  </si>
  <si>
    <t xml:space="preserve">8515 48 St SE : </t>
  </si>
  <si>
    <t>Engenium Chemicals</t>
  </si>
  <si>
    <t>Chad Couillard</t>
  </si>
  <si>
    <t>(587) 316-9626</t>
  </si>
  <si>
    <t xml:space="preserve">46 Ave SE : </t>
  </si>
  <si>
    <t>Enright Vintage Park LP</t>
  </si>
  <si>
    <t>403-973-6216</t>
  </si>
  <si>
    <t xml:space="preserve">#210 855 42 Ave SE : </t>
  </si>
  <si>
    <t>Edmund Lee</t>
  </si>
  <si>
    <t>403-228-7469</t>
  </si>
  <si>
    <t xml:space="preserve">855 - 42 Ave SE : </t>
  </si>
  <si>
    <t>368-995-4488</t>
  </si>
  <si>
    <t xml:space="preserve">#222-885 42 St SW : </t>
  </si>
  <si>
    <t>Enviroshred Inc</t>
  </si>
  <si>
    <t>Greg</t>
  </si>
  <si>
    <t>(403) 265-7115</t>
  </si>
  <si>
    <t>abutcher@enviroshred.net</t>
  </si>
  <si>
    <t xml:space="preserve">4378 116 Avenue SE : </t>
  </si>
  <si>
    <t>Epic Roofing &amp; Exteriors</t>
  </si>
  <si>
    <t>Allan Lambie</t>
  </si>
  <si>
    <t>4035601979</t>
  </si>
  <si>
    <t>allan@epicroofing.ca</t>
  </si>
  <si>
    <t>55 Skyview Link NE</t>
  </si>
  <si>
    <t>Euro Ceramic Tile Distributors Ltd.</t>
  </si>
  <si>
    <t xml:space="preserve">936 42 Ave SE : </t>
  </si>
  <si>
    <t>Evergreen Theatre</t>
  </si>
  <si>
    <t>Sean Fraser</t>
  </si>
  <si>
    <t>(403) 828-7756</t>
  </si>
  <si>
    <t xml:space="preserve">1709 8 Ave NE : </t>
  </si>
  <si>
    <t>Evergreen Village Inc c/o Ronmor Holdings Inc.</t>
  </si>
  <si>
    <t>Marin Martinez Rios</t>
  </si>
  <si>
    <t xml:space="preserve">2250 162nd Ave SW : </t>
  </si>
  <si>
    <t>Experience Church</t>
  </si>
  <si>
    <t>587-352-1442</t>
  </si>
  <si>
    <t xml:space="preserve">6555 30 St SE : </t>
  </si>
  <si>
    <t>Father Lacombe Care Centre</t>
  </si>
  <si>
    <t>Dorian</t>
  </si>
  <si>
    <t>403-797-3237</t>
  </si>
  <si>
    <t xml:space="preserve">270 Providence Boulevard SE : </t>
  </si>
  <si>
    <t>FCR Management Services LP</t>
  </si>
  <si>
    <t>Tyler Boldt</t>
  </si>
  <si>
    <t>403-615-7877</t>
  </si>
  <si>
    <t>calgaryproperties@firstcapital</t>
  </si>
  <si>
    <t xml:space="preserve">873 85 th St SW : </t>
  </si>
  <si>
    <t>Fiera Real Estate Small Cap Ind Fund GP</t>
  </si>
  <si>
    <t>wcopeland@triovest.com</t>
  </si>
  <si>
    <t xml:space="preserve">1920 32nd Avenue : </t>
  </si>
  <si>
    <t>Fiera Real Estate Small Cap Invst Fund GP</t>
  </si>
  <si>
    <t>Fierapayables@cushwake.com</t>
  </si>
  <si>
    <t xml:space="preserve">1725 32 Ave : </t>
  </si>
  <si>
    <t>Fifth Avenue LP and ARI 5AP Investment LP</t>
  </si>
  <si>
    <t>Uriah Peltokangas</t>
  </si>
  <si>
    <t>Uriah.Peltokangas@brookfieldpr</t>
  </si>
  <si>
    <t>Filmanwale Constructions</t>
  </si>
  <si>
    <t>Shawn Tah</t>
  </si>
  <si>
    <t xml:space="preserve">800 Shantz Dr : </t>
  </si>
  <si>
    <t>Fire Ant Contracting</t>
  </si>
  <si>
    <t>robpyefireant@gmail.com</t>
  </si>
  <si>
    <t xml:space="preserve">12012 13 ave SW : </t>
  </si>
  <si>
    <t xml:space="preserve">1118 12 Ave SW : </t>
  </si>
  <si>
    <t>Rob Pye</t>
  </si>
  <si>
    <t>403-615-9528</t>
  </si>
  <si>
    <t>2402 : 24 Hemlock Cresent SW</t>
  </si>
  <si>
    <t>First Capital REIT</t>
  </si>
  <si>
    <t>416-504-4114</t>
  </si>
  <si>
    <t>investorrelations@fcr.ca</t>
  </si>
  <si>
    <t>First Service Residential</t>
  </si>
  <si>
    <t>Terry Foster</t>
  </si>
  <si>
    <t>(403) 299-1827</t>
  </si>
  <si>
    <t>FSResidentialAPAB@avidbill.com</t>
  </si>
  <si>
    <t xml:space="preserve">2200 Patterson View SW : </t>
  </si>
  <si>
    <t>Fitness Plus South</t>
  </si>
  <si>
    <t>Erv</t>
  </si>
  <si>
    <t>(403) 258-0333</t>
  </si>
  <si>
    <t>fitnessplussouth@nucleus.com</t>
  </si>
  <si>
    <t xml:space="preserve">10401 Braeside Drive SW : </t>
  </si>
  <si>
    <t>Flames Community Arena</t>
  </si>
  <si>
    <t>Mike Moore</t>
  </si>
  <si>
    <t>(403) 243-8484</t>
  </si>
  <si>
    <t>mike.moore@flamesca.com</t>
  </si>
  <si>
    <t>Flat Roofing Ltd.</t>
  </si>
  <si>
    <t>403-312-2823</t>
  </si>
  <si>
    <t>accounting@flatroofingltd.com</t>
  </si>
  <si>
    <t>258048 16 St E</t>
  </si>
  <si>
    <t>Flynn</t>
  </si>
  <si>
    <t>Gary Playsted</t>
  </si>
  <si>
    <t>403-333-0623</t>
  </si>
  <si>
    <t>1655 Comstock Rd</t>
  </si>
  <si>
    <t>Foothills Alliance Church</t>
  </si>
  <si>
    <t>Nathanial</t>
  </si>
  <si>
    <t xml:space="preserve">333 Edgepark Blvd NW : </t>
  </si>
  <si>
    <t>Foothills Calgary GP Inc</t>
  </si>
  <si>
    <t>Jose</t>
  </si>
  <si>
    <t>403-461-1285</t>
  </si>
  <si>
    <t xml:space="preserve">7403 48 ST SE : </t>
  </si>
  <si>
    <t>Foothills County</t>
  </si>
  <si>
    <t>Sean Murphy</t>
  </si>
  <si>
    <t>(403) 995-7397</t>
  </si>
  <si>
    <t>sean.murphy@foothillscountyab.ca</t>
  </si>
  <si>
    <t>32156 Highway 552 East</t>
  </si>
  <si>
    <t>Forbes Bros LTD.</t>
  </si>
  <si>
    <t>Terrell</t>
  </si>
  <si>
    <t>(780) 910-7128</t>
  </si>
  <si>
    <t>Forsyth, Ron</t>
  </si>
  <si>
    <t>ronforsyth75@gmail.com</t>
  </si>
  <si>
    <t>Foundation Property Management Inc.</t>
  </si>
  <si>
    <t>825.417.0167</t>
  </si>
  <si>
    <t>cjc@foundation-pm.com</t>
  </si>
  <si>
    <t>Nico Vandersalm</t>
  </si>
  <si>
    <t>(403) 828-2120</t>
  </si>
  <si>
    <t>dan@foundation-pm.com</t>
  </si>
  <si>
    <t xml:space="preserve">1333 13 Avenue SW : </t>
  </si>
  <si>
    <t>John Exelby</t>
  </si>
  <si>
    <t>(403) 889-7094</t>
  </si>
  <si>
    <t xml:space="preserve">1234 14 Ave SW : </t>
  </si>
  <si>
    <t>(403) 993-2273</t>
  </si>
  <si>
    <t xml:space="preserve">332 6 Ave NE : </t>
  </si>
  <si>
    <t>Gregory Courage</t>
  </si>
  <si>
    <t>(403) 889-7496</t>
  </si>
  <si>
    <t xml:space="preserve">11642 Valley Ridge Blvd. NW : </t>
  </si>
  <si>
    <t xml:space="preserve">2420 34 Ave SW : </t>
  </si>
  <si>
    <t xml:space="preserve">112 23 AV SW : </t>
  </si>
  <si>
    <t xml:space="preserve">333 22nd Ave SW : </t>
  </si>
  <si>
    <t xml:space="preserve">1516 24 Ave SW : </t>
  </si>
  <si>
    <t>385 Patterson Hill SW : LA Messa 2</t>
  </si>
  <si>
    <t>1333 13 Avenue SW : PO Box 84053 Market Mall</t>
  </si>
  <si>
    <t xml:space="preserve">99 Copperstone Park SE : </t>
  </si>
  <si>
    <t>403-889-7496</t>
  </si>
  <si>
    <t xml:space="preserve">3511 14 A St SW : </t>
  </si>
  <si>
    <t xml:space="preserve">5319 Dalhurst Cr NW : </t>
  </si>
  <si>
    <t>Invoices</t>
  </si>
  <si>
    <t xml:space="preserve">Box 84053 Market Mall : </t>
  </si>
  <si>
    <t xml:space="preserve">1808 18St SW : </t>
  </si>
  <si>
    <t xml:space="preserve">120 15Th Ave SW : </t>
  </si>
  <si>
    <t xml:space="preserve">385 Patteron Hill SW : </t>
  </si>
  <si>
    <t xml:space="preserve">PO Box 67014 Northland Village : </t>
  </si>
  <si>
    <t xml:space="preserve">385 Patterson Hill SW : </t>
  </si>
  <si>
    <t xml:space="preserve">Christian Cristi </t>
  </si>
  <si>
    <t xml:space="preserve">4807 Bowness Road NW, Calgary </t>
  </si>
  <si>
    <t>Fountainhead Mechanical</t>
  </si>
  <si>
    <t>Bob Henry</t>
  </si>
  <si>
    <t>403-404-8044</t>
  </si>
  <si>
    <t xml:space="preserve">1607 41 Ave SE : </t>
  </si>
  <si>
    <t>Foxhaven Homes Inc.</t>
  </si>
  <si>
    <t>Nathan Richter</t>
  </si>
  <si>
    <t>(780) 721-0181</t>
  </si>
  <si>
    <t xml:space="preserve">1020 9 Ave SE : </t>
  </si>
  <si>
    <t>Fresh Prep</t>
  </si>
  <si>
    <t>Corey Brauer</t>
  </si>
  <si>
    <t>604-329-9507</t>
  </si>
  <si>
    <t xml:space="preserve"> corey@freshprep.ca</t>
  </si>
  <si>
    <t xml:space="preserve">1797 120th Ave NE : </t>
  </si>
  <si>
    <t>Gapanow Construction Ltd.</t>
  </si>
  <si>
    <t>George Gapanow</t>
  </si>
  <si>
    <t>(403) 255-1979</t>
  </si>
  <si>
    <t xml:space="preserve">702 &amp; 704 Kingsmere Cres SW : </t>
  </si>
  <si>
    <t xml:space="preserve">618 &amp; 620  Kingsmere Cres SW : </t>
  </si>
  <si>
    <t xml:space="preserve">642 &amp; 644 Kingsmere Cres SW : </t>
  </si>
  <si>
    <t>(403) 540-5127</t>
  </si>
  <si>
    <t xml:space="preserve">95 Bel Aire Place SW : </t>
  </si>
  <si>
    <t>Garland Canada INC.</t>
  </si>
  <si>
    <t>Brenden Perry</t>
  </si>
  <si>
    <t>587-777-3680</t>
  </si>
  <si>
    <t xml:space="preserve">9615 Endeavor Drive SE : </t>
  </si>
  <si>
    <t xml:space="preserve">1125N Railway St : </t>
  </si>
  <si>
    <t>Will Whitehead</t>
  </si>
  <si>
    <t>403-850-9990</t>
  </si>
  <si>
    <t xml:space="preserve">24 Aero Cr NE : </t>
  </si>
  <si>
    <t>tboldt@garlandcanada.com</t>
  </si>
  <si>
    <t>2300 Endeavor Ave SE</t>
  </si>
  <si>
    <t>323 53 Ave SE, Calgary</t>
  </si>
  <si>
    <t>Garrison Corner INC.</t>
  </si>
  <si>
    <t>Hector</t>
  </si>
  <si>
    <t>403-888-5002</t>
  </si>
  <si>
    <t xml:space="preserve">3425 22nd Street SW : </t>
  </si>
  <si>
    <t>Gary Cochrane</t>
  </si>
  <si>
    <t>Vanessa</t>
  </si>
  <si>
    <t>(587) 899-8223</t>
  </si>
  <si>
    <t>gcochrane@fasken.com</t>
  </si>
  <si>
    <t xml:space="preserve">402A 11 St NE : </t>
  </si>
  <si>
    <t>Gateway Mechanical</t>
  </si>
  <si>
    <t>jlarabee@gatewaymechanical.ca</t>
  </si>
  <si>
    <t>572 Aero Drive NE : 165 Bldg. B</t>
  </si>
  <si>
    <t>Russ Bryant</t>
  </si>
  <si>
    <t>403-354-3641</t>
  </si>
  <si>
    <t xml:space="preserve">1600 90 Avenue SW : </t>
  </si>
  <si>
    <t>Manchester Yard : 677 25 Ave SE</t>
  </si>
  <si>
    <t>403-265-0010</t>
  </si>
  <si>
    <t>2500 107 Ave SE : #200</t>
  </si>
  <si>
    <t xml:space="preserve">GBM Trailers </t>
  </si>
  <si>
    <t>mgraham@GBMtrailer.ca</t>
  </si>
  <si>
    <t>9300 Endeavor Dr SE, Calgary, AB T3S 0A1</t>
  </si>
  <si>
    <t>GCCI Canada Inc.</t>
  </si>
  <si>
    <t>Steven Blue</t>
  </si>
  <si>
    <t>1-587-597-4244</t>
  </si>
  <si>
    <t>steve@gcciedmonton.com</t>
  </si>
  <si>
    <t>Mall 58 : 105-58 Ave SE</t>
  </si>
  <si>
    <t>Gillfor Distribution</t>
  </si>
  <si>
    <t>403-261-9900</t>
  </si>
  <si>
    <t>dhynne@gillfor.com</t>
  </si>
  <si>
    <t>9440 48 St SE</t>
  </si>
  <si>
    <t>Golden Hills School Division</t>
  </si>
  <si>
    <t>Kevin.Paschal@ghsd75.ca</t>
  </si>
  <si>
    <t xml:space="preserve">435A AB-817 : </t>
  </si>
  <si>
    <t xml:space="preserve">220 Brent Blvd : </t>
  </si>
  <si>
    <t>Granite Contracting Inc.</t>
  </si>
  <si>
    <t>Alex</t>
  </si>
  <si>
    <t>587-223-5018</t>
  </si>
  <si>
    <t xml:space="preserve">2555 32 St. NE : </t>
  </si>
  <si>
    <t>Great Northern Plumbing</t>
  </si>
  <si>
    <t>Nic</t>
  </si>
  <si>
    <t>403-831-1539</t>
  </si>
  <si>
    <t xml:space="preserve">1747 107 Avenue SW : </t>
  </si>
  <si>
    <t>Green Chilli Strathcona</t>
  </si>
  <si>
    <t>Sal</t>
  </si>
  <si>
    <t>403.607.8825</t>
  </si>
  <si>
    <t xml:space="preserve">555 Strathcona Blvd : </t>
  </si>
  <si>
    <t>Greenlight Power</t>
  </si>
  <si>
    <t>joshua@greenlightpower.ca</t>
  </si>
  <si>
    <t xml:space="preserve">55 Midpark Rise SE : </t>
  </si>
  <si>
    <t>Greystone Property Management Corp</t>
  </si>
  <si>
    <t>chandra@greystonepmc.ca</t>
  </si>
  <si>
    <t xml:space="preserve">2505 107 Ave SE : </t>
  </si>
  <si>
    <t>Group Ulisse Inc</t>
  </si>
  <si>
    <t>salvatore@ulisse.ca</t>
  </si>
  <si>
    <t>GWL Reality Advisors</t>
  </si>
  <si>
    <t>4032835073</t>
  </si>
  <si>
    <t>bbortolotto-freeman@rjc.ca</t>
  </si>
  <si>
    <t xml:space="preserve"> 401 9 Ave SW</t>
  </si>
  <si>
    <t>H &amp; R Transport Ltd</t>
  </si>
  <si>
    <t>Rick</t>
  </si>
  <si>
    <t>403-615-1681</t>
  </si>
  <si>
    <t xml:space="preserve">4540-54 Ave SE : </t>
  </si>
  <si>
    <t>H Business Park (A &amp; B) LP</t>
  </si>
  <si>
    <t>Nimrat</t>
  </si>
  <si>
    <t>403-371-5243</t>
  </si>
  <si>
    <t>ap3cal@bentallgreenoak.com</t>
  </si>
  <si>
    <t xml:space="preserve">4152 27 St NE : </t>
  </si>
  <si>
    <t>Glen Gordon</t>
  </si>
  <si>
    <t>(403) 771-0659</t>
  </si>
  <si>
    <t xml:space="preserve">5003 - 5052 52 Ave SE : </t>
  </si>
  <si>
    <t xml:space="preserve">109 Quarry Park Blvd. SE : </t>
  </si>
  <si>
    <t xml:space="preserve">4707 - 4733 52 Ave SE : </t>
  </si>
  <si>
    <t>5003 - 5052 52 Ave SE : CGC</t>
  </si>
  <si>
    <t>Prime Foothills North B : 4707 - 4733 52 Ave SE</t>
  </si>
  <si>
    <t xml:space="preserve">4623 52 AVE SE : </t>
  </si>
  <si>
    <t>+1-403-589-726</t>
  </si>
  <si>
    <t>5025 52 Ave SE : Prime Foothills C</t>
  </si>
  <si>
    <t xml:space="preserve">5211 - 5241 52 St SE : </t>
  </si>
  <si>
    <t xml:space="preserve">132-4152-27 st NE Hopewell E : </t>
  </si>
  <si>
    <t>Atif Warsi</t>
  </si>
  <si>
    <t>587-226-4722</t>
  </si>
  <si>
    <t>260258 High Plains Blvd : Rocky View County</t>
  </si>
  <si>
    <t>nimrat</t>
  </si>
  <si>
    <t>403-371-5234</t>
  </si>
  <si>
    <t xml:space="preserve">4300 26 St NE : </t>
  </si>
  <si>
    <t>H Business Park (G &amp; H ) LP</t>
  </si>
  <si>
    <t xml:space="preserve"># 125 -2808 Hopewell Pl NE : </t>
  </si>
  <si>
    <t>Hopewell H : 2765 48 Ave NE</t>
  </si>
  <si>
    <t>Hades Publications Inc</t>
  </si>
  <si>
    <t>(403) 479-7368</t>
  </si>
  <si>
    <t>publisher@hadespublications.co</t>
  </si>
  <si>
    <t xml:space="preserve">109 1st Street North : </t>
  </si>
  <si>
    <t>Haides Construction</t>
  </si>
  <si>
    <t>403-870-9885</t>
  </si>
  <si>
    <t>areljic@haidesconstruction.ca</t>
  </si>
  <si>
    <t>Hampton Development Ltd</t>
  </si>
  <si>
    <t xml:space="preserve">423-427 58th Ave SE : </t>
  </si>
  <si>
    <t>Hart Punt</t>
  </si>
  <si>
    <t>403) 998-9547</t>
  </si>
  <si>
    <t xml:space="preserve">24 Hogarth Cres SW. : </t>
  </si>
  <si>
    <t>Hartwick Fine Homes</t>
  </si>
  <si>
    <t>rhartwick@telus.net</t>
  </si>
  <si>
    <t xml:space="preserve">3 Westridge Dr : </t>
  </si>
  <si>
    <t>Harvard Developments</t>
  </si>
  <si>
    <t>403-345-0976</t>
  </si>
  <si>
    <t>RIdjao@harvard.ca</t>
  </si>
  <si>
    <t>Ritchie Idjao</t>
  </si>
  <si>
    <t>403-354-0976</t>
  </si>
  <si>
    <t>azarazun@harvard.ca</t>
  </si>
  <si>
    <t xml:space="preserve">383 Midpark Blvd SE : </t>
  </si>
  <si>
    <t>Height Works</t>
  </si>
  <si>
    <t>1-877-361-2565</t>
  </si>
  <si>
    <t>glenn@heightworks.ca</t>
  </si>
  <si>
    <t>joel@heightworks.ca</t>
  </si>
  <si>
    <t xml:space="preserve">10 Ave SW : </t>
  </si>
  <si>
    <t>JOEL MORICE</t>
  </si>
  <si>
    <t>Suite 107 : 132 - 250 Shawville Blvd SE</t>
  </si>
  <si>
    <t>403.828.1863</t>
  </si>
  <si>
    <t xml:space="preserve">1817 Crowchild Trail NW : </t>
  </si>
  <si>
    <t>Henry Gutman</t>
  </si>
  <si>
    <t>403-244-2840</t>
  </si>
  <si>
    <t>hmgutman@shaw.ca</t>
  </si>
  <si>
    <t>Henry Gutman Investments Ltd.</t>
  </si>
  <si>
    <t>Henry</t>
  </si>
  <si>
    <t xml:space="preserve">10202 Macleod Tr SE : </t>
  </si>
  <si>
    <t xml:space="preserve">8960 Bay Ridge Dr SW : </t>
  </si>
  <si>
    <t>403-258-3588</t>
  </si>
  <si>
    <t xml:space="preserve">503-70th Ave SW : </t>
  </si>
  <si>
    <t xml:space="preserve">511 70 Ave SW : </t>
  </si>
  <si>
    <t xml:space="preserve">509 70 Ave SW : </t>
  </si>
  <si>
    <t xml:space="preserve">110 Forge Rd SE : </t>
  </si>
  <si>
    <t xml:space="preserve">118 Forge Road : </t>
  </si>
  <si>
    <t xml:space="preserve">515 70 Ave SW : </t>
  </si>
  <si>
    <t xml:space="preserve">10206 MacLeod Tr SE : </t>
  </si>
  <si>
    <t>10206 MacLeod Tr SE : Paint Store</t>
  </si>
  <si>
    <t>Heritage Christian Academy</t>
  </si>
  <si>
    <t>(403) 650-9085</t>
  </si>
  <si>
    <t xml:space="preserve">2003 McKnight Blvd NE : </t>
  </si>
  <si>
    <t>Hiflyer Food Canada Inc</t>
  </si>
  <si>
    <t>raymond.tan@hiflyer.ca</t>
  </si>
  <si>
    <t xml:space="preserve">Suite 908 53rd Ave NE : </t>
  </si>
  <si>
    <t>Highfield Four Building Ltd.</t>
  </si>
  <si>
    <t xml:space="preserve">916 42nd Avenue SE : </t>
  </si>
  <si>
    <t>Hines</t>
  </si>
  <si>
    <t>403-592-2891</t>
  </si>
  <si>
    <t>bradley.lariviere@hines.com</t>
  </si>
  <si>
    <t>Hines Canada Mangagement Co</t>
  </si>
  <si>
    <t>Eric</t>
  </si>
  <si>
    <t>403-969-5043</t>
  </si>
  <si>
    <t xml:space="preserve">525  8th Ave SW : </t>
  </si>
  <si>
    <t>Hines Commercial Services LTD.</t>
  </si>
  <si>
    <t>Shane</t>
  </si>
  <si>
    <t>403-998-4034</t>
  </si>
  <si>
    <t>Shane.tripleh@gmail.com</t>
  </si>
  <si>
    <t xml:space="preserve">216 Initiative Ave SW : </t>
  </si>
  <si>
    <t>HOOPP Realty Inc</t>
  </si>
  <si>
    <t>(403) 273-4097</t>
  </si>
  <si>
    <t>Marlborough Mall : 433 Marlborough Way NE</t>
  </si>
  <si>
    <t>Marlborough Mall Bld B : 433 Marlborough Way NE</t>
  </si>
  <si>
    <t xml:space="preserve">433 Marlborough Way N.E : </t>
  </si>
  <si>
    <t>433 Marlborough Way NE : Pad D</t>
  </si>
  <si>
    <t>Tim Wolfenberg</t>
  </si>
  <si>
    <t>403-512-5740</t>
  </si>
  <si>
    <t>c/o Cushman&amp;Wakefield Asset Se : 310- 433 Marlborouogh Way NE</t>
  </si>
  <si>
    <t>Discovering Choices Boardroom : 433 Marlborough Way NE</t>
  </si>
  <si>
    <t>ud : 310- 433 Marlborouogh Way NE</t>
  </si>
  <si>
    <t>403-273-4097</t>
  </si>
  <si>
    <t>433 Marlboroough Way NE : Suite 670</t>
  </si>
  <si>
    <t>Hopewell Real Estate Services</t>
  </si>
  <si>
    <t>Development</t>
  </si>
  <si>
    <t>(403) 232-8821</t>
  </si>
  <si>
    <t xml:space="preserve">2020 4 St SW #410 : </t>
  </si>
  <si>
    <t>Horizon Wen Inc</t>
  </si>
  <si>
    <t xml:space="preserve">2423  31 Ave SW : </t>
  </si>
  <si>
    <t xml:space="preserve">8911 Bonaventure Dr SE : </t>
  </si>
  <si>
    <t>Hot Shop</t>
  </si>
  <si>
    <t>403-702-1097</t>
  </si>
  <si>
    <t>adam@hot-shop.ca</t>
  </si>
  <si>
    <t>Hotel Clique</t>
  </si>
  <si>
    <t>Franco Opto</t>
  </si>
  <si>
    <t>(403) 460-9588</t>
  </si>
  <si>
    <t xml:space="preserve">24 Aero Crescent NE : </t>
  </si>
  <si>
    <t>HS Canada Front Street SE Property Inc.</t>
  </si>
  <si>
    <t>Steve.Huang</t>
  </si>
  <si>
    <t>c/o BentallGreenOak (Canada) Limited Partnership : Suite 240, 640 - 5th Avenue SW</t>
  </si>
  <si>
    <t>HS Investment</t>
  </si>
  <si>
    <t>Harry</t>
  </si>
  <si>
    <t>(403) 615-1583</t>
  </si>
  <si>
    <t>harrymetsally@shaw.ca</t>
  </si>
  <si>
    <t xml:space="preserve">4123 Ogden Rd SE : </t>
  </si>
  <si>
    <t>Hurst Construction Management</t>
  </si>
  <si>
    <t>Tony</t>
  </si>
  <si>
    <t>403-333-3271</t>
  </si>
  <si>
    <t>lisa@hurstconstruction.ca</t>
  </si>
  <si>
    <t xml:space="preserve">7410 Blackfoot Trail SE : </t>
  </si>
  <si>
    <t>403 243 0331</t>
  </si>
  <si>
    <t xml:space="preserve">3637 Manchester Road SE : </t>
  </si>
  <si>
    <t>(403) 333-3271</t>
  </si>
  <si>
    <t xml:space="preserve">3637 Manchester Rd : </t>
  </si>
  <si>
    <t xml:space="preserve">320 36ave SW : </t>
  </si>
  <si>
    <t xml:space="preserve">4604 37 Street SW : </t>
  </si>
  <si>
    <t>Derek</t>
  </si>
  <si>
    <t>(403) 993-4627</t>
  </si>
  <si>
    <t xml:space="preserve">3625 Blackburn Road SE : </t>
  </si>
  <si>
    <t xml:space="preserve">4150-B 14A Street SE : </t>
  </si>
  <si>
    <t>James Duke</t>
  </si>
  <si>
    <t>(403) 899-4179</t>
  </si>
  <si>
    <t xml:space="preserve">513 13 Ave SW : </t>
  </si>
  <si>
    <t>(403) 371-9099</t>
  </si>
  <si>
    <t xml:space="preserve">677 25 Ave SE : </t>
  </si>
  <si>
    <t>403-899-4179</t>
  </si>
  <si>
    <t xml:space="preserve">1111 Memorial Dr NW : </t>
  </si>
  <si>
    <t>Hyatt Investments</t>
  </si>
  <si>
    <t>Bryan</t>
  </si>
  <si>
    <t>403-252-0358</t>
  </si>
  <si>
    <t xml:space="preserve">285 Manitou Rd SE : </t>
  </si>
  <si>
    <t>Brian Young</t>
  </si>
  <si>
    <t>403-305-6621</t>
  </si>
  <si>
    <t>1311 9th Ave SW : Suite 300</t>
  </si>
  <si>
    <t>I.G. Investment Management Ltd.</t>
  </si>
  <si>
    <t>Great Plains 2 : 5805 ‐76 Avenue SE,</t>
  </si>
  <si>
    <t>Great Plains 1 : 5840 76 Ave SE #10</t>
  </si>
  <si>
    <t xml:space="preserve">5800 ‐79 Avenue SE, : </t>
  </si>
  <si>
    <t xml:space="preserve">5805 ‐76 Avenue SE, : </t>
  </si>
  <si>
    <t xml:space="preserve">5840 ‐76 Avenue SE, : </t>
  </si>
  <si>
    <t>c/o ONE Property Management Limited Partnership : Suite 920, 205 - 5 Avenue SW</t>
  </si>
  <si>
    <t>Great Plains 3 : 5840 76 Ave SE #40</t>
  </si>
  <si>
    <t>Great Plains 3 : #10 -5840 76 Ave SE</t>
  </si>
  <si>
    <t>Great Plains 3 : 5840 76 Ave SE</t>
  </si>
  <si>
    <t>Great Plains 2 : 5805 76 Ave SE</t>
  </si>
  <si>
    <t>Great Plains 2 : #45-5805 76 Ave SE</t>
  </si>
  <si>
    <t>Great Plains 3 : # 40 - 5840 76 Ave SE #40</t>
  </si>
  <si>
    <t>Great Plains 1 : 5800 79Ave SE</t>
  </si>
  <si>
    <t>Dan</t>
  </si>
  <si>
    <t>Great Plains 3 : 5805 -76 Ave SE</t>
  </si>
  <si>
    <t>Atif</t>
  </si>
  <si>
    <t>(587) 226-4722</t>
  </si>
  <si>
    <t>Hopewell Corporate Centre : 2618 Hopewell Place NE</t>
  </si>
  <si>
    <t xml:space="preserve">5840 76 Ave SE : </t>
  </si>
  <si>
    <t>I.G.Investment Management, Ltd. c/o BentallGreenOak (Canada) LP</t>
  </si>
  <si>
    <t>Lisa Cheong-Stevens</t>
  </si>
  <si>
    <t>ap6cal@bentallgreenoak.com</t>
  </si>
  <si>
    <t xml:space="preserve">Suite 1300, 112 – 4th Avenue SW : </t>
  </si>
  <si>
    <t>Alex Born</t>
  </si>
  <si>
    <t xml:space="preserve">2618 Hopewell Place NE : </t>
  </si>
  <si>
    <t>Ice House Enterprises Inc.</t>
  </si>
  <si>
    <t>Andrea L. Wilson</t>
  </si>
  <si>
    <t>403.836.4329</t>
  </si>
  <si>
    <t>andrea@icehouseent.ca</t>
  </si>
  <si>
    <t>122 Sierra Springs Dr SE : #201</t>
  </si>
  <si>
    <t>Andrea Wilson</t>
  </si>
  <si>
    <t>403-836-4929</t>
  </si>
  <si>
    <t xml:space="preserve">109-150 Crowffot Cres  NW : </t>
  </si>
  <si>
    <t xml:space="preserve">9-600 Crowfoot Cr NW : </t>
  </si>
  <si>
    <t xml:space="preserve">1923 Center Street NW : </t>
  </si>
  <si>
    <t>IKO Industries</t>
  </si>
  <si>
    <t>Jay Simpson</t>
  </si>
  <si>
    <t xml:space="preserve">1600 42 Avenue SE : </t>
  </si>
  <si>
    <t>Industrial Solution Alberta Inc</t>
  </si>
  <si>
    <t>Laura Cote</t>
  </si>
  <si>
    <t xml:space="preserve">114 Pacific Cr : </t>
  </si>
  <si>
    <t>IntraPac</t>
  </si>
  <si>
    <t>Trevor Elms</t>
  </si>
  <si>
    <t xml:space="preserve">3838 80 Ave SE : </t>
  </si>
  <si>
    <t>Investors Group Trust Co.Ltd.</t>
  </si>
  <si>
    <t>Ram</t>
  </si>
  <si>
    <t>(587) 707-7151</t>
  </si>
  <si>
    <t xml:space="preserve">7944 10 St NE : </t>
  </si>
  <si>
    <t>Investors Group Trust Co.Ltd. c/o BentallGreenOak (Canada) Limited Partners</t>
  </si>
  <si>
    <t>Lisa Cheong Stevens</t>
  </si>
  <si>
    <t>Investors Group Trust Co.Ltd. c/o BentallGreenOak : 112 4th Ave SW Suite 1300</t>
  </si>
  <si>
    <t xml:space="preserve">7911, 7912, 7854 10th Street NE : </t>
  </si>
  <si>
    <t>ISL Engineering</t>
  </si>
  <si>
    <t>Becky Sexton</t>
  </si>
  <si>
    <t xml:space="preserve">2213 19 Ave : </t>
  </si>
  <si>
    <t>ITF Foothills Canada GP Inc.</t>
  </si>
  <si>
    <t xml:space="preserve">7505 48 St SE : </t>
  </si>
  <si>
    <t>J Ross Real Estate</t>
  </si>
  <si>
    <t>jim@jlrealestate.ca</t>
  </si>
  <si>
    <t>Jax Builders</t>
  </si>
  <si>
    <t>(403) 869-4648</t>
  </si>
  <si>
    <t xml:space="preserve">Westbrook Mall : </t>
  </si>
  <si>
    <t>Jed's Equipment</t>
  </si>
  <si>
    <t>Ed</t>
  </si>
  <si>
    <t>(403) 286-5491</t>
  </si>
  <si>
    <t xml:space="preserve">6504 Bowness Road NW : </t>
  </si>
  <si>
    <t xml:space="preserve">2159 Douglasbank Cres SE : </t>
  </si>
  <si>
    <t>ED</t>
  </si>
  <si>
    <t>403-286-5491</t>
  </si>
  <si>
    <t xml:space="preserve">2159 Douglas Cres SE : </t>
  </si>
  <si>
    <t>Jen-Col Construction Ltd.</t>
  </si>
  <si>
    <t>Rene</t>
  </si>
  <si>
    <t xml:space="preserve">229 Woodhaven Drive : </t>
  </si>
  <si>
    <t>Jennifer Nazareth</t>
  </si>
  <si>
    <t>Jennifer</t>
  </si>
  <si>
    <t>(403) 254-8205</t>
  </si>
  <si>
    <t>jtnjenny@netscape.net</t>
  </si>
  <si>
    <t xml:space="preserve">47 Millpark Road SW : </t>
  </si>
  <si>
    <t>Jerusalem Shawarma</t>
  </si>
  <si>
    <t>Izzo</t>
  </si>
  <si>
    <t>403-400-0341</t>
  </si>
  <si>
    <t>izzo.abufarha@gmail.com</t>
  </si>
  <si>
    <t>Boulevard Shopping Center : 319 16061 Macleod Trail</t>
  </si>
  <si>
    <t>Jesse Buhler</t>
  </si>
  <si>
    <t>403-608-4330</t>
  </si>
  <si>
    <t xml:space="preserve">86 Auburn Meadows Court SE : </t>
  </si>
  <si>
    <t>Jewan, Bev &amp; Heinz</t>
  </si>
  <si>
    <t>Bev Jewan</t>
  </si>
  <si>
    <t>(403) 250-7055</t>
  </si>
  <si>
    <t>bevjewan@shaw.ca</t>
  </si>
  <si>
    <t xml:space="preserve">3427 Lane Cres SW : </t>
  </si>
  <si>
    <t>JLC Electric</t>
  </si>
  <si>
    <t>Steve Moore</t>
  </si>
  <si>
    <t>(403) 837-5749</t>
  </si>
  <si>
    <t>Joe Tao</t>
  </si>
  <si>
    <t>403-618-8653</t>
  </si>
  <si>
    <t xml:space="preserve"># 116-Strathcona Blvd SW : </t>
  </si>
  <si>
    <t>John Miles</t>
  </si>
  <si>
    <t>403-246-7822</t>
  </si>
  <si>
    <t xml:space="preserve">133 Tusselwood Terrace NW : </t>
  </si>
  <si>
    <t>Johnson Controls Inc.</t>
  </si>
  <si>
    <t>Timm Stoodley</t>
  </si>
  <si>
    <t>(403) 258-5759</t>
  </si>
  <si>
    <t>cathy.m.gossen@jci.com</t>
  </si>
  <si>
    <t>Jones Lang LaSalle</t>
  </si>
  <si>
    <t>Amal Bakhressa</t>
  </si>
  <si>
    <t>855 2 St SW : #3900</t>
  </si>
  <si>
    <t>403) 615-7877</t>
  </si>
  <si>
    <t xml:space="preserve">744 4 Ave SW : </t>
  </si>
  <si>
    <t xml:space="preserve">1125 North Railway Street : </t>
  </si>
  <si>
    <t xml:space="preserve">550 6th Ave SW : </t>
  </si>
  <si>
    <t>Jopp Paula</t>
  </si>
  <si>
    <t>Paula Jopp</t>
  </si>
  <si>
    <t>(403) 612-4322</t>
  </si>
  <si>
    <t>pjopp@hotmail.com</t>
  </si>
  <si>
    <t xml:space="preserve">284 Carragana Cres NW : </t>
  </si>
  <si>
    <t>Jordan Brooks</t>
  </si>
  <si>
    <t>Jordan</t>
  </si>
  <si>
    <t>(250) 893-7755</t>
  </si>
  <si>
    <t xml:space="preserve">6 Douglasview circle SE : </t>
  </si>
  <si>
    <t>JTL Communications Ltd.</t>
  </si>
  <si>
    <t>rob@jtlcom.ca</t>
  </si>
  <si>
    <t xml:space="preserve">602 11 Ave SW : </t>
  </si>
  <si>
    <t>Justin Ryder</t>
  </si>
  <si>
    <t>403-607-4220</t>
  </si>
  <si>
    <t>jryder@louson.ca</t>
  </si>
  <si>
    <t>JVT 1st Choice Maintenance and Renovation</t>
  </si>
  <si>
    <t>Jean Theosmy</t>
  </si>
  <si>
    <t>(587) 973-0372</t>
  </si>
  <si>
    <t xml:space="preserve">108 20 Shamrock Place : </t>
  </si>
  <si>
    <t>Kaiser Foods</t>
  </si>
  <si>
    <t>Shahab</t>
  </si>
  <si>
    <t>587-717-8930</t>
  </si>
  <si>
    <t xml:space="preserve">4303 26 St NE : </t>
  </si>
  <si>
    <t>Shahab(starrpackaging@gmail.com)</t>
  </si>
  <si>
    <t xml:space="preserve"># 126 4303 26 St NE : </t>
  </si>
  <si>
    <t>Kaizen</t>
  </si>
  <si>
    <t>Sylvio LeBlanc</t>
  </si>
  <si>
    <t>403-831-4320</t>
  </si>
  <si>
    <t>sylvio@kaizenbuild.com</t>
  </si>
  <si>
    <t xml:space="preserve">922, 1811 4th St SW : </t>
  </si>
  <si>
    <t xml:space="preserve">1521 4th st SW : </t>
  </si>
  <si>
    <t>Kaleidoscope Holdings Corporation</t>
  </si>
  <si>
    <t>Victor</t>
  </si>
  <si>
    <t>403-660-0421</t>
  </si>
  <si>
    <t>kaleidoscopeholdings@gmail.com</t>
  </si>
  <si>
    <t xml:space="preserve">1631 4 Street NW : </t>
  </si>
  <si>
    <t xml:space="preserve">1224 Cameron Ave SW : </t>
  </si>
  <si>
    <t>Amy</t>
  </si>
  <si>
    <t>(403) 462-6222</t>
  </si>
  <si>
    <t xml:space="preserve">3908 Center A Street NE : </t>
  </si>
  <si>
    <t xml:space="preserve">1404 1st St NW : </t>
  </si>
  <si>
    <t>Karen King &amp; Associated Inc.</t>
  </si>
  <si>
    <t>403-614-6873</t>
  </si>
  <si>
    <t>ahmed@karenking.ca</t>
  </si>
  <si>
    <t>Kathleen Bathory</t>
  </si>
  <si>
    <t>Jared( tenant)</t>
  </si>
  <si>
    <t>403-826-8112</t>
  </si>
  <si>
    <t xml:space="preserve">1835 20th Ave NW : </t>
  </si>
  <si>
    <t>KCP Energy</t>
  </si>
  <si>
    <t>g.domenico@kcpenergy.com</t>
  </si>
  <si>
    <t xml:space="preserve">5808 Madigan Drive NE : </t>
  </si>
  <si>
    <t>Ken Ellstone</t>
  </si>
  <si>
    <t>403-828-1799</t>
  </si>
  <si>
    <t xml:space="preserve">10408 Maplemont Rd : </t>
  </si>
  <si>
    <t>Kevin Libin</t>
  </si>
  <si>
    <t>(416) 383-2478</t>
  </si>
  <si>
    <t>Keystone Grey Property Mgmt.</t>
  </si>
  <si>
    <t>JP</t>
  </si>
  <si>
    <t>(587) 390-7860</t>
  </si>
  <si>
    <t xml:space="preserve">515 18 Ave SW : </t>
  </si>
  <si>
    <t>KLM Contracting</t>
  </si>
  <si>
    <t>Mark Fieber</t>
  </si>
  <si>
    <t>403-815-2109</t>
  </si>
  <si>
    <t>markfieber@yahoo.ca</t>
  </si>
  <si>
    <t xml:space="preserve">1815 62 St. NE : </t>
  </si>
  <si>
    <t xml:space="preserve">8068 21 st NE : </t>
  </si>
  <si>
    <t>Knox United Church</t>
  </si>
  <si>
    <t>Sue</t>
  </si>
  <si>
    <t>(403) 269-8382</t>
  </si>
  <si>
    <t xml:space="preserve">506 4 Street SW : </t>
  </si>
  <si>
    <t>KNS Industries</t>
  </si>
  <si>
    <t>403.993.8511</t>
  </si>
  <si>
    <t>Shamus@KNSindustries.ca</t>
  </si>
  <si>
    <t>KOL Holdings</t>
  </si>
  <si>
    <t>Marc Sosowski</t>
  </si>
  <si>
    <t>403-816-3295</t>
  </si>
  <si>
    <t xml:space="preserve">6622 20A St SE : </t>
  </si>
  <si>
    <t>La Cite Des Rocheuses</t>
  </si>
  <si>
    <t>Arnuad Favier</t>
  </si>
  <si>
    <t>dga@citedesrocheuses.com</t>
  </si>
  <si>
    <t xml:space="preserve">4800 Richard Road SW : </t>
  </si>
  <si>
    <t>LE Facility Maintenance</t>
  </si>
  <si>
    <t>403-291-2111</t>
  </si>
  <si>
    <t xml:space="preserve">2508 24 Ave NE : </t>
  </si>
  <si>
    <t>Leadon (Calgary Downtown) Operations LP</t>
  </si>
  <si>
    <t>Richard Main</t>
  </si>
  <si>
    <t xml:space="preserve">209 4 Avenue SE : </t>
  </si>
  <si>
    <t xml:space="preserve">209 4th Ave SE : </t>
  </si>
  <si>
    <t>Legion 284</t>
  </si>
  <si>
    <t>(403) 276-1775</t>
  </si>
  <si>
    <t>keller.don@shaw.ca</t>
  </si>
  <si>
    <t>Lignum Interiors Inc.</t>
  </si>
  <si>
    <t>c.richards@lignuminteriors.com</t>
  </si>
  <si>
    <t>140 : 11358 Barlow Trail NE</t>
  </si>
  <si>
    <t>Little Fast + Fresh</t>
  </si>
  <si>
    <t>Michelle Traxel</t>
  </si>
  <si>
    <t>403-422-3343</t>
  </si>
  <si>
    <t>hookandfawn@gmail.com</t>
  </si>
  <si>
    <t xml:space="preserve">204-44 Riverside Gate : </t>
  </si>
  <si>
    <t>Lois Teirney</t>
  </si>
  <si>
    <t>Lois</t>
  </si>
  <si>
    <t>(403) 804-2264</t>
  </si>
  <si>
    <t>loistierney1@gmail.com</t>
  </si>
  <si>
    <t xml:space="preserve">7623 25 Street SE : </t>
  </si>
  <si>
    <t>Louson Investments Ltd.</t>
  </si>
  <si>
    <t xml:space="preserve">1005A 1St SW : </t>
  </si>
  <si>
    <t>Tracy Howat</t>
  </si>
  <si>
    <t>403-262-1956</t>
  </si>
  <si>
    <t xml:space="preserve">815 1 St SW : </t>
  </si>
  <si>
    <t>Luff Industries</t>
  </si>
  <si>
    <t>Dan Moir</t>
  </si>
  <si>
    <t>403-827-9992</t>
  </si>
  <si>
    <t>daniel@luffindustries.com</t>
  </si>
  <si>
    <t>235010 Wrangler Road</t>
  </si>
  <si>
    <t>M3 Development Management Ltd</t>
  </si>
  <si>
    <t>226.973.5790</t>
  </si>
  <si>
    <t>zante.botha@m3dm.ca</t>
  </si>
  <si>
    <t>MAACO</t>
  </si>
  <si>
    <t>Rajesh (Owner)</t>
  </si>
  <si>
    <t>403-918-3530</t>
  </si>
  <si>
    <t xml:space="preserve">905 53 Ave NW : </t>
  </si>
  <si>
    <t>Mackie Group</t>
  </si>
  <si>
    <t>Ashliegh Ford</t>
  </si>
  <si>
    <t>(587) 880-3014</t>
  </si>
  <si>
    <t>ashleigh.ford@mackiegroup.com</t>
  </si>
  <si>
    <t xml:space="preserve">1128 64 Ave NE : </t>
  </si>
  <si>
    <t>Mainline Equipment</t>
  </si>
  <si>
    <t>Mitch Corley</t>
  </si>
  <si>
    <t>403-809-0734</t>
  </si>
  <si>
    <t xml:space="preserve">4720 78th Ave SE : </t>
  </si>
  <si>
    <t>Malory Obligation</t>
  </si>
  <si>
    <t>Malory</t>
  </si>
  <si>
    <t>(403) 542-0901</t>
  </si>
  <si>
    <t xml:space="preserve">2159 Douglas Bank Cres SE : </t>
  </si>
  <si>
    <t>Manulife Financial</t>
  </si>
  <si>
    <t>Steve McMechan</t>
  </si>
  <si>
    <t>(403) 888-3727</t>
  </si>
  <si>
    <t>lavinia_taschner@manulife.com</t>
  </si>
  <si>
    <t xml:space="preserve">800, 6th Ave, SW : </t>
  </si>
  <si>
    <t>Tim Barrett</t>
  </si>
  <si>
    <t>403-974-0799</t>
  </si>
  <si>
    <t>Manulife Financial : 1122-4th St. SW</t>
  </si>
  <si>
    <t>Maria Montessori Education Centre</t>
  </si>
  <si>
    <t>Servijit</t>
  </si>
  <si>
    <t>403-605-3580</t>
  </si>
  <si>
    <t>servejit@mmec.ca</t>
  </si>
  <si>
    <t xml:space="preserve">2648 12 AVe NW : </t>
  </si>
  <si>
    <t>Servejit Massey</t>
  </si>
  <si>
    <t>(403) 605-3580</t>
  </si>
  <si>
    <t xml:space="preserve">2634 12 Avenue N.W : </t>
  </si>
  <si>
    <t>Marilyn &amp; Tom Wickenheiser</t>
  </si>
  <si>
    <t>Marilyn Wickenheiser</t>
  </si>
  <si>
    <t>403-585-6441</t>
  </si>
  <si>
    <t xml:space="preserve">#13-8203 Silver Springs RD NW : </t>
  </si>
  <si>
    <t>Mario Vetere</t>
  </si>
  <si>
    <t>Mario</t>
  </si>
  <si>
    <t>403-680-8878</t>
  </si>
  <si>
    <t xml:space="preserve">67 Woodbrook Way SW : </t>
  </si>
  <si>
    <t>Mark Miller</t>
  </si>
  <si>
    <t>mmiller@a1autobody.com</t>
  </si>
  <si>
    <t xml:space="preserve">127 Pumphill Place SW : </t>
  </si>
  <si>
    <t>Marlborough Mall Medical Clinic</t>
  </si>
  <si>
    <t>403 903 3316</t>
  </si>
  <si>
    <t>marlboroughmallpcc@gmail.com</t>
  </si>
  <si>
    <t>Masterworks Electrical and Contracting</t>
  </si>
  <si>
    <t>403-669-0242</t>
  </si>
  <si>
    <t xml:space="preserve">224 16061 Macleod : </t>
  </si>
  <si>
    <t>Matt Dreger</t>
  </si>
  <si>
    <t>(306) 262-0420</t>
  </si>
  <si>
    <t xml:space="preserve">100 Hillary Cres SW : </t>
  </si>
  <si>
    <t>Matthew Johnston</t>
  </si>
  <si>
    <t xml:space="preserve">1530 15th Ave SW : </t>
  </si>
  <si>
    <t>Mayfair Diagnostics</t>
  </si>
  <si>
    <t>Rudy</t>
  </si>
  <si>
    <t>403-819-4760</t>
  </si>
  <si>
    <t>rverheyde@radiology.ca</t>
  </si>
  <si>
    <t xml:space="preserve">#12 55 Castleridge Blvd NE : </t>
  </si>
  <si>
    <t>MB Studios VBC Canada Ltd</t>
  </si>
  <si>
    <t>Ron Watts ( Avison Young)</t>
  </si>
  <si>
    <t>403-200-4212</t>
  </si>
  <si>
    <t>c/o MBS Equipment Company Canada : 4908/4912 -4900 52nd Ave.SE</t>
  </si>
  <si>
    <t>McClark Mechanical</t>
  </si>
  <si>
    <t>Steve Clark</t>
  </si>
  <si>
    <t>(403) 671-4876</t>
  </si>
  <si>
    <t>steve@mclarkmechanical.com</t>
  </si>
  <si>
    <t xml:space="preserve">700 58th Ave SE : </t>
  </si>
  <si>
    <t>McDonald, Connie</t>
  </si>
  <si>
    <t>Connie McDonald</t>
  </si>
  <si>
    <t>rich.mcdofamily@shaw.ca</t>
  </si>
  <si>
    <t xml:space="preserve">912 8 Avenue SE : </t>
  </si>
  <si>
    <t>MCM Property Management Ltd.</t>
  </si>
  <si>
    <t>Tom McGee</t>
  </si>
  <si>
    <t>403-297-5640</t>
  </si>
  <si>
    <t xml:space="preserve">230 21 Avenue : </t>
  </si>
  <si>
    <t>Meat And Eat</t>
  </si>
  <si>
    <t>Hazim</t>
  </si>
  <si>
    <t xml:space="preserve">Unit 118- 2640 52nd St NE : </t>
  </si>
  <si>
    <t>Megacad Design &amp; Builder Ltd.</t>
  </si>
  <si>
    <t>LU</t>
  </si>
  <si>
    <t>403-608-3552</t>
  </si>
  <si>
    <t>Memory Express</t>
  </si>
  <si>
    <t>Jason  Fraser</t>
  </si>
  <si>
    <t>403-930-1696</t>
  </si>
  <si>
    <t xml:space="preserve">3340 32 St NE : </t>
  </si>
  <si>
    <t>Jason Fraser</t>
  </si>
  <si>
    <t xml:space="preserve">120 58th Ave SE : </t>
  </si>
  <si>
    <t xml:space="preserve">Jason Fraser </t>
  </si>
  <si>
    <t>jason.fraser@memoryexpress.com</t>
  </si>
  <si>
    <t>2527 5 Ave NW, Calgary, AB T2N 0T4</t>
  </si>
  <si>
    <t xml:space="preserve">Mercedes Benz </t>
  </si>
  <si>
    <t xml:space="preserve">Christopher Hunt </t>
  </si>
  <si>
    <t>403-930-7778</t>
  </si>
  <si>
    <t xml:space="preserve">chunt@mbcountryhills.com </t>
  </si>
  <si>
    <t>Merelie Berard</t>
  </si>
  <si>
    <t xml:space="preserve">1235 Landsdowne Ave SW : </t>
  </si>
  <si>
    <t>Mica Group</t>
  </si>
  <si>
    <t>587-215-7531</t>
  </si>
  <si>
    <t>Contact@mica2020.com</t>
  </si>
  <si>
    <t>11440 29th St SE</t>
  </si>
  <si>
    <t>Imrahn Remtulla</t>
  </si>
  <si>
    <t xml:space="preserve">11435 29 St SE : </t>
  </si>
  <si>
    <t xml:space="preserve">3600 19 St NE : </t>
  </si>
  <si>
    <t xml:space="preserve">2020 35th Ave NE : </t>
  </si>
  <si>
    <t xml:space="preserve">3650 19th St NE : </t>
  </si>
  <si>
    <t>Michael &amp; Laurie O'Neil</t>
  </si>
  <si>
    <t>Shaun O'Neil</t>
  </si>
  <si>
    <t>soneil@garlandind.com</t>
  </si>
  <si>
    <t xml:space="preserve">1819 Cayuga Cres NW : </t>
  </si>
  <si>
    <t>Michael Pawluk Warranty</t>
  </si>
  <si>
    <t>Michael Pawluk</t>
  </si>
  <si>
    <t>403-279-6313</t>
  </si>
  <si>
    <t xml:space="preserve">7644 27 Th St SE : </t>
  </si>
  <si>
    <t>Michelle Screpnechuk</t>
  </si>
  <si>
    <t>(403) 667-7370</t>
  </si>
  <si>
    <t>michellescrep@mac.com</t>
  </si>
  <si>
    <t xml:space="preserve">1400 Premier Way SW : </t>
  </si>
  <si>
    <t>Mike Cottreau</t>
  </si>
  <si>
    <t>587-572-5084</t>
  </si>
  <si>
    <t xml:space="preserve">204 Drake Landing Lane : </t>
  </si>
  <si>
    <t>Mike Reese</t>
  </si>
  <si>
    <t>(250) 666-0254</t>
  </si>
  <si>
    <t xml:space="preserve">9695 Granby Rd : </t>
  </si>
  <si>
    <t>Millrise Plaza Ltd.</t>
  </si>
  <si>
    <t xml:space="preserve">150 Millrise Blvd : </t>
  </si>
  <si>
    <t>Modern Niagra</t>
  </si>
  <si>
    <t>(403) 230-3225</t>
  </si>
  <si>
    <t>calgary@modernniagara.com</t>
  </si>
  <si>
    <t>Modern Plate &amp;  Label Inc</t>
  </si>
  <si>
    <t>Justin</t>
  </si>
  <si>
    <t xml:space="preserve">7954 51 St SE : </t>
  </si>
  <si>
    <t xml:space="preserve">Monday Management Inc </t>
  </si>
  <si>
    <t xml:space="preserve">Pamela Wilson </t>
  </si>
  <si>
    <t>pwilson@mondaymanagement.ca</t>
  </si>
  <si>
    <t xml:space="preserve">3160 27th St NE, Calgary </t>
  </si>
  <si>
    <t>Montana Creative Contracting</t>
  </si>
  <si>
    <t>Gary Goemans</t>
  </si>
  <si>
    <t>(403) 615-0767</t>
  </si>
  <si>
    <t xml:space="preserve">4727 40 Ave SW : </t>
  </si>
  <si>
    <t>Gary</t>
  </si>
  <si>
    <t>403-615-0767</t>
  </si>
  <si>
    <t xml:space="preserve">7233 Ogden Rd SE : </t>
  </si>
  <si>
    <t>Mount Royal CC 0113505</t>
  </si>
  <si>
    <t>John Wilson</t>
  </si>
  <si>
    <t>FSR See Contacts</t>
  </si>
  <si>
    <t xml:space="preserve">838 19 Avenue SW : </t>
  </si>
  <si>
    <t>Move to Move Inc.</t>
  </si>
  <si>
    <t>Bonar</t>
  </si>
  <si>
    <t>(587) 893-0733</t>
  </si>
  <si>
    <t>bonar@movetomove.ca</t>
  </si>
  <si>
    <t xml:space="preserve">1010, 2600 Portland Street SE : </t>
  </si>
  <si>
    <t>Nathan Neustaeter</t>
  </si>
  <si>
    <t>403-869-1923</t>
  </si>
  <si>
    <t xml:space="preserve">815 42 St SE : </t>
  </si>
  <si>
    <t>Neil Webber</t>
  </si>
  <si>
    <t>nwebber@webberacademy.ca</t>
  </si>
  <si>
    <t xml:space="preserve">3308 81 Street SW : </t>
  </si>
  <si>
    <t>Neutech Services</t>
  </si>
  <si>
    <t>chad@neutech.ca</t>
  </si>
  <si>
    <t xml:space="preserve">10007 24 St SW : </t>
  </si>
  <si>
    <t xml:space="preserve">11420 Sarcee Trail NW F6 : </t>
  </si>
  <si>
    <t>403-235-3527</t>
  </si>
  <si>
    <t xml:space="preserve">190-4307 130 : </t>
  </si>
  <si>
    <t>Unit 3 : 1359 69St sw</t>
  </si>
  <si>
    <t xml:space="preserve">70 Shawville Blvd SE : </t>
  </si>
  <si>
    <t xml:space="preserve">2536 Kensington Rd NW, Calgary, AB T2N 0C2 : </t>
  </si>
  <si>
    <t xml:space="preserve">5621 Signal Hill Centre SW : </t>
  </si>
  <si>
    <t xml:space="preserve">422 McKnight Blvd NE : </t>
  </si>
  <si>
    <t xml:space="preserve">3663 12 Ave NE : </t>
  </si>
  <si>
    <t xml:space="preserve">3120 17 Ave SE : </t>
  </si>
  <si>
    <t xml:space="preserve">5120 Shaganappi Trail NW : </t>
  </si>
  <si>
    <t xml:space="preserve">4303 Macleod Trail SE : </t>
  </si>
  <si>
    <t xml:space="preserve">1320 14 th ST SW : </t>
  </si>
  <si>
    <t>Stacey Ruthven/ invoices</t>
  </si>
  <si>
    <t xml:space="preserve">4027 4th street SE : </t>
  </si>
  <si>
    <t>Nilex Inc</t>
  </si>
  <si>
    <t>Tyler Boltd</t>
  </si>
  <si>
    <t xml:space="preserve">9222 40 St SE : </t>
  </si>
  <si>
    <t>Niro Developments</t>
  </si>
  <si>
    <t>vince@nirodevelopments.ca</t>
  </si>
  <si>
    <t xml:space="preserve">1704 47 Ave SW : </t>
  </si>
  <si>
    <t>Nonni Property Group</t>
  </si>
  <si>
    <t>604-683-0066</t>
  </si>
  <si>
    <t>rahim@ninno.com</t>
  </si>
  <si>
    <t xml:space="preserve">Rahim </t>
  </si>
  <si>
    <t>rahim@nonni.com</t>
  </si>
  <si>
    <t xml:space="preserve">4919 72 Ave SE, Calgary </t>
  </si>
  <si>
    <t>Northland Asset Management Co</t>
  </si>
  <si>
    <t>Rob Clayton</t>
  </si>
  <si>
    <t>403-690-8913</t>
  </si>
  <si>
    <t>NorthWest Healthcare Properties REIT</t>
  </si>
  <si>
    <t>Michelle.Herlihy@nwhreit.com</t>
  </si>
  <si>
    <t xml:space="preserve">40 Sunpark Boulevard sE : </t>
  </si>
  <si>
    <t>Northwest Healthcare Properties REIT</t>
  </si>
  <si>
    <t xml:space="preserve">210, 1011 Glenmore Trail SW : </t>
  </si>
  <si>
    <t>Invoice to:</t>
  </si>
  <si>
    <t xml:space="preserve">1011 Glenmore Trail SW : </t>
  </si>
  <si>
    <t>NOVA Chemicals</t>
  </si>
  <si>
    <t>Franco Giannaccari</t>
  </si>
  <si>
    <t>(403) 314-8975</t>
  </si>
  <si>
    <t>Nova Chemicals Corp. Bld 9 : 2Km South Joffre Hwy 815</t>
  </si>
  <si>
    <t>Paul Mesquita</t>
  </si>
  <si>
    <t>403-399-7285</t>
  </si>
  <si>
    <t>Centre for Applied Research : 2928 - 16 Street NE</t>
  </si>
  <si>
    <t>Julien Leblanc</t>
  </si>
  <si>
    <t>(403) 291-8442</t>
  </si>
  <si>
    <t>Centre for Performance Applica : 3620 - 32 Street NE</t>
  </si>
  <si>
    <t>NOVA Joffre Plant</t>
  </si>
  <si>
    <t>Amanda Dodd</t>
  </si>
  <si>
    <t>4035972328</t>
  </si>
  <si>
    <t>amanda.dodd@novachem.com</t>
  </si>
  <si>
    <t>NOVA Research &amp; Technology Co.</t>
  </si>
  <si>
    <t>(403) 399-7285</t>
  </si>
  <si>
    <t>cadap@novachem.com</t>
  </si>
  <si>
    <t>Centre for Applied Research : 2928 16 Street NE</t>
  </si>
  <si>
    <t xml:space="preserve">P.O. Box 3070 : </t>
  </si>
  <si>
    <t>CAR -Centre for Applied Research : 2928 16 Street NE</t>
  </si>
  <si>
    <t>Centre for Performance : 3620 32 St NE</t>
  </si>
  <si>
    <t>403-378-5814</t>
  </si>
  <si>
    <t xml:space="preserve">52.30836582384015, -113.54644085036753 : </t>
  </si>
  <si>
    <t>Nuel Gemmill</t>
  </si>
  <si>
    <t>Nuel</t>
  </si>
  <si>
    <t>403-465-2647</t>
  </si>
  <si>
    <t xml:space="preserve">140 Pinetree RD. NE : </t>
  </si>
  <si>
    <t>Nutrien</t>
  </si>
  <si>
    <t>4037025852</t>
  </si>
  <si>
    <t>james.budden@nutrien.com</t>
  </si>
  <si>
    <t>13131 lake Fraser Dr SE</t>
  </si>
  <si>
    <t>NWG Assets Ltd</t>
  </si>
  <si>
    <t>fred.welter@nwgeo.com</t>
  </si>
  <si>
    <t xml:space="preserve">5438 11 Street NE : </t>
  </si>
  <si>
    <t>O.N.Site Construction Inc</t>
  </si>
  <si>
    <t>Bayram Berkeliyev</t>
  </si>
  <si>
    <t>587-969-5701</t>
  </si>
  <si>
    <t>Oakmont Consulting Group</t>
  </si>
  <si>
    <t>(403) 870-6333</t>
  </si>
  <si>
    <t xml:space="preserve">2675 36 St. NE : </t>
  </si>
  <si>
    <t>Darren</t>
  </si>
  <si>
    <t xml:space="preserve">836 1 Ave NW : </t>
  </si>
  <si>
    <t>403-870-6333</t>
  </si>
  <si>
    <t>2535 3 Ave SE Calgary, AB</t>
  </si>
  <si>
    <t>Okotoks Square Inc.</t>
  </si>
  <si>
    <t>Rusty</t>
  </si>
  <si>
    <t>403-888-5843</t>
  </si>
  <si>
    <t xml:space="preserve">28 Southridge Dr : </t>
  </si>
  <si>
    <t>Okotoks Village Inc.</t>
  </si>
  <si>
    <t>Rusty Bastain</t>
  </si>
  <si>
    <t xml:space="preserve">31 Southridge Drive : </t>
  </si>
  <si>
    <t>403-705-3581</t>
  </si>
  <si>
    <t>oldrichb@yahoo.com</t>
  </si>
  <si>
    <t xml:space="preserve">3 Canyon Drive NW : </t>
  </si>
  <si>
    <t xml:space="preserve">63 Cromwell Ave NW : </t>
  </si>
  <si>
    <t>Olena Olafson</t>
  </si>
  <si>
    <t>403-483-1298</t>
  </si>
  <si>
    <t>otolafson@gmail.com</t>
  </si>
  <si>
    <t>Omega Properties</t>
  </si>
  <si>
    <t>Joel Waldner</t>
  </si>
  <si>
    <t>403-768-2755</t>
  </si>
  <si>
    <t xml:space="preserve">2820 Center St N : </t>
  </si>
  <si>
    <t>On The Mark Renovations</t>
  </si>
  <si>
    <t>587-839-7189</t>
  </si>
  <si>
    <t>mark@onthemarkrenos.com</t>
  </si>
  <si>
    <t>Mark Anderson</t>
  </si>
  <si>
    <t xml:space="preserve">4015 26 Ave SW : </t>
  </si>
  <si>
    <t>One Properties Skyline Limited Partnership by its General Partners One Properties Skyline GP</t>
  </si>
  <si>
    <t>4032343119</t>
  </si>
  <si>
    <t>hlee@oneproperties.com</t>
  </si>
  <si>
    <t>OPB (Centre 10) Inc. c/o Epic Investment Services (Alberta) Inc.</t>
  </si>
  <si>
    <t>Gerry M. Edwards</t>
  </si>
  <si>
    <t xml:space="preserve">517 10 Ave SW : </t>
  </si>
  <si>
    <t>OPS Microcheck</t>
  </si>
  <si>
    <t>Rebecca</t>
  </si>
  <si>
    <t>403-291-1658</t>
  </si>
  <si>
    <t>rebecca@ospmicrocheck.com</t>
  </si>
  <si>
    <t>820 28 Street NE : Bay 6</t>
  </si>
  <si>
    <t>OPUS Corp</t>
  </si>
  <si>
    <t>Cory Sorsdahl</t>
  </si>
  <si>
    <t>403-888-2917</t>
  </si>
  <si>
    <t>ph@opuscorp.ca</t>
  </si>
  <si>
    <t xml:space="preserve">8489 40 St SE : </t>
  </si>
  <si>
    <t xml:space="preserve">1867-120 Ave NE : </t>
  </si>
  <si>
    <t>OWO Management</t>
  </si>
  <si>
    <t>1-587-227-7713</t>
  </si>
  <si>
    <t>gordon@owomanagement.ca</t>
  </si>
  <si>
    <t>Palladium Properties</t>
  </si>
  <si>
    <t>palladiumpropab@shaw.ca</t>
  </si>
  <si>
    <t>Pan Am Management Services Inc</t>
  </si>
  <si>
    <t>Kara Erickson-Tucker</t>
  </si>
  <si>
    <t>306-381-3842</t>
  </si>
  <si>
    <t>office@pan-am-management.ca</t>
  </si>
  <si>
    <t>61 Ave SW</t>
  </si>
  <si>
    <t xml:space="preserve">Kara Erickson-Tucker </t>
  </si>
  <si>
    <t>330 6100 Mcleod Tr SW</t>
  </si>
  <si>
    <t>Paradise Halal Meat</t>
  </si>
  <si>
    <t>Roger</t>
  </si>
  <si>
    <t>403-870-6493</t>
  </si>
  <si>
    <t>raja_qadeer@yahoo.com</t>
  </si>
  <si>
    <t xml:space="preserve">156 Castleridge Blvd NE : </t>
  </si>
  <si>
    <t>Paragon Mechanical Ltd.</t>
  </si>
  <si>
    <t>Brent</t>
  </si>
  <si>
    <t>403-651-5229</t>
  </si>
  <si>
    <t>dlabelle@paragon.ca</t>
  </si>
  <si>
    <t xml:space="preserve">8561 8A AVE SW : </t>
  </si>
  <si>
    <t>Paramount Real Estate Corporation</t>
  </si>
  <si>
    <t>403-650-3571</t>
  </si>
  <si>
    <t>mike@paramountcorp.ca</t>
  </si>
  <si>
    <t>#205 : 422-11 Ave SE</t>
  </si>
  <si>
    <t>Parkland Community Association</t>
  </si>
  <si>
    <t>Laurie Bradley</t>
  </si>
  <si>
    <t>403-278-5330</t>
  </si>
  <si>
    <t xml:space="preserve">505 Parkvalley Rd SE : </t>
  </si>
  <si>
    <t>Peddie Roofing &amp; Waterproofing Ltd.</t>
  </si>
  <si>
    <t>403-273-7000</t>
  </si>
  <si>
    <t>info@peddieroofing.ca</t>
  </si>
  <si>
    <t>PenAlta Group</t>
  </si>
  <si>
    <t>paul@penaltagroup.com</t>
  </si>
  <si>
    <t xml:space="preserve">35 Sage Hill Crossing : </t>
  </si>
  <si>
    <t>Persimmon Contracting</t>
  </si>
  <si>
    <t>Michael Hogg</t>
  </si>
  <si>
    <t>403-605-2951</t>
  </si>
  <si>
    <t xml:space="preserve">5715 Signal Hill Centre SW : </t>
  </si>
  <si>
    <t>Petersen Contracting Inc.</t>
  </si>
  <si>
    <t>Cooper</t>
  </si>
  <si>
    <t>(403) 829-7375</t>
  </si>
  <si>
    <t>cooper@petersencontracting.com</t>
  </si>
  <si>
    <t xml:space="preserve">261051 Wagon Wheel Vw : </t>
  </si>
  <si>
    <t>Cooper Petersen</t>
  </si>
  <si>
    <t xml:space="preserve">1282 Reunion Road : </t>
  </si>
  <si>
    <t xml:space="preserve">2340 Pegasus Way NE : </t>
  </si>
  <si>
    <t xml:space="preserve">1314 40th Ave NE : </t>
  </si>
  <si>
    <t xml:space="preserve">1155 44th Ave SE : </t>
  </si>
  <si>
    <t xml:space="preserve">262029 Balzac Blvd, Balzac, AB T4B 2T3 : </t>
  </si>
  <si>
    <t xml:space="preserve">7722 112 Ave NW : </t>
  </si>
  <si>
    <t xml:space="preserve">943 28 St NE : </t>
  </si>
  <si>
    <t xml:space="preserve">143 Eastlake Blvd : </t>
  </si>
  <si>
    <t>Tyler Dauncey</t>
  </si>
  <si>
    <t>647-525-0040</t>
  </si>
  <si>
    <t xml:space="preserve">127 Kingsview Rd SE : </t>
  </si>
  <si>
    <t>Tyler Petersen</t>
  </si>
  <si>
    <t>587-449-0524</t>
  </si>
  <si>
    <t xml:space="preserve">#7 -421 East Lake Rd NE : </t>
  </si>
  <si>
    <t xml:space="preserve">2903 Kingsview Blvd : </t>
  </si>
  <si>
    <t xml:space="preserve">10 Stonehill Place NE : </t>
  </si>
  <si>
    <t xml:space="preserve">117 Main Street Chestermere : </t>
  </si>
  <si>
    <t>Phoenix Mechanical</t>
  </si>
  <si>
    <t>Ron Thomsen</t>
  </si>
  <si>
    <t>(403) 312-9106</t>
  </si>
  <si>
    <t xml:space="preserve">9 Crowfoot Cir NW : </t>
  </si>
  <si>
    <t xml:space="preserve">1521 34 Ave SE : </t>
  </si>
  <si>
    <t xml:space="preserve">44 Riverside Gate : </t>
  </si>
  <si>
    <t>Pinchin Ltd</t>
  </si>
  <si>
    <t>(403) 250-5722</t>
  </si>
  <si>
    <t>kgandhi@Pinchin.com</t>
  </si>
  <si>
    <t>405-18th St SE</t>
  </si>
  <si>
    <t>Pioneer Air Ltd</t>
  </si>
  <si>
    <t xml:space="preserve">Clair McCarville </t>
  </si>
  <si>
    <t>clairm@pioneerair.ca</t>
  </si>
  <si>
    <t xml:space="preserve">1103 - 1107 55 Ave NE </t>
  </si>
  <si>
    <t>Pizza 73</t>
  </si>
  <si>
    <t>Philip</t>
  </si>
  <si>
    <t xml:space="preserve">4820 52nd street se : </t>
  </si>
  <si>
    <t>Platinum Property Management Group</t>
  </si>
  <si>
    <t>Andrew Hanney</t>
  </si>
  <si>
    <t>403-827-9023</t>
  </si>
  <si>
    <t xml:space="preserve">100-3595 114 Ave SE : </t>
  </si>
  <si>
    <t>Platinum Roofing.ca Ltd</t>
  </si>
  <si>
    <t>Mark Moffatt</t>
  </si>
  <si>
    <t>403-370-4756</t>
  </si>
  <si>
    <t xml:space="preserve">B-7 3911 Brandon Street SE : </t>
  </si>
  <si>
    <t>Point Source Inc.</t>
  </si>
  <si>
    <t>Richard Mcdonald</t>
  </si>
  <si>
    <t>(403) 830-5582</t>
  </si>
  <si>
    <t>rich.mcdofamily@shaw.ca&gt;</t>
  </si>
  <si>
    <t xml:space="preserve">1115 46 Ave SE : </t>
  </si>
  <si>
    <t>Prairie West Landscapes Inc</t>
  </si>
  <si>
    <t>Pepi Supino</t>
  </si>
  <si>
    <t>403-862-3969</t>
  </si>
  <si>
    <t xml:space="preserve">3541-78 Ave SE : </t>
  </si>
  <si>
    <t>Primaris Management Inc-Marlborough Mall Holdings Inc</t>
  </si>
  <si>
    <t>marinvoices@primarisreit.com</t>
  </si>
  <si>
    <t>403) 813-5147</t>
  </si>
  <si>
    <t>Marlbourogh Mall : 433 Marlborough Way NE</t>
  </si>
  <si>
    <t>Prime Solutions</t>
  </si>
  <si>
    <t>Waqas Virk</t>
  </si>
  <si>
    <t>403-606-7805</t>
  </si>
  <si>
    <t>prime.solutions.ltd@outlook.com</t>
  </si>
  <si>
    <t xml:space="preserve">8561 8A  Ave SW : </t>
  </si>
  <si>
    <t>Princeton Hall &amp; Parkade</t>
  </si>
  <si>
    <t>jeremy.geddes9@gmail.com</t>
  </si>
  <si>
    <t xml:space="preserve">1105-690 Princeton Way SW : </t>
  </si>
  <si>
    <t>Pro-Can Construction Management</t>
  </si>
  <si>
    <t>John</t>
  </si>
  <si>
    <t>(403) 540-9760</t>
  </si>
  <si>
    <t xml:space="preserve">3435 5 Ave NW : </t>
  </si>
  <si>
    <t>Progressive Leasing &amp; Auto Sales Ltd</t>
  </si>
  <si>
    <t xml:space="preserve">Ash Rogers </t>
  </si>
  <si>
    <t>403 718 0333</t>
  </si>
  <si>
    <t>ash@leaseprogressive.com</t>
  </si>
  <si>
    <t>Propell</t>
  </si>
  <si>
    <t>403-724-9230</t>
  </si>
  <si>
    <t>kbews@propell.com</t>
  </si>
  <si>
    <t xml:space="preserve">6915 108 Ave SE : </t>
  </si>
  <si>
    <t>Ramada Plaza &amp; Conference Centre</t>
  </si>
  <si>
    <t>Mate Devcic</t>
  </si>
  <si>
    <t>403-383-6102</t>
  </si>
  <si>
    <t>mate.devcic@kudosholding.com</t>
  </si>
  <si>
    <t xml:space="preserve">3515 26 St NE : </t>
  </si>
  <si>
    <t>Rayner Construction Services</t>
  </si>
  <si>
    <t>(587) 585-0339</t>
  </si>
  <si>
    <t xml:space="preserve">1140 Mayland Drive NE : </t>
  </si>
  <si>
    <t>RCACI</t>
  </si>
  <si>
    <t>George Vassallo</t>
  </si>
  <si>
    <t>(905) 673-0615</t>
  </si>
  <si>
    <t>SPerue@rcaci.ca</t>
  </si>
  <si>
    <t xml:space="preserve">6675 Rexwood Road : </t>
  </si>
  <si>
    <t xml:space="preserve">11940 Sarcee Trail NW : </t>
  </si>
  <si>
    <t>(403) 301-2049</t>
  </si>
  <si>
    <t xml:space="preserve">306 Glenmore Trail SW : </t>
  </si>
  <si>
    <t xml:space="preserve">3455 Douglasdale Boulevard SE : </t>
  </si>
  <si>
    <t xml:space="preserve">11488 24th Street SE : </t>
  </si>
  <si>
    <t xml:space="preserve">779 Sutherland Drive : </t>
  </si>
  <si>
    <t xml:space="preserve">1851 Strachan Road SE : </t>
  </si>
  <si>
    <t xml:space="preserve">13615 Bonaventure Dr Se : </t>
  </si>
  <si>
    <t xml:space="preserve">4701 1 Street W : </t>
  </si>
  <si>
    <t xml:space="preserve">4602 50 Ave : </t>
  </si>
  <si>
    <t xml:space="preserve">283188 Range Rd 293 : </t>
  </si>
  <si>
    <t xml:space="preserve">37543 Hwy 2 : </t>
  </si>
  <si>
    <t xml:space="preserve">100 151 Walden Gate Se : </t>
  </si>
  <si>
    <t xml:space="preserve">203 2 Street W : </t>
  </si>
  <si>
    <t xml:space="preserve">45 Everridge Dr S W : </t>
  </si>
  <si>
    <t xml:space="preserve">3508 37Th St S W : </t>
  </si>
  <si>
    <t xml:space="preserve">6020 67 St : </t>
  </si>
  <si>
    <t xml:space="preserve">3304 64th Street NE : </t>
  </si>
  <si>
    <t xml:space="preserve">9940 Macleod Trail SE : </t>
  </si>
  <si>
    <t>388 Country Hills Blvd. NE : Unit 200</t>
  </si>
  <si>
    <t xml:space="preserve">5200 Richmond Road SW : </t>
  </si>
  <si>
    <t xml:space="preserve">6900 - 46th Street : </t>
  </si>
  <si>
    <t xml:space="preserve">250 Shawville Way SE : </t>
  </si>
  <si>
    <t xml:space="preserve">3030 32nd Avenue NE : </t>
  </si>
  <si>
    <t xml:space="preserve">3814 Bow Trail SW : </t>
  </si>
  <si>
    <t xml:space="preserve">6815 Macleod Trail S : </t>
  </si>
  <si>
    <t>(587) 775-9147</t>
  </si>
  <si>
    <t xml:space="preserve">800 Yankee Valley Blvd. SW : </t>
  </si>
  <si>
    <t xml:space="preserve">2619 14th ST SW : </t>
  </si>
  <si>
    <t xml:space="preserve">7102 Elbow Drive SW : </t>
  </si>
  <si>
    <t xml:space="preserve">40 Midlake Blvd SE : </t>
  </si>
  <si>
    <t xml:space="preserve">11 River Heights Drive : </t>
  </si>
  <si>
    <t>Michael Antonio</t>
  </si>
  <si>
    <t>(403) 406-0912</t>
  </si>
  <si>
    <t xml:space="preserve">99 Shawville Blvd S E : </t>
  </si>
  <si>
    <t xml:space="preserve">1702 23rd Street N : </t>
  </si>
  <si>
    <t>7908 Bowness Rd Nw : 7-Eleven CN - Calgary/AB - 37791</t>
  </si>
  <si>
    <t xml:space="preserve">503 Hwy 1 : </t>
  </si>
  <si>
    <t xml:space="preserve">7-Eleven CN - Jasper/AB - 37830 : </t>
  </si>
  <si>
    <t xml:space="preserve">: 430 Country Hills Blvd Ne : </t>
  </si>
  <si>
    <t xml:space="preserve">208 Railway Avenue E : </t>
  </si>
  <si>
    <t xml:space="preserve">35 Edenwold Dr Nw : </t>
  </si>
  <si>
    <t xml:space="preserve">15150 Mt. Mckenzie Dr : </t>
  </si>
  <si>
    <t xml:space="preserve">220 68 St Ne : </t>
  </si>
  <si>
    <t xml:space="preserve">4700 16 Ave NW : </t>
  </si>
  <si>
    <t xml:space="preserve">6704 50 Ave : </t>
  </si>
  <si>
    <t xml:space="preserve">3803 40th Avenue : </t>
  </si>
  <si>
    <t>Shawn</t>
  </si>
  <si>
    <t>403-346-1497</t>
  </si>
  <si>
    <t xml:space="preserve">300, 6380 - 50th Avenue : </t>
  </si>
  <si>
    <t xml:space="preserve">5440 - 46th Street : </t>
  </si>
  <si>
    <t xml:space="preserve">1240 - 2nd Avenue A North : </t>
  </si>
  <si>
    <t xml:space="preserve">759 Lake Bonavista Dr : </t>
  </si>
  <si>
    <t xml:space="preserve">1850 Strachan Road SE : </t>
  </si>
  <si>
    <t xml:space="preserve">4602 46th Street Olds : </t>
  </si>
  <si>
    <t xml:space="preserve">256 16 Ave N E : </t>
  </si>
  <si>
    <t xml:space="preserve">1201 1 St SE : </t>
  </si>
  <si>
    <t xml:space="preserve">6510 Country Hills Blvd NW : </t>
  </si>
  <si>
    <t xml:space="preserve">37416 Hwy 2 : </t>
  </si>
  <si>
    <t xml:space="preserve">2000 McPhee Rd : </t>
  </si>
  <si>
    <t xml:space="preserve">904 64 Ave NW : </t>
  </si>
  <si>
    <t xml:space="preserve">44 Sandarac Dr Nw : </t>
  </si>
  <si>
    <t xml:space="preserve">200-235 Milligan Drive : </t>
  </si>
  <si>
    <t xml:space="preserve">1291 Hwy. 3 : </t>
  </si>
  <si>
    <t xml:space="preserve">2335 162 Avenue SW : </t>
  </si>
  <si>
    <t xml:space="preserve">3963 52 Street SE : </t>
  </si>
  <si>
    <t xml:space="preserve">8080 Silver Springs Blvd Nw : </t>
  </si>
  <si>
    <t xml:space="preserve">166 Crowfoot Highway NW : </t>
  </si>
  <si>
    <t>: (587) 472-26</t>
  </si>
  <si>
    <t xml:space="preserve">3550 52 St Ne : </t>
  </si>
  <si>
    <t xml:space="preserve">5008 46 Avenue : </t>
  </si>
  <si>
    <t xml:space="preserve">2045 Symons Valley Pkwy. : </t>
  </si>
  <si>
    <t xml:space="preserve">9835 Mcleod Trail S W : </t>
  </si>
  <si>
    <t xml:space="preserve">: 150 Citadel Way NW : </t>
  </si>
  <si>
    <t>Read Jones Christoffersen Ltd.</t>
  </si>
  <si>
    <t>Jelena Bojanic</t>
  </si>
  <si>
    <t>403-690-0667</t>
  </si>
  <si>
    <t xml:space="preserve">1410 1st St. SE : </t>
  </si>
  <si>
    <t>Emina Burzic</t>
  </si>
  <si>
    <t>403-479-2467</t>
  </si>
  <si>
    <t xml:space="preserve">330 5th Ave SW : </t>
  </si>
  <si>
    <t>Eloise Roberts</t>
  </si>
  <si>
    <t>587-585-9297</t>
  </si>
  <si>
    <t xml:space="preserve">405 Spray Ave : </t>
  </si>
  <si>
    <t>Stephen Epp</t>
  </si>
  <si>
    <t>403-200-1156</t>
  </si>
  <si>
    <t xml:space="preserve">21 Ariel Place NE : </t>
  </si>
  <si>
    <t xml:space="preserve">4152 27th St NE : </t>
  </si>
  <si>
    <t>sepp@rjc.ca</t>
  </si>
  <si>
    <t xml:space="preserve">1720 Bow Trail, Calgary </t>
  </si>
  <si>
    <t xml:space="preserve">Josh Broberg </t>
  </si>
  <si>
    <t>jbroberg@rjc.ca</t>
  </si>
  <si>
    <t>304 8th Avenue SW, Calgary</t>
  </si>
  <si>
    <t>Realstream Income Properties LP (Towerlane)</t>
  </si>
  <si>
    <t>(403) 921-2070</t>
  </si>
  <si>
    <t xml:space="preserve">705 Main Street South : </t>
  </si>
  <si>
    <t>Rebecca Spinner</t>
  </si>
  <si>
    <t>rebeccahairdo@gmail.com</t>
  </si>
  <si>
    <t>Red Lobster</t>
  </si>
  <si>
    <t>Atul or James</t>
  </si>
  <si>
    <t>403-248-8111</t>
  </si>
  <si>
    <t xml:space="preserve">312 36 St : </t>
  </si>
  <si>
    <t>Red Lobster Northgate</t>
  </si>
  <si>
    <t>Atul Kulkarni</t>
  </si>
  <si>
    <t>(587) 434-9803</t>
  </si>
  <si>
    <t>dlrestaurant8177@redlobster.co</t>
  </si>
  <si>
    <t xml:space="preserve">312 35 St NE : </t>
  </si>
  <si>
    <t>Reggin Technical Services</t>
  </si>
  <si>
    <t>(403) 371-5832</t>
  </si>
  <si>
    <t>Mark Golec</t>
  </si>
  <si>
    <t>403-287-2540</t>
  </si>
  <si>
    <t xml:space="preserve">1027 Martindale Blvd NE : </t>
  </si>
  <si>
    <t>Rennel Barrie</t>
  </si>
  <si>
    <t>(587) 999-9540</t>
  </si>
  <si>
    <t xml:space="preserve">3 Copperleaf Park SE : </t>
  </si>
  <si>
    <t>Riverview Mechanical</t>
  </si>
  <si>
    <t>Rod Haas</t>
  </si>
  <si>
    <t>403-651-7248</t>
  </si>
  <si>
    <t>RJ Auto &amp; Diesel</t>
  </si>
  <si>
    <t>Robert Houck</t>
  </si>
  <si>
    <t>403-809-1679</t>
  </si>
  <si>
    <t>rjautoanddiesel@gmail.com</t>
  </si>
  <si>
    <t xml:space="preserve">1120 53 Ave NE : </t>
  </si>
  <si>
    <t>Rob Parsih</t>
  </si>
  <si>
    <t>Rob Parish</t>
  </si>
  <si>
    <t>587-899-2309</t>
  </si>
  <si>
    <t xml:space="preserve">203 Aspen Ridge Pl SW : </t>
  </si>
  <si>
    <t>Robert Beran</t>
  </si>
  <si>
    <t>rberan2003@yahoo.com</t>
  </si>
  <si>
    <t xml:space="preserve">117 Discovery Ridge Way SW : </t>
  </si>
  <si>
    <t>Robert Borwnless</t>
  </si>
  <si>
    <t>(403) 620-9173</t>
  </si>
  <si>
    <t xml:space="preserve">2824 Lionel Cres SW : </t>
  </si>
  <si>
    <t>Robert Ross</t>
  </si>
  <si>
    <t>Bob Ross</t>
  </si>
  <si>
    <t>(403) 680-4347</t>
  </si>
  <si>
    <t xml:space="preserve">2510 Longwood Crt SW : </t>
  </si>
  <si>
    <t>Rocky Mountain Solar Corp</t>
  </si>
  <si>
    <t>INVOICE AT  75.00/hour</t>
  </si>
  <si>
    <t xml:space="preserve">5105 8 Ave SE, : </t>
  </si>
  <si>
    <t>Matthew Toye</t>
  </si>
  <si>
    <t>587-340-5325</t>
  </si>
  <si>
    <t xml:space="preserve">302 Reunion Heath NW : </t>
  </si>
  <si>
    <t>Jamie 306-690-1420</t>
  </si>
  <si>
    <t xml:space="preserve">732-26 th Ave NW : </t>
  </si>
  <si>
    <t xml:space="preserve">20 Cimarron Springs Way : </t>
  </si>
  <si>
    <t xml:space="preserve">2000-3700 Seton Ave SE : </t>
  </si>
  <si>
    <t>Jared</t>
  </si>
  <si>
    <t xml:space="preserve">149 East Lake Cres NE : </t>
  </si>
  <si>
    <t>Ryan Cornforth</t>
  </si>
  <si>
    <t>(403) 999-3622</t>
  </si>
  <si>
    <t xml:space="preserve">4073 Ogden Road SE : </t>
  </si>
  <si>
    <t>Doug MacDonald</t>
  </si>
  <si>
    <t>(403) 478-2099</t>
  </si>
  <si>
    <t xml:space="preserve">13 Auburn Springs Pl. SE : </t>
  </si>
  <si>
    <t>Joanie is the crew lead</t>
  </si>
  <si>
    <t>825-935-3295</t>
  </si>
  <si>
    <t xml:space="preserve">120 Oakcliffe Pl SW : </t>
  </si>
  <si>
    <t xml:space="preserve">3645 48  Ave SE : </t>
  </si>
  <si>
    <t>ryan@rockymountainsolarco.ca</t>
  </si>
  <si>
    <t xml:space="preserve">3817 University Ave NW </t>
  </si>
  <si>
    <t>Rocky View School Division No. 41</t>
  </si>
  <si>
    <t>4033696316</t>
  </si>
  <si>
    <t>acctspay@rockyview.ab.ca</t>
  </si>
  <si>
    <t>403-369-6316</t>
  </si>
  <si>
    <t xml:space="preserve">133 Main St : </t>
  </si>
  <si>
    <t xml:space="preserve">2651 Chinook Winds Dr SW : </t>
  </si>
  <si>
    <t>Roger Bonenfant ( service report and invoice )</t>
  </si>
  <si>
    <t xml:space="preserve">2651 Chinook Winds Drive SW : </t>
  </si>
  <si>
    <t>Jeff</t>
  </si>
  <si>
    <t>403-815-2362</t>
  </si>
  <si>
    <t xml:space="preserve">244209, Range Rd 33 : </t>
  </si>
  <si>
    <t>josh</t>
  </si>
  <si>
    <t>(403) 519-0775</t>
  </si>
  <si>
    <t xml:space="preserve">1721 Summerdfield Blvd SE : </t>
  </si>
  <si>
    <t xml:space="preserve">32226 Springbank Rd : </t>
  </si>
  <si>
    <t xml:space="preserve">55 Glenpatrick Road : </t>
  </si>
  <si>
    <t xml:space="preserve">1505 1 Ave W : </t>
  </si>
  <si>
    <t xml:space="preserve">1860 Reunion Blvd NW : </t>
  </si>
  <si>
    <t>(403) 369-6329</t>
  </si>
  <si>
    <t xml:space="preserve">285 W Creek Dr : </t>
  </si>
  <si>
    <t>(403) 369-6316</t>
  </si>
  <si>
    <t xml:space="preserve">2000 River Heights Dr : </t>
  </si>
  <si>
    <t xml:space="preserve">Box 100 : </t>
  </si>
  <si>
    <t>Roger- RVSD</t>
  </si>
  <si>
    <t xml:space="preserve">332 !st Ave Ne : </t>
  </si>
  <si>
    <t xml:space="preserve">244209 Range Rd 33 : </t>
  </si>
  <si>
    <t xml:space="preserve">201 Invermere Drive : </t>
  </si>
  <si>
    <t xml:space="preserve">241078 Range Rd 280 : </t>
  </si>
  <si>
    <t xml:space="preserve">110 Quicley Dr : </t>
  </si>
  <si>
    <t xml:space="preserve">415 2 Ave. : </t>
  </si>
  <si>
    <t xml:space="preserve">275 Hillcrest Dr SW : </t>
  </si>
  <si>
    <t xml:space="preserve">110 Quigley Dr : </t>
  </si>
  <si>
    <t>Roger Bonfeit</t>
  </si>
  <si>
    <t xml:space="preserve">605 4th Ave N : </t>
  </si>
  <si>
    <t>Roger Bonefant</t>
  </si>
  <si>
    <t xml:space="preserve">241 Jensen Dr NE : </t>
  </si>
  <si>
    <t xml:space="preserve">412 3 Ave NE : </t>
  </si>
  <si>
    <t xml:space="preserve">1796 Meadow Brook Dr SE : </t>
  </si>
  <si>
    <t>Roger Bonefient</t>
  </si>
  <si>
    <t xml:space="preserve">262066 Range Rd 273 : </t>
  </si>
  <si>
    <t xml:space="preserve">305 Acacia Dr SE : </t>
  </si>
  <si>
    <t xml:space="preserve">244241 Range Rd 33 : </t>
  </si>
  <si>
    <t xml:space="preserve">1690 Baywater Park SW : </t>
  </si>
  <si>
    <t xml:space="preserve">128 W Lakeview Dr, : </t>
  </si>
  <si>
    <t xml:space="preserve">17 Brander Ave : </t>
  </si>
  <si>
    <t xml:space="preserve">7 Indus Ct : </t>
  </si>
  <si>
    <t xml:space="preserve">17 Brander Ave,  AB : </t>
  </si>
  <si>
    <t>Ron Adam</t>
  </si>
  <si>
    <t>403-512-7566</t>
  </si>
  <si>
    <t xml:space="preserve">1944 10 Ave SW : </t>
  </si>
  <si>
    <t>Ron Kurczaba</t>
  </si>
  <si>
    <t xml:space="preserve">5500 Buckboard Rd NW : </t>
  </si>
  <si>
    <t>Ronmor Block Ltd.</t>
  </si>
  <si>
    <t>Martin Martinez</t>
  </si>
  <si>
    <t>403-692 4630</t>
  </si>
  <si>
    <t xml:space="preserve">516 22nd Avenue SW : </t>
  </si>
  <si>
    <t>Ronmor Holdings Inc.</t>
  </si>
  <si>
    <t>(403) 253-8180</t>
  </si>
  <si>
    <t>info@ronmor.ca</t>
  </si>
  <si>
    <t>Roof Check</t>
  </si>
  <si>
    <t>David Street at 905-449-2773</t>
  </si>
  <si>
    <t>mpearson@roofchek.net</t>
  </si>
  <si>
    <t xml:space="preserve">1751 Wentworth, Unit # 17 : </t>
  </si>
  <si>
    <t>403-212-0888</t>
  </si>
  <si>
    <t xml:space="preserve">312 61 Avenue SW #7 : </t>
  </si>
  <si>
    <t>Royal Canadian Legion #284</t>
  </si>
  <si>
    <t>Lou</t>
  </si>
  <si>
    <t>403-276-1775</t>
  </si>
  <si>
    <t>Royal Canadian Legion : 606 38 Ave NE</t>
  </si>
  <si>
    <t xml:space="preserve">Russpet Construction Ltd </t>
  </si>
  <si>
    <t xml:space="preserve">Lynn Taylor </t>
  </si>
  <si>
    <t>587-891-9370</t>
  </si>
  <si>
    <t xml:space="preserve">lynn@russpet.com </t>
  </si>
  <si>
    <t>Rydon Construction Inc.</t>
  </si>
  <si>
    <t>ryan@rydonconstruction.ca</t>
  </si>
  <si>
    <t xml:space="preserve">320 Varsity Estates Grove NW : </t>
  </si>
  <si>
    <t>ryan Clark</t>
  </si>
  <si>
    <t xml:space="preserve">1710 11 Avenue SW : </t>
  </si>
  <si>
    <t xml:space="preserve">1919 76 Ave SE : </t>
  </si>
  <si>
    <t xml:space="preserve">1819 66 Ave SE : </t>
  </si>
  <si>
    <t xml:space="preserve">420 6940 Fisher Road SE : </t>
  </si>
  <si>
    <t>Salim, Jivraj</t>
  </si>
  <si>
    <t>Salim</t>
  </si>
  <si>
    <t>(403) 681-4011</t>
  </si>
  <si>
    <t>sbjivraj@hotmail.com</t>
  </si>
  <si>
    <t xml:space="preserve">1711 College Lane SW : </t>
  </si>
  <si>
    <t>Sameer Suleman</t>
  </si>
  <si>
    <t>Sameer</t>
  </si>
  <si>
    <t>403-975-6795</t>
  </si>
  <si>
    <t xml:space="preserve">4908 22St SW : </t>
  </si>
  <si>
    <t>SBL Contractors Ltd.</t>
  </si>
  <si>
    <t>accounting@sblcontractors.com</t>
  </si>
  <si>
    <t xml:space="preserve">3223 10 Street SE : </t>
  </si>
  <si>
    <t>Mathieu Manchet</t>
  </si>
  <si>
    <t>587 578 7833</t>
  </si>
  <si>
    <t xml:space="preserve">5020 12A Street SE, : </t>
  </si>
  <si>
    <t xml:space="preserve">6555 30 St Se : </t>
  </si>
  <si>
    <t xml:space="preserve">5000 11 St SE, : </t>
  </si>
  <si>
    <t xml:space="preserve">5441 52 ave SE : </t>
  </si>
  <si>
    <t>Scotia Centre Limited</t>
  </si>
  <si>
    <t>jennie.nedd@cominar.com</t>
  </si>
  <si>
    <t xml:space="preserve">700 2nd Street SW : </t>
  </si>
  <si>
    <t>Jennie Nedd</t>
  </si>
  <si>
    <t>(403) 296-2916</t>
  </si>
  <si>
    <t>c/o Cominar REIT : Suite 400,700 2nd Street S.W.</t>
  </si>
  <si>
    <t>Scott Hill Investments Inc</t>
  </si>
  <si>
    <t xml:space="preserve">5710 51 St SE : </t>
  </si>
  <si>
    <t>Scottsville Hanger</t>
  </si>
  <si>
    <t>4033146811</t>
  </si>
  <si>
    <t>gs@scotttsville.com</t>
  </si>
  <si>
    <t>Scouts Canada</t>
  </si>
  <si>
    <t>Parkash Regmi</t>
  </si>
  <si>
    <t>403-283-4993</t>
  </si>
  <si>
    <t xml:space="preserve">2140 Brownsea Dr. NW : </t>
  </si>
  <si>
    <t>Sensa Lighting</t>
  </si>
  <si>
    <t>Don Queen</t>
  </si>
  <si>
    <t>403-274-3345</t>
  </si>
  <si>
    <t xml:space="preserve">1007F 55 Ave NE : </t>
  </si>
  <si>
    <t>Sense Electric Ltd</t>
  </si>
  <si>
    <t>403-819-4671</t>
  </si>
  <si>
    <t>sense.electricltd@gmail.com</t>
  </si>
  <si>
    <t>Sentinel Roofing Ltd</t>
  </si>
  <si>
    <t>05/03/2022</t>
  </si>
  <si>
    <t>5,217.98</t>
  </si>
  <si>
    <t xml:space="preserve">6747 34 Ave NE : </t>
  </si>
  <si>
    <t>Sheena Williams</t>
  </si>
  <si>
    <t>403870-2371</t>
  </si>
  <si>
    <t xml:space="preserve">7627 Ogden Road SE : </t>
  </si>
  <si>
    <t>Shippers Supply ULC</t>
  </si>
  <si>
    <t>Mike Martin</t>
  </si>
  <si>
    <t>403-204-3699</t>
  </si>
  <si>
    <t>Mike.Martin@shipperssupply.com</t>
  </si>
  <si>
    <t xml:space="preserve">4848 52 Street SE : </t>
  </si>
  <si>
    <t>Shirley Fryer</t>
  </si>
  <si>
    <t>shirleyfryer@hotmail.com</t>
  </si>
  <si>
    <t>Showpass</t>
  </si>
  <si>
    <t>403-561-2413</t>
  </si>
  <si>
    <t xml:space="preserve">2030-2600 Portland St. SE : </t>
  </si>
  <si>
    <t>Signal Driving School</t>
  </si>
  <si>
    <t>Shiraz Merchant</t>
  </si>
  <si>
    <t>403-680-5555</t>
  </si>
  <si>
    <t xml:space="preserve">124 East Chestermere Drive : </t>
  </si>
  <si>
    <t>Silver Birch Hotels &amp; Resorts</t>
  </si>
  <si>
    <t>Moe</t>
  </si>
  <si>
    <t>403-888-7433</t>
  </si>
  <si>
    <t xml:space="preserve">2001 Airport Rd NE : </t>
  </si>
  <si>
    <t>Silverado Shopping Centre Ltd</t>
  </si>
  <si>
    <t xml:space="preserve">19369 Sheriff King St SW : </t>
  </si>
  <si>
    <t>403-692-4640</t>
  </si>
  <si>
    <t>C/O Ronmor Holdings Inc. : Suite 250 5920 1A St SW</t>
  </si>
  <si>
    <t>Slyvia Mills</t>
  </si>
  <si>
    <t>Sylvia Mills</t>
  </si>
  <si>
    <t>(587) 889-7592</t>
  </si>
  <si>
    <t xml:space="preserve">4160 Varsity Road NW : </t>
  </si>
  <si>
    <t>Smoca Home</t>
  </si>
  <si>
    <t>smocahomes@gmail.com</t>
  </si>
  <si>
    <t xml:space="preserve">3112 58 St NW : </t>
  </si>
  <si>
    <t>SNA Construction Ltd.</t>
  </si>
  <si>
    <t>Shiloh Forrest</t>
  </si>
  <si>
    <t>902-292-1210</t>
  </si>
  <si>
    <t>accounting@snaconstruction.com</t>
  </si>
  <si>
    <t>Sohaib Uthmani</t>
  </si>
  <si>
    <t>587-215-7278</t>
  </si>
  <si>
    <t xml:space="preserve">5606 8th Ave Se : </t>
  </si>
  <si>
    <t>Soka Gakkai International</t>
  </si>
  <si>
    <t>Ian</t>
  </si>
  <si>
    <t>403-861-2751</t>
  </si>
  <si>
    <t>ianm845@gmail.com</t>
  </si>
  <si>
    <t xml:space="preserve">1819 10 AVE SW : </t>
  </si>
  <si>
    <t>Solid Solutions Contracting and Renovations</t>
  </si>
  <si>
    <t>Brett Ritchie</t>
  </si>
  <si>
    <t>(403) 477-4960</t>
  </si>
  <si>
    <t>brett@ssrenos.ca</t>
  </si>
  <si>
    <t xml:space="preserve">48 Fishermans Landing : </t>
  </si>
  <si>
    <t xml:space="preserve">7443 23st SE : </t>
  </si>
  <si>
    <t xml:space="preserve">14308 Parkside DR SE : </t>
  </si>
  <si>
    <t xml:space="preserve">6216 Touchwood Dr NW : </t>
  </si>
  <si>
    <t>Soundtex Interiors Ltd.</t>
  </si>
  <si>
    <t>Tyler Goudie</t>
  </si>
  <si>
    <t>(403) 813-4192</t>
  </si>
  <si>
    <t>daryl@soundtex.ca</t>
  </si>
  <si>
    <t xml:space="preserve">5055 11 Street NE : </t>
  </si>
  <si>
    <t>Source Holdings</t>
  </si>
  <si>
    <t>Wally</t>
  </si>
  <si>
    <t>403-888-6371</t>
  </si>
  <si>
    <t xml:space="preserve">4370 116 Ave SE : </t>
  </si>
  <si>
    <t>Southampton-Trane</t>
  </si>
  <si>
    <t>Joe Lewis</t>
  </si>
  <si>
    <t>403-450-4910</t>
  </si>
  <si>
    <t>greg.anderson@tranecalgary.ca</t>
  </si>
  <si>
    <t xml:space="preserve">3699 63 Ave NE : </t>
  </si>
  <si>
    <t>Spartacus Holdings LTD.</t>
  </si>
  <si>
    <t>Michelle Cassidy</t>
  </si>
  <si>
    <t>403-909-9505</t>
  </si>
  <si>
    <t xml:space="preserve">555 Hawkwood Blvd NW : </t>
  </si>
  <si>
    <t>Maissy ( Tarjan Group)</t>
  </si>
  <si>
    <t>587-998-5728</t>
  </si>
  <si>
    <t xml:space="preserve">555 Hawkwood Blvd. NW : </t>
  </si>
  <si>
    <t>Bob Dixon</t>
  </si>
  <si>
    <t>403-265-3200</t>
  </si>
  <si>
    <t xml:space="preserve">20-217 Hawksbrow Dr NW : </t>
  </si>
  <si>
    <t>Specified Roofing Inc</t>
  </si>
  <si>
    <t>Diego Firmino</t>
  </si>
  <si>
    <t>(416) 989-5216</t>
  </si>
  <si>
    <t>dfirmino@specifiedroofing.com</t>
  </si>
  <si>
    <t xml:space="preserve">501 3rd street SE : </t>
  </si>
  <si>
    <t>105 3 Ave W, Drumheller, AB T0J 0Y6</t>
  </si>
  <si>
    <t>Spire Cathederal Energy</t>
  </si>
  <si>
    <t>(403) 999-7905</t>
  </si>
  <si>
    <t>SPIRE Cathedral Properties Inc.</t>
  </si>
  <si>
    <t>SPS West</t>
  </si>
  <si>
    <t>kfewster@spswest.com</t>
  </si>
  <si>
    <t>SR Blending Inc</t>
  </si>
  <si>
    <t>Tim Kielstra</t>
  </si>
  <si>
    <t>403-938-3528</t>
  </si>
  <si>
    <t xml:space="preserve">3815 16 th St SE : </t>
  </si>
  <si>
    <t>St Albert Holdings</t>
  </si>
  <si>
    <t xml:space="preserve">2472 &amp; 2480 37th Avenue SW : </t>
  </si>
  <si>
    <t>St. Bonaventure Parish</t>
  </si>
  <si>
    <t>Brenda/Teresa</t>
  </si>
  <si>
    <t>(403) 278-7556</t>
  </si>
  <si>
    <t xml:space="preserve">1600 Acadia Dr. S.E. : </t>
  </si>
  <si>
    <t>Stack Infrastructure</t>
  </si>
  <si>
    <t>408-702-5819</t>
  </si>
  <si>
    <t>hvoltaire@stackinfra.com</t>
  </si>
  <si>
    <t>Standard Mechanical Systems Limited</t>
  </si>
  <si>
    <t>jessicab@standardmechanical.co</t>
  </si>
  <si>
    <t>Starbank Developments 2000 Corp</t>
  </si>
  <si>
    <t>admin@starbank.ca</t>
  </si>
  <si>
    <t xml:space="preserve">606 4 Avenue South : </t>
  </si>
  <si>
    <t xml:space="preserve">101 Crowfoot Way NW : </t>
  </si>
  <si>
    <t>Starcraft Construction Ltd.</t>
  </si>
  <si>
    <t>Tyrell Allen</t>
  </si>
  <si>
    <t>(403) 888-2996</t>
  </si>
  <si>
    <t xml:space="preserve">4610 80th Ave SE : </t>
  </si>
  <si>
    <t>Ryan Puzey</t>
  </si>
  <si>
    <t>(403) 260-2600</t>
  </si>
  <si>
    <t xml:space="preserve">1904 14 Ave NW : </t>
  </si>
  <si>
    <t xml:space="preserve">11877 85 Street NW : </t>
  </si>
  <si>
    <t>Startec Service</t>
  </si>
  <si>
    <t>accountspayable@startec.ca.</t>
  </si>
  <si>
    <t xml:space="preserve">3131 210 Ave SE : </t>
  </si>
  <si>
    <t xml:space="preserve">228 12 Ave SE : </t>
  </si>
  <si>
    <t>Dimitri</t>
  </si>
  <si>
    <t>587-999-6474</t>
  </si>
  <si>
    <t xml:space="preserve">3422 Ogden Rd SE : </t>
  </si>
  <si>
    <t>Ryan Reed</t>
  </si>
  <si>
    <t>587-586-5278</t>
  </si>
  <si>
    <t xml:space="preserve">Township Road 221 : </t>
  </si>
  <si>
    <t xml:space="preserve">1939 Centre Ave NE : </t>
  </si>
  <si>
    <t>+1 403 988-647</t>
  </si>
  <si>
    <t>333 Shawville Blvd SE : #100</t>
  </si>
  <si>
    <t xml:space="preserve">10450 50th Street SE : </t>
  </si>
  <si>
    <t>Stella Nova Condo Corp 0414396</t>
  </si>
  <si>
    <t>invoices@equium.ca</t>
  </si>
  <si>
    <t xml:space="preserve">1110 - 11 Street SW : </t>
  </si>
  <si>
    <t>Stephen Lefebre</t>
  </si>
  <si>
    <t>403-850-4526</t>
  </si>
  <si>
    <t>stephen.canuck@gmail.com</t>
  </si>
  <si>
    <t>25211 Bearspaw Place</t>
  </si>
  <si>
    <t>Stephen Vardy</t>
  </si>
  <si>
    <t>(403) 279-2585</t>
  </si>
  <si>
    <t>ssvgta@gmil.com</t>
  </si>
  <si>
    <t xml:space="preserve">284212 146 Ave SE : </t>
  </si>
  <si>
    <t>Stephenson Engineering Ltd.</t>
  </si>
  <si>
    <t>Brian Levy</t>
  </si>
  <si>
    <t>(403) 648-0033</t>
  </si>
  <si>
    <t xml:space="preserve">138 – 4th Ave SE, Suite 710 : </t>
  </si>
  <si>
    <t>403-619-7898</t>
  </si>
  <si>
    <t xml:space="preserve">1825 Woodview DR SW : </t>
  </si>
  <si>
    <t>Johnson Ieong</t>
  </si>
  <si>
    <t xml:space="preserve">735 12 Ave SW : </t>
  </si>
  <si>
    <t xml:space="preserve">138  4th Ave SE, Suite 710 : </t>
  </si>
  <si>
    <t>Stewart McMann</t>
  </si>
  <si>
    <t>Stewart</t>
  </si>
  <si>
    <t>stewart@dyffryndevelopments.co</t>
  </si>
  <si>
    <t xml:space="preserve">267 Varsity Grove NW : </t>
  </si>
  <si>
    <t>Strategic Centre ( get pre pay)</t>
  </si>
  <si>
    <t>trish ferguson</t>
  </si>
  <si>
    <t>(403) 234-2952</t>
  </si>
  <si>
    <t>C/O Strategic Group : 400, 630 8 Ave SW</t>
  </si>
  <si>
    <t>403-617-5086</t>
  </si>
  <si>
    <t>Dominion Building : 906-12ave SW</t>
  </si>
  <si>
    <t>Kim McLeod</t>
  </si>
  <si>
    <t>Mission Centre Co-Ownership : 400, 630 8 Ave SW</t>
  </si>
  <si>
    <t>Summit Commercial</t>
  </si>
  <si>
    <t>Mike Emery</t>
  </si>
  <si>
    <t>(403) 809-6481</t>
  </si>
  <si>
    <t>Sun Life Assurance Company of Canada</t>
  </si>
  <si>
    <t>Courtney Cote</t>
  </si>
  <si>
    <t xml:space="preserve">Suite 240, 640 – 5th Avenue SW : </t>
  </si>
  <si>
    <t>Bill Martin 587-888-6715</t>
  </si>
  <si>
    <t>4948 126 Ave SE : Unit 19</t>
  </si>
  <si>
    <t>Soslan</t>
  </si>
  <si>
    <t>(403) 797-2276</t>
  </si>
  <si>
    <t>Rangewinds G : 2312 52 Ave SE</t>
  </si>
  <si>
    <t xml:space="preserve">2305 52 Ave SE : </t>
  </si>
  <si>
    <t>c/o BentallGreenOak(Canada) LP : #222-1632 14th Ave NW</t>
  </si>
  <si>
    <t xml:space="preserve">206- 5126  126 Ave SE : </t>
  </si>
  <si>
    <t>Rangewinds C : #13 2355 52 Ave SE</t>
  </si>
  <si>
    <t xml:space="preserve">2305 &amp; 2355 52 Ave SE : </t>
  </si>
  <si>
    <t>Bulls Eye Packaging : #33 10099 15 St NE</t>
  </si>
  <si>
    <t># 10 -10221-15 St NE : Tenant Camfill</t>
  </si>
  <si>
    <t xml:space="preserve">120 -2331 50 Ave SE (Optiks Lighting ) : </t>
  </si>
  <si>
    <t xml:space="preserve">121- 2312 52 Ave SE : </t>
  </si>
  <si>
    <t xml:space="preserve">10099 15th St NE : </t>
  </si>
  <si>
    <t>Sunnyside CCN 8311424</t>
  </si>
  <si>
    <t>Pat Sloan</t>
  </si>
  <si>
    <t>403-813-1008</t>
  </si>
  <si>
    <t xml:space="preserve">808 4th Ave NW : </t>
  </si>
  <si>
    <t>Sunnyside Condos</t>
  </si>
  <si>
    <t>pat.sloan@shaw.ca</t>
  </si>
  <si>
    <t>Sunnyside Greenhouse</t>
  </si>
  <si>
    <t>Warren Jensen</t>
  </si>
  <si>
    <t>403-651-7376</t>
  </si>
  <si>
    <t xml:space="preserve">3439 – 69 Street NW : </t>
  </si>
  <si>
    <t>Sunward Investments Ltd</t>
  </si>
  <si>
    <t xml:space="preserve">David Poon </t>
  </si>
  <si>
    <t>davidcpoon@shaw.ca</t>
  </si>
  <si>
    <t>2100 4 St SW, Calgary, AB T2S 1W7</t>
  </si>
  <si>
    <t>587-228-8283</t>
  </si>
  <si>
    <t>Superior Roofing Ltd</t>
  </si>
  <si>
    <t>David Trang</t>
  </si>
  <si>
    <t>587-434-7600</t>
  </si>
  <si>
    <t>info@superiorroofing.ca</t>
  </si>
  <si>
    <t>Rorie</t>
  </si>
  <si>
    <t>(403) 519-0853</t>
  </si>
  <si>
    <t>info@superiorroofingltd.ca</t>
  </si>
  <si>
    <t xml:space="preserve">215 13 St NE : </t>
  </si>
  <si>
    <t>tara</t>
  </si>
  <si>
    <t xml:space="preserve">3624 Manchester Rd SE : </t>
  </si>
  <si>
    <t xml:space="preserve">1615 Willowgreen Drive SE : </t>
  </si>
  <si>
    <t>Sure Hire</t>
  </si>
  <si>
    <t>John Fraietta</t>
  </si>
  <si>
    <t>780-819-6300</t>
  </si>
  <si>
    <t xml:space="preserve">6325 11 St SE : </t>
  </si>
  <si>
    <t>Susan Rafaat</t>
  </si>
  <si>
    <t>403-829-3274</t>
  </si>
  <si>
    <t xml:space="preserve">2820 14 Ave NW : </t>
  </si>
  <si>
    <t>Syncon Management Ltd</t>
  </si>
  <si>
    <t>Graham</t>
  </si>
  <si>
    <t>403-815-1916</t>
  </si>
  <si>
    <t>gh.syncm@telus.net</t>
  </si>
  <si>
    <t>SynCon Management Ltd</t>
  </si>
  <si>
    <t>(403) 258-3773</t>
  </si>
  <si>
    <t xml:space="preserve">232 Initiative Avenue SE : </t>
  </si>
  <si>
    <t>403-830-9953</t>
  </si>
  <si>
    <t xml:space="preserve">120, 280 Exploration ave SE : </t>
  </si>
  <si>
    <t>Graham Hullah</t>
  </si>
  <si>
    <t xml:space="preserve">241041B Range Rd 261 : </t>
  </si>
  <si>
    <t>David Syncon</t>
  </si>
  <si>
    <t xml:space="preserve">2031 33 Ave SW : </t>
  </si>
  <si>
    <t xml:space="preserve">2039 33 Ave SW : </t>
  </si>
  <si>
    <t>Jeff Fortier</t>
  </si>
  <si>
    <t>403-829-9337</t>
  </si>
  <si>
    <t xml:space="preserve">303 Aspen Meadows Hill SW : </t>
  </si>
  <si>
    <t>Jeff Pitt</t>
  </si>
  <si>
    <t>403-992-3449</t>
  </si>
  <si>
    <t xml:space="preserve">225 Panatella Hill NW : </t>
  </si>
  <si>
    <t xml:space="preserve"># 205 13104 Elbow Dr SW : </t>
  </si>
  <si>
    <t xml:space="preserve">1904 4th St : </t>
  </si>
  <si>
    <t xml:space="preserve">2204 1St SW : </t>
  </si>
  <si>
    <t xml:space="preserve">1719 9A St SW : </t>
  </si>
  <si>
    <t xml:space="preserve">Country village Bay NE : </t>
  </si>
  <si>
    <t xml:space="preserve">12424 Elbow Dr SW : </t>
  </si>
  <si>
    <t>(403) 830-9953</t>
  </si>
  <si>
    <t xml:space="preserve">10 Prestwick Bay SE : </t>
  </si>
  <si>
    <t>4038151916</t>
  </si>
  <si>
    <t xml:space="preserve">5759 80 Ave SE : </t>
  </si>
  <si>
    <t>Synergy Skyline LP</t>
  </si>
  <si>
    <t>Rajesh</t>
  </si>
  <si>
    <t xml:space="preserve">908 ‐ 53 Avenue NE : </t>
  </si>
  <si>
    <t xml:space="preserve">1103‐1125 ‐ 55 Avenue NE : </t>
  </si>
  <si>
    <t>TA Alberta Hydro LP</t>
  </si>
  <si>
    <t>apinvoice@transalta.com</t>
  </si>
  <si>
    <t xml:space="preserve">Cochrane : </t>
  </si>
  <si>
    <t xml:space="preserve">1 Horseshoe Drive : </t>
  </si>
  <si>
    <t xml:space="preserve"> : Barrier Lake</t>
  </si>
  <si>
    <t>Tally Construction Corp.</t>
  </si>
  <si>
    <t>Kyle Tally</t>
  </si>
  <si>
    <t>403-797-3327</t>
  </si>
  <si>
    <t>kyle@tallyconstruction.com</t>
  </si>
  <si>
    <t xml:space="preserve">150 Millrise Blvd SW, : </t>
  </si>
  <si>
    <t>Taylor Carcasole</t>
  </si>
  <si>
    <t>403-922-1448</t>
  </si>
  <si>
    <t xml:space="preserve"> taylor@simple-partners.com</t>
  </si>
  <si>
    <t xml:space="preserve">633 Madison Ave SW : </t>
  </si>
  <si>
    <t>Terago</t>
  </si>
  <si>
    <t>Daryl</t>
  </si>
  <si>
    <t>403-919-0527</t>
  </si>
  <si>
    <t>TFI International Inc.</t>
  </si>
  <si>
    <t>Simon Rodger</t>
  </si>
  <si>
    <t>403-207-5383</t>
  </si>
  <si>
    <t xml:space="preserve">285031 Wrangler Way SE : </t>
  </si>
  <si>
    <t>The Alex</t>
  </si>
  <si>
    <t>Richard</t>
  </si>
  <si>
    <t>403-629-7404</t>
  </si>
  <si>
    <t xml:space="preserve">101-2840 2 Ave SE : </t>
  </si>
  <si>
    <t xml:space="preserve">Richard </t>
  </si>
  <si>
    <t>Radie@thealex.ca</t>
  </si>
  <si>
    <t>The Banff Centre</t>
  </si>
  <si>
    <t xml:space="preserve">107 Tunnel Mountain Dr : </t>
  </si>
  <si>
    <t>The Budal Group</t>
  </si>
  <si>
    <t>Byron</t>
  </si>
  <si>
    <t>403-373-4700</t>
  </si>
  <si>
    <t>byron@budal.com</t>
  </si>
  <si>
    <t xml:space="preserve">#430, 555 Strathcona Blvd SW : </t>
  </si>
  <si>
    <t>The Calgary Airport Authority</t>
  </si>
  <si>
    <t xml:space="preserve">153 Aero Way NE : </t>
  </si>
  <si>
    <t>The Canals Mall</t>
  </si>
  <si>
    <t>kentda333@gmail.com</t>
  </si>
  <si>
    <t xml:space="preserve">905 1st Ave SW : </t>
  </si>
  <si>
    <t>The Excelsior</t>
  </si>
  <si>
    <t>Rick Cones</t>
  </si>
  <si>
    <t>403-540-4841</t>
  </si>
  <si>
    <t xml:space="preserve">824 4 Ave NW : </t>
  </si>
  <si>
    <t>The Garrison Pub &amp; Eatery</t>
  </si>
  <si>
    <t>(403) 243-4483</t>
  </si>
  <si>
    <t>thegarrisonpub@shaw.ca</t>
  </si>
  <si>
    <t>2040 42 Ave SW</t>
  </si>
  <si>
    <t>The Grand View</t>
  </si>
  <si>
    <t>Carlos</t>
  </si>
  <si>
    <t>(403) 630-0616</t>
  </si>
  <si>
    <t>carlosgview@hotmail.com</t>
  </si>
  <si>
    <t xml:space="preserve">228-26 Avenue SW : </t>
  </si>
  <si>
    <t>The Kale Group</t>
  </si>
  <si>
    <t>Shelly</t>
  </si>
  <si>
    <t>403-242-8832</t>
  </si>
  <si>
    <t xml:space="preserve">2920 23 Ave SW : </t>
  </si>
  <si>
    <t>The Restorers Group Inc</t>
  </si>
  <si>
    <t>Jon</t>
  </si>
  <si>
    <t>403-462-6633</t>
  </si>
  <si>
    <t xml:space="preserve">833 4 ave SW : </t>
  </si>
  <si>
    <t xml:space="preserve">115 Prestwick Villas SE : </t>
  </si>
  <si>
    <t xml:space="preserve">6707 Elbow Drive SW : </t>
  </si>
  <si>
    <t>(587) 336-8125</t>
  </si>
  <si>
    <t xml:space="preserve">639 14 Avenue SW : </t>
  </si>
  <si>
    <t>The Skylight Guy Ltd.</t>
  </si>
  <si>
    <t>Tara Mcphee</t>
  </si>
  <si>
    <t>service@skylightguys.ca</t>
  </si>
  <si>
    <t xml:space="preserve">210 8 Ave NW : </t>
  </si>
  <si>
    <t xml:space="preserve">1723 36 ave sw : </t>
  </si>
  <si>
    <t>The Tarjan Group</t>
  </si>
  <si>
    <t>(403) 265-3100</t>
  </si>
  <si>
    <t>properties@tarjangroup.com</t>
  </si>
  <si>
    <t xml:space="preserve">555 11 Avenue SW : </t>
  </si>
  <si>
    <t xml:space="preserve">217 Hawksbrow Dr NW : </t>
  </si>
  <si>
    <t>Terri</t>
  </si>
  <si>
    <t>587-225-8451</t>
  </si>
  <si>
    <t xml:space="preserve">3200 17 Ave SW : </t>
  </si>
  <si>
    <t>The Town of Okotoks</t>
  </si>
  <si>
    <t>Harley</t>
  </si>
  <si>
    <t>(403) 899-1371</t>
  </si>
  <si>
    <t xml:space="preserve">14 McRae Street. : </t>
  </si>
  <si>
    <t>The Town of Strathmore</t>
  </si>
  <si>
    <t>(403) 934-3133</t>
  </si>
  <si>
    <t>marcie.mansbridge@strathmore.ca</t>
  </si>
  <si>
    <t>The Villas Richmond Hill</t>
  </si>
  <si>
    <t>Roger Cote</t>
  </si>
  <si>
    <t>(403) 988-8885</t>
  </si>
  <si>
    <t>orrcote@shaw.ca</t>
  </si>
  <si>
    <t xml:space="preserve">163 Sierra Morena Terrace SW : </t>
  </si>
  <si>
    <t>The Wawanesa Mutual Insurance Company</t>
  </si>
  <si>
    <t>jmcfadyen@wawanesa.com</t>
  </si>
  <si>
    <t>Thomas A. Gould</t>
  </si>
  <si>
    <t>(403) 616-7975</t>
  </si>
  <si>
    <t>Tom.Gould@calgary.ca</t>
  </si>
  <si>
    <t>125 Galadon Estates Access : 21508 Township Road 432</t>
  </si>
  <si>
    <t>Tony Vetere</t>
  </si>
  <si>
    <t>(403) 919-6037</t>
  </si>
  <si>
    <t>tony.vetere@sobeys.com</t>
  </si>
  <si>
    <t xml:space="preserve">355 Hendon Dr. NW : </t>
  </si>
  <si>
    <t>403-651-9740</t>
  </si>
  <si>
    <t xml:space="preserve">4419 17 Avenue NW : </t>
  </si>
  <si>
    <t xml:space="preserve">2307 19 Street SW : </t>
  </si>
  <si>
    <t>Top Nails 6</t>
  </si>
  <si>
    <t>(403) 667-2545</t>
  </si>
  <si>
    <t xml:space="preserve">#128, 555 Strathcona Blvd SW : </t>
  </si>
  <si>
    <t>Tosik Development Corporation</t>
  </si>
  <si>
    <t>marlboroughmallmedical@gmail.c</t>
  </si>
  <si>
    <t>Cristina Baldonado</t>
  </si>
  <si>
    <t>403 272 6422</t>
  </si>
  <si>
    <t xml:space="preserve">425 Marlborough Way NE : </t>
  </si>
  <si>
    <t>Town of Bowden</t>
  </si>
  <si>
    <t>(403) 559-7123</t>
  </si>
  <si>
    <t>Town of High River</t>
  </si>
  <si>
    <t>Nicole Dyck</t>
  </si>
  <si>
    <t>403-603-3520</t>
  </si>
  <si>
    <t xml:space="preserve">309B Macleod Trail SW : </t>
  </si>
  <si>
    <t>Transform Renovations</t>
  </si>
  <si>
    <t>Rod</t>
  </si>
  <si>
    <t>403-612-3670</t>
  </si>
  <si>
    <t xml:space="preserve">3030-2600 Portland Street SE : </t>
  </si>
  <si>
    <t>Trellis Society</t>
  </si>
  <si>
    <t>craymond@growwithtrellis.ca</t>
  </si>
  <si>
    <t xml:space="preserve">938 15 Ave SW : </t>
  </si>
  <si>
    <t xml:space="preserve">731 13 Ave NE : </t>
  </si>
  <si>
    <t xml:space="preserve">1318 Regal Cr NE : </t>
  </si>
  <si>
    <t>Lisa Ballard</t>
  </si>
  <si>
    <t>403-219-3477</t>
  </si>
  <si>
    <t xml:space="preserve">4409 84 St NW : </t>
  </si>
  <si>
    <t xml:space="preserve">6098 Penbrooke Dr SE : </t>
  </si>
  <si>
    <t xml:space="preserve">234 4th Ave NE : </t>
  </si>
  <si>
    <t xml:space="preserve">998 Rundlecairn Way NE : </t>
  </si>
  <si>
    <t>Tremco Canada Division, RPM Canada</t>
  </si>
  <si>
    <t>Darwin</t>
  </si>
  <si>
    <t>Tribe Management Inc.</t>
  </si>
  <si>
    <t>Melodie Wolf</t>
  </si>
  <si>
    <t>403-612-5672</t>
  </si>
  <si>
    <t xml:space="preserve">627 Shawcliff Gate SW : </t>
  </si>
  <si>
    <t>Melodie.Wolf@tribemgmt.com</t>
  </si>
  <si>
    <t xml:space="preserve">Tribecca Condos </t>
  </si>
  <si>
    <t xml:space="preserve">Justin Chatlain </t>
  </si>
  <si>
    <t>justin.chatlain@gmail.com</t>
  </si>
  <si>
    <t xml:space="preserve">323 20 Ave SW, Calgary </t>
  </si>
  <si>
    <t>Tribuild Contracting Canada</t>
  </si>
  <si>
    <t>Beoamod</t>
  </si>
  <si>
    <t>587-968-5700</t>
  </si>
  <si>
    <t>ali@tribuild.com</t>
  </si>
  <si>
    <t xml:space="preserve">3535 Research Road NW : </t>
  </si>
  <si>
    <t>Tricycle Lane Ranches Ltd</t>
  </si>
  <si>
    <t>Mike Raikou</t>
  </si>
  <si>
    <t>587-216-5952</t>
  </si>
  <si>
    <t xml:space="preserve">9816 44 St SE : </t>
  </si>
  <si>
    <t xml:space="preserve">3145 Shepard Pl SE : </t>
  </si>
  <si>
    <t>Tricycle Lane Ranches Ltd.</t>
  </si>
  <si>
    <t>(403) 640-9355</t>
  </si>
  <si>
    <t>Stephen Shapka</t>
  </si>
  <si>
    <t>403-355-2644</t>
  </si>
  <si>
    <t xml:space="preserve">230 Aviation Place NE : </t>
  </si>
  <si>
    <t>Accounting</t>
  </si>
  <si>
    <t xml:space="preserve">3145 Shephard Pl SE : </t>
  </si>
  <si>
    <t xml:space="preserve">24130 Old Banff Coach Rd SW : </t>
  </si>
  <si>
    <t xml:space="preserve">Suite 200, 5055 11 St NE : </t>
  </si>
  <si>
    <t>Tri-Tech Pinnacle Group Inc.</t>
  </si>
  <si>
    <t>John Belanger</t>
  </si>
  <si>
    <t xml:space="preserve">6707 Elbow Dr. SW : </t>
  </si>
  <si>
    <t>TRS Mechanical and Construction</t>
  </si>
  <si>
    <t>Danny</t>
  </si>
  <si>
    <t>403-630-0093</t>
  </si>
  <si>
    <t>#335 : 16061 Macleod Trail SE</t>
  </si>
  <si>
    <t>Tru-Craft Roofing (2005) Ltd.</t>
  </si>
  <si>
    <t>Bob James</t>
  </si>
  <si>
    <t xml:space="preserve">4828 30 Street SE : </t>
  </si>
  <si>
    <t>Tuxedo Square-CCN 1611177 c/o Equium Group</t>
  </si>
  <si>
    <t>Jessica St. Gelais</t>
  </si>
  <si>
    <t>(403) 265-4431</t>
  </si>
  <si>
    <t xml:space="preserve">131 23rd Ave NE : </t>
  </si>
  <si>
    <t>Uncle Mike's Roofing Inc.</t>
  </si>
  <si>
    <t>403-875-5774</t>
  </si>
  <si>
    <t>burglehawk@icloud.com</t>
  </si>
  <si>
    <t>Unitech Systems</t>
  </si>
  <si>
    <t>jfreeman@unitechsystems.com</t>
  </si>
  <si>
    <t xml:space="preserve">404 6 Ave Sw : </t>
  </si>
  <si>
    <t>Universal Rehabilitation Service Agency</t>
  </si>
  <si>
    <t>Kayla Lamarche</t>
  </si>
  <si>
    <t>(403) 272-7722</t>
  </si>
  <si>
    <t>kayla.lamarche@ursa-rehab.com</t>
  </si>
  <si>
    <t xml:space="preserve">147 Holland Street NW : </t>
  </si>
  <si>
    <t xml:space="preserve">619 Copper Pond Bv SE : </t>
  </si>
  <si>
    <t xml:space="preserve">2232 9 Avenue SE : </t>
  </si>
  <si>
    <t xml:space="preserve">619 Copper Pond Blvd SE : </t>
  </si>
  <si>
    <t xml:space="preserve">50082 TWP #283 : </t>
  </si>
  <si>
    <t>University of Calgary</t>
  </si>
  <si>
    <t>Todd</t>
  </si>
  <si>
    <t>403-880-2915</t>
  </si>
  <si>
    <t>01/101 : 2500 University Drive NW</t>
  </si>
  <si>
    <t>01/123Z : 2500 University Drive NW</t>
  </si>
  <si>
    <t>Keith Gill</t>
  </si>
  <si>
    <t>403-888-8259</t>
  </si>
  <si>
    <t>14/1402 : 2500 University Drive NW</t>
  </si>
  <si>
    <t>02/207 : 2500 University Drive NW</t>
  </si>
  <si>
    <t>04/4361W : 2500 University Drive NW</t>
  </si>
  <si>
    <t>P1 : 2500 University Drive NW</t>
  </si>
  <si>
    <t>No Room # Given : 2500 University Drive NW</t>
  </si>
  <si>
    <t>Main Campus : 2500 University Drive NW</t>
  </si>
  <si>
    <t>01/159 : 2500 University Drive NW</t>
  </si>
  <si>
    <t>01-116 : 2500 University Drive</t>
  </si>
  <si>
    <t>03/311 : 2500 University Drive NW</t>
  </si>
  <si>
    <t>R1 : 2500 University Drive NW</t>
  </si>
  <si>
    <t>01/138Y : 2500 University Drive NW</t>
  </si>
  <si>
    <t>04/482 : 2500 University Drive NW</t>
  </si>
  <si>
    <t>Janice Cummins</t>
  </si>
  <si>
    <t>403-210-8522</t>
  </si>
  <si>
    <t>02-201Y : 2500 Univsersity Drive NW</t>
  </si>
  <si>
    <t>01/151 : 2500 University Drive NW</t>
  </si>
  <si>
    <t>03/304A : 2500 University Drive NW</t>
  </si>
  <si>
    <t>06/663 : 2500 University Drive NW</t>
  </si>
  <si>
    <t>Spy Hill Campus : 11877 85th Street NW</t>
  </si>
  <si>
    <t>M1 : 2500 University Drive</t>
  </si>
  <si>
    <t xml:space="preserve"> : 2500 University Drive NW</t>
  </si>
  <si>
    <t>01/107V : 2500 University Drive NW</t>
  </si>
  <si>
    <t>Duplex 5/ R1 : HWY 40</t>
  </si>
  <si>
    <t>R1 : HWY 40</t>
  </si>
  <si>
    <t>Kananaskis Campus : HWY 40</t>
  </si>
  <si>
    <t>Duplex 2/ R1 : HWY 40</t>
  </si>
  <si>
    <t>Duplex 5/R1 : HWY 40</t>
  </si>
  <si>
    <t>01/123V : 2500 University Drive NW</t>
  </si>
  <si>
    <t>03/327 : 2500 University Drive NW</t>
  </si>
  <si>
    <t>02/2237 : 2500 University Drive NW</t>
  </si>
  <si>
    <t>07/720A : 2500 University Drive</t>
  </si>
  <si>
    <t>03/ 3320 : 2500 University Drive NW</t>
  </si>
  <si>
    <t>01/107W : 2500 University Drive NW</t>
  </si>
  <si>
    <t>Stephen Murphy</t>
  </si>
  <si>
    <t>403-210-3822</t>
  </si>
  <si>
    <t xml:space="preserve">2500 University Drive NW : </t>
  </si>
  <si>
    <t>587-229-6018</t>
  </si>
  <si>
    <t xml:space="preserve">3655 36 St NW : </t>
  </si>
  <si>
    <t>Upcountry Developments</t>
  </si>
  <si>
    <t>Colin</t>
  </si>
  <si>
    <t>(403) 265-6750</t>
  </si>
  <si>
    <t>wayne.lee@gulfpacific.ca</t>
  </si>
  <si>
    <t xml:space="preserve">#300 - 2816 11th St NE : </t>
  </si>
  <si>
    <t>Upcountry Properties (CBP-GP)</t>
  </si>
  <si>
    <t>Colin Yates</t>
  </si>
  <si>
    <t>403.510.2085</t>
  </si>
  <si>
    <t>wayne.lee@gulfpacifi</t>
  </si>
  <si>
    <t>2820 Centre Avenue NE : 333 28th Street NE</t>
  </si>
  <si>
    <t xml:space="preserve">333 28th Street NE : </t>
  </si>
  <si>
    <t>Calgary Business Park : 2820 Centre Avenue NE</t>
  </si>
  <si>
    <t xml:space="preserve">2820 Centre Avenue NE : </t>
  </si>
  <si>
    <t xml:space="preserve">333 28th stree NE : </t>
  </si>
  <si>
    <t xml:space="preserve">2821 3rd Ave NE : </t>
  </si>
  <si>
    <t>Vantage Electric Ltd</t>
  </si>
  <si>
    <t>Bobbi - Jo Antonuk</t>
  </si>
  <si>
    <t>403-948-2733</t>
  </si>
  <si>
    <t xml:space="preserve">1105 - 35 Mackenzie Way SW : </t>
  </si>
  <si>
    <t>Vaughn Reid</t>
  </si>
  <si>
    <t>403-819-4766</t>
  </si>
  <si>
    <t>t.vreid@yahoo.com</t>
  </si>
  <si>
    <t>3812 16 St. SE</t>
  </si>
  <si>
    <t>Versatile Roofing Ltd</t>
  </si>
  <si>
    <t>Miles</t>
  </si>
  <si>
    <t>(403) 585-0566</t>
  </si>
  <si>
    <t>trevor@versatileroofing.ca</t>
  </si>
  <si>
    <t xml:space="preserve">4248 Britannia Drive SW : </t>
  </si>
  <si>
    <t xml:space="preserve">1924 27 Ave SW : </t>
  </si>
  <si>
    <t xml:space="preserve">1512 21A Street NW : </t>
  </si>
  <si>
    <t xml:space="preserve">537-23 Ave SW : </t>
  </si>
  <si>
    <t>View West Management</t>
  </si>
  <si>
    <t>Olga</t>
  </si>
  <si>
    <t xml:space="preserve">4520 Manilla Rd SE : </t>
  </si>
  <si>
    <t xml:space="preserve">4611 Manhattan Rd SE : </t>
  </si>
  <si>
    <t>Vista Landing Shopping Centre</t>
  </si>
  <si>
    <t>Pierre</t>
  </si>
  <si>
    <t>587-215-9832</t>
  </si>
  <si>
    <t>jeremy@groupedenux.com</t>
  </si>
  <si>
    <t xml:space="preserve">920 36 Street NE : </t>
  </si>
  <si>
    <t>Volker Stevin Canada /Volker Wessels Canada</t>
  </si>
  <si>
    <t>Kaylee Irving</t>
  </si>
  <si>
    <t>403-512-5237</t>
  </si>
  <si>
    <t xml:space="preserve">7175 12th ST SE : </t>
  </si>
  <si>
    <t>Wamble</t>
  </si>
  <si>
    <t>Shelley Christensen</t>
  </si>
  <si>
    <t xml:space="preserve">8616 44 St SE : </t>
  </si>
  <si>
    <t>WD Construction &amp; Millwork Ltd</t>
  </si>
  <si>
    <t>admin@wdconstruction.ca</t>
  </si>
  <si>
    <t>West 85th : 862 85 St SW</t>
  </si>
  <si>
    <t>Weatherproofing Technologies Canada</t>
  </si>
  <si>
    <t>(403) 956-9315</t>
  </si>
  <si>
    <t>kburden@tremco.ca</t>
  </si>
  <si>
    <t xml:space="preserve">3924 - 27 Street NE : </t>
  </si>
  <si>
    <t>Webber Academy</t>
  </si>
  <si>
    <t>Russ Dickson</t>
  </si>
  <si>
    <t>403-999-3281</t>
  </si>
  <si>
    <t xml:space="preserve">1515 93 St SW : </t>
  </si>
  <si>
    <t>Wendy Smeltzer</t>
  </si>
  <si>
    <t>Wendy Smetlzer</t>
  </si>
  <si>
    <t>403-560-3204</t>
  </si>
  <si>
    <t>1333 Montreal Ave SW : 403-560-3204</t>
  </si>
  <si>
    <t>West Island College</t>
  </si>
  <si>
    <t>West Springs Free Methodist Ch</t>
  </si>
  <si>
    <t>Herb</t>
  </si>
  <si>
    <t>(403) 808-4367</t>
  </si>
  <si>
    <t xml:space="preserve">742 - 85TH STREET SW : </t>
  </si>
  <si>
    <t>Western Fibre Communications Corp</t>
  </si>
  <si>
    <t>Sam Okojesu</t>
  </si>
  <si>
    <t>403-986-6629</t>
  </si>
  <si>
    <t xml:space="preserve">Unit 101A 1120 53 Ave NE : </t>
  </si>
  <si>
    <t>Western Weather Protector Ltd.</t>
  </si>
  <si>
    <t>dherman@wwpl.ca</t>
  </si>
  <si>
    <t xml:space="preserve">115 Edenwold Dr NW : </t>
  </si>
  <si>
    <t xml:space="preserve">229 Woodhaven Dr : </t>
  </si>
  <si>
    <t>Gary Bruens</t>
  </si>
  <si>
    <t>403-273-9511</t>
  </si>
  <si>
    <t xml:space="preserve">7650 40th St SE : </t>
  </si>
  <si>
    <t>Westfield McCall Lake Ind.</t>
  </si>
  <si>
    <t>Willow Capital Corp</t>
  </si>
  <si>
    <t>(403) 829-6964</t>
  </si>
  <si>
    <t>propertymanagementcalgary@am.j</t>
  </si>
  <si>
    <t xml:space="preserve">10325 99 Ave SE : </t>
  </si>
  <si>
    <t>Windmill Mechanical Services INC</t>
  </si>
  <si>
    <t>hans@windmillmechanical.com</t>
  </si>
  <si>
    <t xml:space="preserve">5115- 17th Ave SE : </t>
  </si>
  <si>
    <t>(403) 333-8710</t>
  </si>
  <si>
    <t xml:space="preserve">2500 University Dr NW : </t>
  </si>
  <si>
    <t xml:space="preserve">3535 Research Rd NW : </t>
  </si>
  <si>
    <t>Wing Kei</t>
  </si>
  <si>
    <t xml:space="preserve">4120 Centre Street NE : </t>
  </si>
  <si>
    <t>403-891-4501</t>
  </si>
  <si>
    <t xml:space="preserve">400 Edmonton Trail : </t>
  </si>
  <si>
    <t>Winsport</t>
  </si>
  <si>
    <t>587-582-9680</t>
  </si>
  <si>
    <t>eparrott@winsport.ca</t>
  </si>
  <si>
    <t>Elly Parrott</t>
  </si>
  <si>
    <t>151 Canada Olympic Rd S W, Calgary, AB T3B 5R5</t>
  </si>
  <si>
    <t>Winston Heights Mountview</t>
  </si>
  <si>
    <t>Ben Mackenzie</t>
  </si>
  <si>
    <t>Denis Looten</t>
  </si>
  <si>
    <t xml:space="preserve">520 27th Ave NE : </t>
  </si>
  <si>
    <t>Workhub Software Corp</t>
  </si>
  <si>
    <t>Brian Nodwell ( Owner)</t>
  </si>
  <si>
    <t>403-668-6402</t>
  </si>
  <si>
    <t xml:space="preserve">615-18 St SE : </t>
  </si>
  <si>
    <t>Wow Lighting and Controls Inc.</t>
  </si>
  <si>
    <t>(403) 266-6249</t>
  </si>
  <si>
    <t>Chantell@wowlighting.com</t>
  </si>
  <si>
    <t>WRE Development Ltd</t>
  </si>
  <si>
    <t>adurand@wredevelpment.ca</t>
  </si>
  <si>
    <t xml:space="preserve">4915 35 Ave SW : </t>
  </si>
  <si>
    <t xml:space="preserve">525 75 Ave SW : </t>
  </si>
  <si>
    <t>Olivia Wick</t>
  </si>
  <si>
    <t>403-612-9570</t>
  </si>
  <si>
    <t xml:space="preserve">140 10 Ave SW : </t>
  </si>
  <si>
    <t>WSP Canada Inc</t>
  </si>
  <si>
    <t>lauren.erickson@wsp.com</t>
  </si>
  <si>
    <t xml:space="preserve">2900 Kingsview Blvd SE : </t>
  </si>
  <si>
    <t xml:space="preserve">AB-1A : </t>
  </si>
  <si>
    <t>York Realty Inc</t>
  </si>
  <si>
    <t>403-561-3642</t>
  </si>
  <si>
    <t>billing@yorkrealty.ca</t>
  </si>
  <si>
    <t xml:space="preserve">Bay 8 : </t>
  </si>
  <si>
    <t>403-616-4457</t>
  </si>
  <si>
    <t xml:space="preserve">2624 54 Ave SE : </t>
  </si>
  <si>
    <t xml:space="preserve">7450 54 St SE : </t>
  </si>
  <si>
    <t xml:space="preserve">920 28 St. NE : </t>
  </si>
  <si>
    <t>(403) 561-3642</t>
  </si>
  <si>
    <t xml:space="preserve">701 30St NE : </t>
  </si>
  <si>
    <t xml:space="preserve">2624 54th Ave SE : </t>
  </si>
  <si>
    <t xml:space="preserve">3504 66 Ave : </t>
  </si>
  <si>
    <t xml:space="preserve">2915 10 Ave SE : </t>
  </si>
  <si>
    <t xml:space="preserve">950-28 Street NE : </t>
  </si>
  <si>
    <t xml:space="preserve">285119 Bluegrass Drive : </t>
  </si>
  <si>
    <t xml:space="preserve">2925 10 Ave NE : </t>
  </si>
  <si>
    <t xml:space="preserve">3740 27 Street NE : </t>
  </si>
  <si>
    <t xml:space="preserve">4760 72nd Ave SE : </t>
  </si>
  <si>
    <t>923 28 St NE : Bassano</t>
  </si>
  <si>
    <t>Unit 16 3740 - 27 St NE : 3740 - 27 St NE</t>
  </si>
  <si>
    <t xml:space="preserve">5545 52 Ave SE : </t>
  </si>
  <si>
    <t xml:space="preserve">1500 Railway Ave : </t>
  </si>
  <si>
    <t>920-28 Street NE : BAy 10</t>
  </si>
  <si>
    <t xml:space="preserve">2915 10 Ave NE : </t>
  </si>
  <si>
    <t>920-28 Street NE : Mozaic Carpet</t>
  </si>
  <si>
    <t>701 30 st ne : jlt</t>
  </si>
  <si>
    <t>920-28 Street NE : Tire Surplus</t>
  </si>
  <si>
    <t xml:space="preserve">947 28St NE : </t>
  </si>
  <si>
    <t xml:space="preserve">801 30 ST NE : </t>
  </si>
  <si>
    <t xml:space="preserve">903/907 28th Street NE : </t>
  </si>
  <si>
    <t xml:space="preserve">3740 27th St NE : </t>
  </si>
  <si>
    <t xml:space="preserve">Integrity : </t>
  </si>
  <si>
    <t xml:space="preserve">(3516 66th Ave SE : </t>
  </si>
  <si>
    <t xml:space="preserve">4888 72nd Ave SE : </t>
  </si>
  <si>
    <t xml:space="preserve">3740 27St NE : </t>
  </si>
  <si>
    <t xml:space="preserve">Bay 4-701 30th St NE : </t>
  </si>
  <si>
    <t xml:space="preserve">911 28th St NE : </t>
  </si>
  <si>
    <t>700 58 Ave SE : Calgary</t>
  </si>
  <si>
    <t xml:space="preserve">4-701 30th St NE : </t>
  </si>
  <si>
    <t xml:space="preserve">7455 68th St SE : </t>
  </si>
  <si>
    <t xml:space="preserve">7333-68 ST SE : </t>
  </si>
  <si>
    <t>Dan St Pierre</t>
  </si>
  <si>
    <t xml:space="preserve">939- 28 St NE : </t>
  </si>
  <si>
    <t xml:space="preserve">931 28 St NE : </t>
  </si>
  <si>
    <t xml:space="preserve">2020 Centre Ave SE : </t>
  </si>
  <si>
    <t xml:space="preserve">3516 66th Ave SE : </t>
  </si>
  <si>
    <t>923 28 St NE : Bassano Farms</t>
  </si>
  <si>
    <t xml:space="preserve">925 30 St NE : </t>
  </si>
  <si>
    <t xml:space="preserve">7340 64 St NE : </t>
  </si>
  <si>
    <t xml:space="preserve">923 28 St NE : </t>
  </si>
  <si>
    <t>911 28 St NE : Ameens Auto Parts</t>
  </si>
  <si>
    <t>919 28 St NE : Bassano</t>
  </si>
  <si>
    <t xml:space="preserve">925 28 St NE : </t>
  </si>
  <si>
    <t>920-28 Street NE : Bay #19</t>
  </si>
  <si>
    <t>Da</t>
  </si>
  <si>
    <t>923 28 St NE : Psygen Labs Inc</t>
  </si>
  <si>
    <t xml:space="preserve">2915 10th Avenue NE : </t>
  </si>
  <si>
    <t xml:space="preserve">Bay 2 and 3 : </t>
  </si>
  <si>
    <t xml:space="preserve">700-58 Ave SE : </t>
  </si>
  <si>
    <t xml:space="preserve">3111-15 Sunpark Plaza SE : </t>
  </si>
  <si>
    <t>YYC Hangar Group</t>
  </si>
  <si>
    <t>Neil Hall</t>
  </si>
  <si>
    <t>403-934-8696</t>
  </si>
  <si>
    <t xml:space="preserve">240 Aviation Place NE : </t>
  </si>
  <si>
    <t>Zen Lake Holdings Inc.</t>
  </si>
  <si>
    <t>403-540-4443</t>
  </si>
  <si>
    <t>pascald333@gmail.com</t>
  </si>
  <si>
    <t>510 Highway 1 : Road House</t>
  </si>
  <si>
    <t>Bidmaster</t>
  </si>
  <si>
    <t>SELLING PRICE</t>
  </si>
  <si>
    <t>Site location</t>
  </si>
  <si>
    <t>ESTIMATED LABOR COSTS - ( BURDENED )</t>
  </si>
  <si>
    <t>Cost Code</t>
  </si>
  <si>
    <t>Title</t>
  </si>
  <si>
    <t>Burdened Rate</t>
  </si>
  <si>
    <t>REG. HRS.</t>
  </si>
  <si>
    <t>O/T HRS</t>
  </si>
  <si>
    <t>EST COST</t>
  </si>
  <si>
    <t>Hours by $ per Sq</t>
  </si>
  <si>
    <t>Fraction of I11</t>
  </si>
  <si>
    <t>Historical Burdened Rate</t>
  </si>
  <si>
    <t>* Based on six (3 Labourers, 2 Skilled, 1 Foreman) selected employee's Total Employee Costs minus hours worked</t>
  </si>
  <si>
    <t>Roofing</t>
  </si>
  <si>
    <t>Oct. 2024 - Nov. 2025</t>
  </si>
  <si>
    <t>* See Historical Burden Rates Tab</t>
  </si>
  <si>
    <t>Logistics</t>
  </si>
  <si>
    <t>Sqs/Day</t>
  </si>
  <si>
    <t>TOTAL</t>
  </si>
  <si>
    <t>Approximate 8 hour person days</t>
  </si>
  <si>
    <t>ESTIMATED  MATERIAL COSTS</t>
  </si>
  <si>
    <t>QUANTITY</t>
  </si>
  <si>
    <t>ITEM</t>
  </si>
  <si>
    <t>$ / PER</t>
  </si>
  <si>
    <t>ESTIMATED OTHER COSTS</t>
  </si>
  <si>
    <t>Costs/Labour Hours that haven't been factored</t>
  </si>
  <si>
    <t>Scaffolding (for roofers)</t>
  </si>
  <si>
    <t>C-ports</t>
  </si>
  <si>
    <t>Inspector</t>
  </si>
  <si>
    <t>Cable Tray</t>
  </si>
  <si>
    <t>Shingle Subcontractor</t>
  </si>
  <si>
    <t>Plumbing</t>
  </si>
  <si>
    <t>Concrete screws</t>
  </si>
  <si>
    <t>Steel studs</t>
  </si>
  <si>
    <t>Travel</t>
  </si>
  <si>
    <t>N-Force</t>
  </si>
  <si>
    <t>Manhours</t>
  </si>
  <si>
    <t>Supervisor</t>
  </si>
  <si>
    <t>OT</t>
  </si>
  <si>
    <t>Rigger</t>
  </si>
  <si>
    <t>Operator OT</t>
  </si>
  <si>
    <t>per/hr</t>
  </si>
  <si>
    <t>Permits</t>
  </si>
  <si>
    <t>Street Permit</t>
  </si>
  <si>
    <t>Concrete Topping Removal</t>
  </si>
  <si>
    <t>Boom Truck With Operator</t>
  </si>
  <si>
    <t>Concrete Planters Removal</t>
  </si>
  <si>
    <t>F80A with deck</t>
  </si>
  <si>
    <t>Knuckle Boom</t>
  </si>
  <si>
    <t>35' Live Boom</t>
  </si>
  <si>
    <t>Sitting area removal</t>
  </si>
  <si>
    <t>30 Ton</t>
  </si>
  <si>
    <t>Deck Truck</t>
  </si>
  <si>
    <t>102' Live Boom</t>
  </si>
  <si>
    <t>46' JIB</t>
  </si>
  <si>
    <t>50 Ton</t>
  </si>
  <si>
    <t>Swing Cab</t>
  </si>
  <si>
    <t>128' Live Boom</t>
  </si>
  <si>
    <t>49' JIB</t>
  </si>
  <si>
    <t>TOTAL DIRECT COST OF GOODS</t>
  </si>
  <si>
    <t>65 Ton</t>
  </si>
  <si>
    <t>131' Live Boom</t>
  </si>
  <si>
    <t>50' JIB</t>
  </si>
  <si>
    <t>85 MT</t>
  </si>
  <si>
    <t>60' Live Boom</t>
  </si>
  <si>
    <t>OVERHEAD</t>
  </si>
  <si>
    <t>PERCENTAGE OF COGS</t>
  </si>
  <si>
    <t>BUDGETED GM</t>
  </si>
  <si>
    <t>85 MT w/ Trailer</t>
  </si>
  <si>
    <t>FACTOR</t>
  </si>
  <si>
    <t>FROM ACCOUNTING</t>
  </si>
  <si>
    <t>Mobile Cranes With Operator</t>
  </si>
  <si>
    <t>80 Ton</t>
  </si>
  <si>
    <t>Mobile</t>
  </si>
  <si>
    <t>126' Live Boom</t>
  </si>
  <si>
    <t>57' JIB</t>
  </si>
  <si>
    <t>BREAKEVEN PRICE</t>
  </si>
  <si>
    <t>90 Ton</t>
  </si>
  <si>
    <t>169' Live Boom</t>
  </si>
  <si>
    <t>56' JIB</t>
  </si>
  <si>
    <t>110 Ton</t>
  </si>
  <si>
    <t>142' Live Boom</t>
  </si>
  <si>
    <t>115 Ton</t>
  </si>
  <si>
    <t>NET PROFIT</t>
  </si>
  <si>
    <t>(Set by Owner)</t>
  </si>
  <si>
    <t>AT Cranes With Operator</t>
  </si>
  <si>
    <t>150 Ton</t>
  </si>
  <si>
    <t>AT Crane</t>
  </si>
  <si>
    <t>200' Live Boom</t>
  </si>
  <si>
    <t>68.9' JIB</t>
  </si>
  <si>
    <t>200 Ton</t>
  </si>
  <si>
    <t>256' Live Boom</t>
  </si>
  <si>
    <t>68.9' JIB + inserts</t>
  </si>
  <si>
    <t xml:space="preserve">Price With Warranty    </t>
  </si>
  <si>
    <t xml:space="preserve"> #of years --&gt;</t>
  </si>
  <si>
    <t>Provide a 15-year minimum warranty for all Work of the Contract</t>
  </si>
  <si>
    <t>250 Ton</t>
  </si>
  <si>
    <t>300 Ton</t>
  </si>
  <si>
    <t>262' Live Boom</t>
  </si>
  <si>
    <t>69' JIB + inserts/luffer</t>
  </si>
  <si>
    <t>PRICE PER SQUARE</t>
  </si>
  <si>
    <t>350 Ton</t>
  </si>
  <si>
    <t>Gen. req.</t>
  </si>
  <si>
    <t>Removal wall</t>
  </si>
  <si>
    <t>Removal Slab</t>
  </si>
  <si>
    <t>Coverage Rate (Sqft)</t>
  </si>
  <si>
    <t>Densdeck</t>
  </si>
  <si>
    <t>Fiberboard</t>
  </si>
  <si>
    <t>PMMA</t>
  </si>
  <si>
    <t>Primer / Adhesive</t>
  </si>
  <si>
    <t>Two Part Adhesive</t>
  </si>
  <si>
    <t>Sopravap'r WG 45in.</t>
  </si>
  <si>
    <t>s310015</t>
  </si>
  <si>
    <t>1.5in. ISO Paper</t>
  </si>
  <si>
    <t>s320015</t>
  </si>
  <si>
    <t>Securock 1/2in.</t>
  </si>
  <si>
    <t>p110628</t>
  </si>
  <si>
    <t>p110928</t>
  </si>
  <si>
    <t>3-1 Soprasmart Board THERMO (1/8in.)</t>
  </si>
  <si>
    <t>s330017</t>
  </si>
  <si>
    <t>Asphalt Fiberboard 4x8 (7/16in.)</t>
  </si>
  <si>
    <t>p260507</t>
  </si>
  <si>
    <t>1/8in. Protectoboard</t>
  </si>
  <si>
    <t>s130002</t>
  </si>
  <si>
    <t>Alsan RS 230 Field Summer 7032</t>
  </si>
  <si>
    <t>s340058</t>
  </si>
  <si>
    <t>MF-95-SS 2.2mm</t>
  </si>
  <si>
    <t>s140021</t>
  </si>
  <si>
    <t>Sopraply Flam Stick</t>
  </si>
  <si>
    <t>s340105</t>
  </si>
  <si>
    <t>TP-180 Cap</t>
  </si>
  <si>
    <t>s140008</t>
  </si>
  <si>
    <t>SAM Adhesive 17L</t>
  </si>
  <si>
    <t>s160003</t>
  </si>
  <si>
    <t>s360016</t>
  </si>
  <si>
    <t>s459999</t>
  </si>
  <si>
    <t>IKO® Type IV Glass Ply Sheet</t>
  </si>
  <si>
    <t>i160150</t>
  </si>
  <si>
    <t>2in. ISO Paper</t>
  </si>
  <si>
    <t>s320013</t>
  </si>
  <si>
    <t>Securock 1/4in.</t>
  </si>
  <si>
    <t>p110618</t>
  </si>
  <si>
    <t>Densdeck Primed 1/4in.</t>
  </si>
  <si>
    <t>p110918</t>
  </si>
  <si>
    <t>(N/A) 2-1 Soprasmart Board THERMO (1/8in.)</t>
  </si>
  <si>
    <t>Std.Ctd Fiberboard 2x4 (1/2in.)</t>
  </si>
  <si>
    <t>p260502</t>
  </si>
  <si>
    <t>1/4in. Protectoboard</t>
  </si>
  <si>
    <t>p260554</t>
  </si>
  <si>
    <t>Alsan RS 230 Field Winter 7032</t>
  </si>
  <si>
    <t>s340059</t>
  </si>
  <si>
    <t>MF-95-FS</t>
  </si>
  <si>
    <t>s140022</t>
  </si>
  <si>
    <t>Sopraply Stick Traffic Cap</t>
  </si>
  <si>
    <t>s340054</t>
  </si>
  <si>
    <t>TP-250 Cap (4mm)</t>
  </si>
  <si>
    <t>s140017</t>
  </si>
  <si>
    <t>Mod-Bit Primer (18.93L)</t>
  </si>
  <si>
    <t>p282034</t>
  </si>
  <si>
    <t>IKO Millennium</t>
  </si>
  <si>
    <t>s160013</t>
  </si>
  <si>
    <t>WeatherKing Flood Coat (5gal)</t>
  </si>
  <si>
    <t>s769999</t>
  </si>
  <si>
    <t>Vapor Smart SA</t>
  </si>
  <si>
    <t>g4134</t>
  </si>
  <si>
    <t>2.5in. ISO Paper</t>
  </si>
  <si>
    <t>s320007</t>
  </si>
  <si>
    <t>Securock 3/8in.</t>
  </si>
  <si>
    <t>p110638</t>
  </si>
  <si>
    <t>Densdeck Primed 5/8in.</t>
  </si>
  <si>
    <t>p110958</t>
  </si>
  <si>
    <t>2-1 Soprasmart Board THERMO (3/16in.)</t>
  </si>
  <si>
    <t>c9980</t>
  </si>
  <si>
    <t>Std.Ctd Fiberboard 2x4 (1in.)</t>
  </si>
  <si>
    <t>p260512</t>
  </si>
  <si>
    <t>3/16in. ProtectoBase 180 3x8</t>
  </si>
  <si>
    <t>p260594</t>
  </si>
  <si>
    <t>s340062</t>
  </si>
  <si>
    <t>MP-180-FS Base 2.2mm</t>
  </si>
  <si>
    <t>s140025</t>
  </si>
  <si>
    <t>s340109</t>
  </si>
  <si>
    <t>TP-250 Cap (5mm)</t>
  </si>
  <si>
    <t>s140014</t>
  </si>
  <si>
    <t>s360013</t>
  </si>
  <si>
    <t>WeatherKing Flood Coat (54gal)</t>
  </si>
  <si>
    <t>s760026</t>
  </si>
  <si>
    <t>#15 Felt x 2</t>
  </si>
  <si>
    <t>p302001</t>
  </si>
  <si>
    <t>(N/A) 3in. ISO Paper</t>
  </si>
  <si>
    <t>Securock 5/8in.</t>
  </si>
  <si>
    <t>p110658</t>
  </si>
  <si>
    <t>2-1 Soprasmart Board SANDED (3/16in.)</t>
  </si>
  <si>
    <t>c9976</t>
  </si>
  <si>
    <t>p260505</t>
  </si>
  <si>
    <t>(N/A) 3/16in. ProtectoBase 180 Film</t>
  </si>
  <si>
    <t>Alsan RS 230 Flash Winter 7032</t>
  </si>
  <si>
    <t>s340063</t>
  </si>
  <si>
    <t>MP-180-FS Base 3mm</t>
  </si>
  <si>
    <t>s140026</t>
  </si>
  <si>
    <t>Sopraflash Flam Stick</t>
  </si>
  <si>
    <t>s340045</t>
  </si>
  <si>
    <t>Sopralene Flam 180 GR</t>
  </si>
  <si>
    <t>s340017</t>
  </si>
  <si>
    <t>s360009</t>
  </si>
  <si>
    <t>WeatherScreen 19L</t>
  </si>
  <si>
    <t>g7342-20</t>
  </si>
  <si>
    <t>MVP Sand</t>
  </si>
  <si>
    <t>s110112</t>
  </si>
  <si>
    <t>1in. ISO Glass</t>
  </si>
  <si>
    <t>s320016</t>
  </si>
  <si>
    <t>2-1 Soprasmart ISO HD (1/2in.)</t>
  </si>
  <si>
    <t>s330016</t>
  </si>
  <si>
    <t>MSL Std.Ctd Fiberboard 4x4 (1/2in.)</t>
  </si>
  <si>
    <t>s730013</t>
  </si>
  <si>
    <t>(N/A) 3/16in. ProtectoBase 180 Sanded</t>
  </si>
  <si>
    <t>TP-180-FF</t>
  </si>
  <si>
    <t>s140035</t>
  </si>
  <si>
    <t>Sopraflash Flam Stick WINTER</t>
  </si>
  <si>
    <t>s340046</t>
  </si>
  <si>
    <t>Sopralene Flam 250 GR</t>
  </si>
  <si>
    <t>s340015</t>
  </si>
  <si>
    <t>PA-828 (5gal)</t>
  </si>
  <si>
    <t>p920604</t>
  </si>
  <si>
    <t>WeatherScreen 205L</t>
  </si>
  <si>
    <t>g7342-205</t>
  </si>
  <si>
    <t>MVP 32m</t>
  </si>
  <si>
    <t>s110102</t>
  </si>
  <si>
    <t>1.5in. ISO Glass</t>
  </si>
  <si>
    <t>s320001</t>
  </si>
  <si>
    <t>2-1 Soprasmart ISO HD Sanded (1/2in.)</t>
  </si>
  <si>
    <t>c9978</t>
  </si>
  <si>
    <t>MSL Std.Ctd FIberboard 2X4 (1/2in.)</t>
  </si>
  <si>
    <t>s730010</t>
  </si>
  <si>
    <t>1/8in. Sopraboard</t>
  </si>
  <si>
    <t>s330004</t>
  </si>
  <si>
    <t>Sopralene 180 PS 3mm</t>
  </si>
  <si>
    <t>s340087</t>
  </si>
  <si>
    <t>Armourbond 180</t>
  </si>
  <si>
    <t>s140044</t>
  </si>
  <si>
    <t>Sopralene Flam 250 FR GR</t>
  </si>
  <si>
    <t>s340042</t>
  </si>
  <si>
    <t>PA-917 (5gal)</t>
  </si>
  <si>
    <t>p920603</t>
  </si>
  <si>
    <t>Kraft (N/A)</t>
  </si>
  <si>
    <t>s320002</t>
  </si>
  <si>
    <t>2-1 Soprasmart ISO HD Sanded (1/2in.) 3x16</t>
  </si>
  <si>
    <t>s330015</t>
  </si>
  <si>
    <t>1/4in. Sopraboard</t>
  </si>
  <si>
    <t>c8411</t>
  </si>
  <si>
    <t>Sopralene 180 SP 3.5mm</t>
  </si>
  <si>
    <t>s340115</t>
  </si>
  <si>
    <t>Armourbond Flash</t>
  </si>
  <si>
    <t>s140045</t>
  </si>
  <si>
    <t>Parafor 30 TG</t>
  </si>
  <si>
    <t>s240005</t>
  </si>
  <si>
    <t>Colply EF (5gal)</t>
  </si>
  <si>
    <t>s360028</t>
  </si>
  <si>
    <t>Poly CGSB UV (6 mil 10x100)</t>
  </si>
  <si>
    <t>s710023</t>
  </si>
  <si>
    <t>2.5in. ISO Glass</t>
  </si>
  <si>
    <t>s320019</t>
  </si>
  <si>
    <t>(N/A) 3-1 Soprasmart ISO HD (1/2in. + 3in. ISO)</t>
  </si>
  <si>
    <t>(N/A) 3/16in. Sopraboard</t>
  </si>
  <si>
    <t>Sopralene Flam 180</t>
  </si>
  <si>
    <t>s340014</t>
  </si>
  <si>
    <t>Armourbond Flash Sand</t>
  </si>
  <si>
    <t>s140046</t>
  </si>
  <si>
    <t>Parafor 50 TG</t>
  </si>
  <si>
    <t>s240006</t>
  </si>
  <si>
    <t>WeatherKing (5gal)</t>
  </si>
  <si>
    <t>Poly CGSB UV (6 mil 20x100)</t>
  </si>
  <si>
    <t>p272420</t>
  </si>
  <si>
    <t>3in. ISO Glass</t>
  </si>
  <si>
    <t>s320003</t>
  </si>
  <si>
    <t>Paradiene 20 TG</t>
  </si>
  <si>
    <t>p920401</t>
  </si>
  <si>
    <t>Armourbond Flash HD</t>
  </si>
  <si>
    <t>p910129</t>
  </si>
  <si>
    <t>Colply Traffic Cap</t>
  </si>
  <si>
    <t>s340104</t>
  </si>
  <si>
    <t>WeatherKing (54gal)</t>
  </si>
  <si>
    <t>3.5in. ISO Glass</t>
  </si>
  <si>
    <t>s320021</t>
  </si>
  <si>
    <t>Paradiene 20 HT TG</t>
  </si>
  <si>
    <t>p920410</t>
  </si>
  <si>
    <t>Paradiene 20 SA</t>
  </si>
  <si>
    <t>s240012</t>
  </si>
  <si>
    <t>SA Primer VOC</t>
  </si>
  <si>
    <t>g7630-20</t>
  </si>
  <si>
    <t>4in. ISO Glass</t>
  </si>
  <si>
    <t>s320026</t>
  </si>
  <si>
    <t>Sopraply Stick Duo</t>
  </si>
  <si>
    <t>Paradiene 20 TS SA</t>
  </si>
  <si>
    <t>p920403</t>
  </si>
  <si>
    <t>s340090</t>
  </si>
  <si>
    <t>Green-Lock Structural Adhesive</t>
  </si>
  <si>
    <t>g21338-blk</t>
  </si>
  <si>
    <t>(N/A) Tradesman</t>
  </si>
  <si>
    <t>1in. IKOTherm III</t>
  </si>
  <si>
    <t>s120045</t>
  </si>
  <si>
    <t>s340089</t>
  </si>
  <si>
    <t>Paradiene 20 EG SA</t>
  </si>
  <si>
    <t>s240013</t>
  </si>
  <si>
    <t>MP-180 Cap 3.5mm</t>
  </si>
  <si>
    <t>(N/A) Sopravap'r BLACK 36in.</t>
  </si>
  <si>
    <t>1.5in. IKOTherm III</t>
  </si>
  <si>
    <t>s120046</t>
  </si>
  <si>
    <t>Colply Base 410</t>
  </si>
  <si>
    <t>s340127</t>
  </si>
  <si>
    <t>StressPly IV Plus</t>
  </si>
  <si>
    <t>g4383</t>
  </si>
  <si>
    <t>(N/A) SAM Adhesive 3.5L</t>
  </si>
  <si>
    <t>2in. IKOTherm</t>
  </si>
  <si>
    <t>s120003</t>
  </si>
  <si>
    <t>Elastophene Flam 2.2mm</t>
  </si>
  <si>
    <t>s340012</t>
  </si>
  <si>
    <t>R-Mer Seal Self-adhered</t>
  </si>
  <si>
    <t>g4133</t>
  </si>
  <si>
    <t>StressPly Plus FR</t>
  </si>
  <si>
    <t>g4377</t>
  </si>
  <si>
    <t>(N/A) Standard Asphalt Primer (18.93L)</t>
  </si>
  <si>
    <t>2in. IKOTherm III</t>
  </si>
  <si>
    <t>s120047</t>
  </si>
  <si>
    <t>s340044</t>
  </si>
  <si>
    <t>VersiPly 40 Fiberglass Reinforced</t>
  </si>
  <si>
    <t>g4363-40</t>
  </si>
  <si>
    <t>(N/A) Elastocol Stick Aerosol (350g)</t>
  </si>
  <si>
    <t>3in. IKOTherm III</t>
  </si>
  <si>
    <t>s120048</t>
  </si>
  <si>
    <t>Elastophene 180 PS</t>
  </si>
  <si>
    <t>s340043</t>
  </si>
  <si>
    <t>(N/A) Sopraply Traffic Cap GR</t>
  </si>
  <si>
    <t>(N/A) Elastocol 500 Aerosol (350g)</t>
  </si>
  <si>
    <t>2.5in. IKOTherm III 4x8</t>
  </si>
  <si>
    <t>s120031</t>
  </si>
  <si>
    <t>Elastophene 180 Sanded</t>
  </si>
  <si>
    <t>s340001</t>
  </si>
  <si>
    <t>(N/A) Sopratack</t>
  </si>
  <si>
    <t>FlexBase 80 Fiberglass Reinforced</t>
  </si>
  <si>
    <t>g4143-80</t>
  </si>
  <si>
    <t>(N/A) TA-325 (5gal)</t>
  </si>
  <si>
    <t>HPR Torch Base Fiberglass Reinforced</t>
  </si>
  <si>
    <t>g4113</t>
  </si>
  <si>
    <t>StressBase 80 Dual</t>
  </si>
  <si>
    <t>g4411-80</t>
  </si>
  <si>
    <t>(N/A) MF-95-SS 2.5mm</t>
  </si>
  <si>
    <t>(N/A) MP-180-SS Base 2.5mm</t>
  </si>
  <si>
    <t>(N/A) TP-180-SF</t>
  </si>
  <si>
    <t>(N/A) Sopralene Flam 250</t>
  </si>
  <si>
    <t>60 mil Non-Reinforced</t>
  </si>
  <si>
    <t>p96|3</t>
  </si>
  <si>
    <t>1in.</t>
  </si>
  <si>
    <t>1in. Sopra XPS</t>
  </si>
  <si>
    <t>s320024</t>
  </si>
  <si>
    <t>Batt R12 (Johns Manville)</t>
  </si>
  <si>
    <t>s720006</t>
  </si>
  <si>
    <t>(N/A) Paradiene 20 TG F</t>
  </si>
  <si>
    <t>60 mil Reinforced</t>
  </si>
  <si>
    <t>1.5in.</t>
  </si>
  <si>
    <t>2in. Sopra XPS</t>
  </si>
  <si>
    <t>s320022</t>
  </si>
  <si>
    <t>Comfortbatt R14</t>
  </si>
  <si>
    <t>s720008</t>
  </si>
  <si>
    <t>(N/A) Colply Base 410 Flex</t>
  </si>
  <si>
    <t>45 mil Reinforced</t>
  </si>
  <si>
    <t>p96|42</t>
  </si>
  <si>
    <t>2in.</t>
  </si>
  <si>
    <t>3in. Sopra XPS</t>
  </si>
  <si>
    <t>s320017</t>
  </si>
  <si>
    <t>Comfortbatt R22</t>
  </si>
  <si>
    <t>s720007</t>
  </si>
  <si>
    <t>(N/A) Elastophene 180 PS DG</t>
  </si>
  <si>
    <t>2.5in.</t>
  </si>
  <si>
    <t>4in. Sopra XPS</t>
  </si>
  <si>
    <t>s320023</t>
  </si>
  <si>
    <t>Comfortbatt R24</t>
  </si>
  <si>
    <t>s720022</t>
  </si>
  <si>
    <t>(N/A) Elastophene Sanded</t>
  </si>
  <si>
    <t>3in.</t>
  </si>
  <si>
    <t>(N/A) Carlisle 0.045</t>
  </si>
  <si>
    <t>Carlisle 0.060</t>
  </si>
  <si>
    <t>p96|20</t>
  </si>
  <si>
    <t>Carlisle 0.080</t>
  </si>
  <si>
    <t>p96|24</t>
  </si>
  <si>
    <t>InnoviTPO 0.045</t>
  </si>
  <si>
    <t>r6000060</t>
  </si>
  <si>
    <t>InnoviTPO 0.060</t>
  </si>
  <si>
    <t>r6001060</t>
  </si>
  <si>
    <t>InnoviTPO 0.080</t>
  </si>
  <si>
    <t>r6002060</t>
  </si>
  <si>
    <t>s4520043</t>
  </si>
  <si>
    <t>Soffit Vinyl</t>
  </si>
  <si>
    <t>Piece</t>
  </si>
  <si>
    <t>Roofmart Alberta Inc</t>
  </si>
  <si>
    <t>Sage</t>
  </si>
  <si>
    <t>s140012</t>
  </si>
  <si>
    <t>TP-250 Cap Frostone Grey 8m 4.0mm</t>
  </si>
  <si>
    <t>RL</t>
  </si>
  <si>
    <t>Pro-Line Construction Materials Ltd</t>
  </si>
  <si>
    <t>s150001</t>
  </si>
  <si>
    <t>Cambridge Dual Black</t>
  </si>
  <si>
    <t>BD</t>
  </si>
  <si>
    <t>QXO Canada</t>
  </si>
  <si>
    <t>s2310004</t>
  </si>
  <si>
    <t>Drills various</t>
  </si>
  <si>
    <t>Spooner Trent</t>
  </si>
  <si>
    <t>s2320082</t>
  </si>
  <si>
    <t>Padlock various</t>
  </si>
  <si>
    <t>Dick's Lumber</t>
  </si>
  <si>
    <t>s2320087</t>
  </si>
  <si>
    <t>Scraper Lever Bar</t>
  </si>
  <si>
    <t>s2320102</t>
  </si>
  <si>
    <t>Hammer various</t>
  </si>
  <si>
    <t>Viktor Draiuk</t>
  </si>
  <si>
    <t>s2600024</t>
  </si>
  <si>
    <t>RV-28 Roof Jack</t>
  </si>
  <si>
    <t>s2700079</t>
  </si>
  <si>
    <t>Gutter and Downpipe Package</t>
  </si>
  <si>
    <t>Metal Works Canada Ltd</t>
  </si>
  <si>
    <t>s2810131</t>
  </si>
  <si>
    <t>Screws various</t>
  </si>
  <si>
    <t>Box</t>
  </si>
  <si>
    <t>Byron Gorieu</t>
  </si>
  <si>
    <t>s2830028</t>
  </si>
  <si>
    <t>Caulking Kwik Seal Clear (162ml)</t>
  </si>
  <si>
    <t>Tube</t>
  </si>
  <si>
    <t>s2840015</t>
  </si>
  <si>
    <t>Tiles Roof</t>
  </si>
  <si>
    <t>SopravapR</t>
  </si>
  <si>
    <t>Roll</t>
  </si>
  <si>
    <t>Convoy Supply Alberta Ltd</t>
  </si>
  <si>
    <t>SOPRA-ISO PLUS- 1.0inX4 X4</t>
  </si>
  <si>
    <t>Sheet</t>
  </si>
  <si>
    <t>s330020</t>
  </si>
  <si>
    <t>SECUROCK GYPSUM FBR 1/2inX4 X8</t>
  </si>
  <si>
    <t>Alsan RS 230 Flash</t>
  </si>
  <si>
    <t>18</t>
  </si>
  <si>
    <t>s340069</t>
  </si>
  <si>
    <t>Alsan RS Fleece 10.3'' x 165' Fleece</t>
  </si>
  <si>
    <t>100</t>
  </si>
  <si>
    <t>Sopraply Traffic Cap GR</t>
  </si>
  <si>
    <t>SOPRAPLY FLAM STICK</t>
  </si>
  <si>
    <t>s360002</t>
  </si>
  <si>
    <t>Alsan RS 276 Primer</t>
  </si>
  <si>
    <t>40</t>
  </si>
  <si>
    <t>s360003</t>
  </si>
  <si>
    <t>CATALYST FOR ALSAN RS .1KG</t>
  </si>
  <si>
    <t>Elastocol Stick 19L</t>
  </si>
  <si>
    <t>36</t>
  </si>
  <si>
    <t>Duotack Foamable Adhesive</t>
  </si>
  <si>
    <t>4</t>
  </si>
  <si>
    <t>s5500000</t>
  </si>
  <si>
    <t>Freight</t>
  </si>
  <si>
    <t>s730015</t>
  </si>
  <si>
    <t>Dens Deck Primed 5/8''x4x8</t>
  </si>
  <si>
    <t>s2330158</t>
  </si>
  <si>
    <t>Blade Reciprocal various</t>
  </si>
  <si>
    <t>Pack</t>
  </si>
  <si>
    <t>Calgary Fasteners &amp; Tools</t>
  </si>
  <si>
    <t>s2700035</t>
  </si>
  <si>
    <t>RD-24-RR RETROFIT-ALUM-3.75''</t>
  </si>
  <si>
    <t>1</t>
  </si>
  <si>
    <t>s730008</t>
  </si>
  <si>
    <t>Dens-Deck Prime 1/2in x 4 x 8 Roof Board</t>
  </si>
  <si>
    <t>SH</t>
  </si>
  <si>
    <t>IKOTherm III 1.5 Inch 4ft x 4ft</t>
  </si>
  <si>
    <t>s120060</t>
  </si>
  <si>
    <t>Posi-Slope Special Order</t>
  </si>
  <si>
    <t>Posislope West</t>
  </si>
  <si>
    <t>s2320002</t>
  </si>
  <si>
    <t>Trowel various</t>
  </si>
  <si>
    <t>EA</t>
  </si>
  <si>
    <t>White Cap (Brock White)</t>
  </si>
  <si>
    <t>s2330130</t>
  </si>
  <si>
    <t>Blade Circular Saw various</t>
  </si>
  <si>
    <t>s2700043</t>
  </si>
  <si>
    <t>U-Flow Seal 3in</t>
  </si>
  <si>
    <t>s2700044</t>
  </si>
  <si>
    <t>U-Flow Seal 4in</t>
  </si>
  <si>
    <t>s760014</t>
  </si>
  <si>
    <t>Sikabond 300ml</t>
  </si>
  <si>
    <t>s2210013</t>
  </si>
  <si>
    <t>Gloves</t>
  </si>
  <si>
    <t>s2330017</t>
  </si>
  <si>
    <t>Roller Frame</t>
  </si>
  <si>
    <t>s2330108</t>
  </si>
  <si>
    <t>Bit Extension various</t>
  </si>
  <si>
    <t>s2700029</t>
  </si>
  <si>
    <t>Blue Drain Seal 4 in - (Menzies-U-Flow)</t>
  </si>
  <si>
    <t>s2810041</t>
  </si>
  <si>
    <t>Bolts various</t>
  </si>
  <si>
    <t>s2810124</t>
  </si>
  <si>
    <t>Rivet various</t>
  </si>
  <si>
    <t>s2810150</t>
  </si>
  <si>
    <t>Washers various</t>
  </si>
  <si>
    <t>s2830010</t>
  </si>
  <si>
    <t>Mulco Supra Caulking Dark Brown 300ml</t>
  </si>
  <si>
    <t>TB</t>
  </si>
  <si>
    <t>s2830014</t>
  </si>
  <si>
    <t>Silicone Hi-Temp 300ml</t>
  </si>
  <si>
    <t>Poly CGSB 6 mil10x100</t>
  </si>
  <si>
    <t>s4530004</t>
  </si>
  <si>
    <t>24Ga Panel</t>
  </si>
  <si>
    <t>Trimet Building Products Inc</t>
  </si>
  <si>
    <t>s140001</t>
  </si>
  <si>
    <t>IKO MS Detail</t>
  </si>
  <si>
    <t>Sausage</t>
  </si>
  <si>
    <t>Spar-Marathon Roofing Supplies</t>
  </si>
  <si>
    <t>s660009</t>
  </si>
  <si>
    <t>Vulkem Primer 191</t>
  </si>
  <si>
    <t>Pail</t>
  </si>
  <si>
    <t>Cascade Aqua-Tech</t>
  </si>
  <si>
    <t>s760003</t>
  </si>
  <si>
    <t>Easymelt 200 Type III</t>
  </si>
  <si>
    <t>lb</t>
  </si>
  <si>
    <t>s320006</t>
  </si>
  <si>
    <t>SOP-ISO PLS TAP-X .5-1.5 4X4</t>
  </si>
  <si>
    <t>IKO MVP Sand</t>
  </si>
  <si>
    <t>Armourbond Flash  2.5mm x 15m</t>
  </si>
  <si>
    <t>s160004</t>
  </si>
  <si>
    <t>IKO SAM Adhesive 5GAL</t>
  </si>
  <si>
    <t>PL</t>
  </si>
  <si>
    <t>s2210001</t>
  </si>
  <si>
    <t>Gloves Nitrile - GLOVE XL 100PK GM NITRILE WG</t>
  </si>
  <si>
    <t>Princess Auto</t>
  </si>
  <si>
    <t>s2320063</t>
  </si>
  <si>
    <t>STRAP RATCHET 1X12 1200LB 4PK</t>
  </si>
  <si>
    <t>s2320160</t>
  </si>
  <si>
    <t>Mixer 16in Paint</t>
  </si>
  <si>
    <t>s2600075</t>
  </si>
  <si>
    <t>VENTILATOR TURBINE 6IN</t>
  </si>
  <si>
    <t>Grainger</t>
  </si>
  <si>
    <t>s2810148</t>
  </si>
  <si>
    <t>Anchors various</t>
  </si>
  <si>
    <t>s2320037</t>
  </si>
  <si>
    <t>Tape measure</t>
  </si>
  <si>
    <t>s2330088</t>
  </si>
  <si>
    <t>Blade Utility Knife various</t>
  </si>
  <si>
    <t>s2330144</t>
  </si>
  <si>
    <t>SOLDER WIRE</t>
  </si>
  <si>
    <t>s2700036</t>
  </si>
  <si>
    <t>RD-24-RR RETROFIT-ALUM-5.75''</t>
  </si>
  <si>
    <t>s2700045</t>
  </si>
  <si>
    <t>U-Flow Seal 6in</t>
  </si>
  <si>
    <t>s2840039</t>
  </si>
  <si>
    <t>Silica Sand 20/30 50lb/bag</t>
  </si>
  <si>
    <t>Bag</t>
  </si>
  <si>
    <t>s4510064</t>
  </si>
  <si>
    <t>24 Ga 4x10</t>
  </si>
  <si>
    <t>Cascadia Metals Ltd.</t>
  </si>
  <si>
    <t>s640021</t>
  </si>
  <si>
    <t>Vulkem 950 NF Grey 15.9 It/Kit c/w part B Aggregate Coat</t>
  </si>
  <si>
    <t>s710033</t>
  </si>
  <si>
    <t>Housewrap Tyvek 3x100</t>
  </si>
  <si>
    <t>s2310018</t>
  </si>
  <si>
    <t>Grinder - GRINDER ANG 4-1/2-5 18V SER# L64BR250507946</t>
  </si>
  <si>
    <t>s2310021</t>
  </si>
  <si>
    <t>Charger Battery</t>
  </si>
  <si>
    <t>s2310034</t>
  </si>
  <si>
    <t>Saw various - SAW RECIP 18V 1-1/4 STR</t>
  </si>
  <si>
    <t>s2700081</t>
  </si>
  <si>
    <t>ABS Elbow 45Deg 2"</t>
  </si>
  <si>
    <t>Andrew Sheret Limited</t>
  </si>
  <si>
    <t>s2700086</t>
  </si>
  <si>
    <t>ABS Coupling 2"</t>
  </si>
  <si>
    <t>s2700118</t>
  </si>
  <si>
    <t>ABS DWV WYE 4"</t>
  </si>
  <si>
    <t>SOPRAPLY STICK DUO-1MX10M</t>
  </si>
  <si>
    <t>s760012</t>
  </si>
  <si>
    <t>ABS Cement</t>
  </si>
  <si>
    <t>s1000014</t>
  </si>
  <si>
    <t>s150007</t>
  </si>
  <si>
    <t>Cambridge Charcoal Grey</t>
  </si>
  <si>
    <t>s2320110</t>
  </si>
  <si>
    <t>Squeegee - 26" EASY SQUEEGEE 15-20MIL BLADE</t>
  </si>
  <si>
    <t>s3510005</t>
  </si>
  <si>
    <t>SPF 2x12x12</t>
  </si>
  <si>
    <t>s3510021</t>
  </si>
  <si>
    <t>Ply SPR STD 3/8x4x8</t>
  </si>
  <si>
    <t>s120007</t>
  </si>
  <si>
    <t>IKOTherm 3.0 Inch  4ft x 4ft</t>
  </si>
  <si>
    <t>s120057</t>
  </si>
  <si>
    <t>IKOTherm III Tapered Type X-0.5in-1.5in</t>
  </si>
  <si>
    <t>MF-95 FS Base 2.2mm x 15M</t>
  </si>
  <si>
    <t>s2330135</t>
  </si>
  <si>
    <t>Blade Scraper</t>
  </si>
  <si>
    <t>s2810065</t>
  </si>
  <si>
    <t>Termination Bar 10'</t>
  </si>
  <si>
    <t>Each</t>
  </si>
  <si>
    <t>s4510089</t>
  </si>
  <si>
    <t>TPO COATED METAL 4'X10' GRAY</t>
  </si>
  <si>
    <t>s640009</t>
  </si>
  <si>
    <t>VULKEM 360NF BASE COAT</t>
  </si>
  <si>
    <t>PAIL</t>
  </si>
  <si>
    <t>s2210017</t>
  </si>
  <si>
    <t>Dustmask - RESPIRATOR N95 DISPOSABLE</t>
  </si>
  <si>
    <t>s2330020</t>
  </si>
  <si>
    <t>Chain various</t>
  </si>
  <si>
    <t>lin foot</t>
  </si>
  <si>
    <t>s2400014</t>
  </si>
  <si>
    <t>Cleaner TSP</t>
  </si>
  <si>
    <t>s3510001</t>
  </si>
  <si>
    <t>SPF 2x4x8</t>
  </si>
  <si>
    <t>s3510015</t>
  </si>
  <si>
    <t>Cant Strip 4x4</t>
  </si>
  <si>
    <t>s3510020</t>
  </si>
  <si>
    <t>4X8X1/2 STD FIR SHEATHING</t>
  </si>
  <si>
    <t>s720029</t>
  </si>
  <si>
    <t>INSUL JM R22 15"x5.5" 48.96sf R2257</t>
  </si>
  <si>
    <t>s2810152</t>
  </si>
  <si>
    <t>Clip Base Various - FIXED CLIP - 1.5"</t>
  </si>
  <si>
    <t>30</t>
  </si>
  <si>
    <t>Sopralene Flam 180 Gr</t>
  </si>
  <si>
    <t>Elastocol 500 19L</t>
  </si>
  <si>
    <t>s4510035</t>
  </si>
  <si>
    <t>22 Ga 4x10 Galvanized</t>
  </si>
  <si>
    <t>s4520089</t>
  </si>
  <si>
    <t>24GA 1" RIB x 20.25" Panel</t>
  </si>
  <si>
    <t>s640023</t>
  </si>
  <si>
    <t>CoverPro 2000 Synthetic Underlayment</t>
  </si>
  <si>
    <t>s760033</t>
  </si>
  <si>
    <t>Garland Flashing Bond</t>
  </si>
  <si>
    <t>Garland Canada Inc.</t>
  </si>
  <si>
    <t>s110113</t>
  </si>
  <si>
    <t>Stormshield 2sq Ice &amp; Water Protector</t>
  </si>
  <si>
    <t>s150036</t>
  </si>
  <si>
    <t>IKO Dynasty w Armourzone Granite Black</t>
  </si>
  <si>
    <t>s150037</t>
  </si>
  <si>
    <t>Hip &amp; Ridge 12 Granite Black/Dual Black</t>
  </si>
  <si>
    <t>s2320052</t>
  </si>
  <si>
    <t>Knife various- MULTI-TOOL BOSCH BLADE OSL134C-10 1-3/4" CARB</t>
  </si>
  <si>
    <t>s2700114</t>
  </si>
  <si>
    <t>6 PVC DWV Elbow 90</t>
  </si>
  <si>
    <t>s2820015</t>
  </si>
  <si>
    <t>Tape - TAPE SHEATHING RED CCMC APPROVED</t>
  </si>
  <si>
    <t>s2830027</t>
  </si>
  <si>
    <t>Adhesive Various - ADHESIVE CONSTRUC 2.5 OZ</t>
  </si>
  <si>
    <t>s2840008</t>
  </si>
  <si>
    <t>LP-200 WOVEN MEMBRANE</t>
  </si>
  <si>
    <t>s4520028</t>
  </si>
  <si>
    <t>Leading Edge Plus 123 Linear Feet</t>
  </si>
  <si>
    <t>s720030</t>
  </si>
  <si>
    <t>INSUL JM R20 15"x6" 78.33sf JUMBO</t>
  </si>
  <si>
    <t>s760035</t>
  </si>
  <si>
    <t>GORILLA GLUE SUPER (GEL)</t>
  </si>
  <si>
    <t>s2400005</t>
  </si>
  <si>
    <t>Rags White 20lb - RAG 15LB COLOUR FLEECE SHOP</t>
  </si>
  <si>
    <t>s2830011</t>
  </si>
  <si>
    <t>Mulco Supra Caulking Black 300ml</t>
  </si>
  <si>
    <t>s340068</t>
  </si>
  <si>
    <t>Alsan RS 41'' x 165' Fleece</t>
  </si>
  <si>
    <t>25</t>
  </si>
  <si>
    <t>s120043</t>
  </si>
  <si>
    <t>IKOTherm Tapered Type X-0.5in-1.5in-4x4</t>
  </si>
  <si>
    <t>s2830012</t>
  </si>
  <si>
    <t>Mulco Supra Caulking Translucent</t>
  </si>
  <si>
    <t>s4520088</t>
  </si>
  <si>
    <t>24GA 1" RIB x 15.75" Panel</t>
  </si>
  <si>
    <t>s110104</t>
  </si>
  <si>
    <t>Stormtite (Lined) IKO 48in x 250ft</t>
  </si>
  <si>
    <t>s150002</t>
  </si>
  <si>
    <t>Cambridge Dual Brown</t>
  </si>
  <si>
    <t>s150025</t>
  </si>
  <si>
    <t>Hip and Ridge Plus Driftwood</t>
  </si>
  <si>
    <t>s2330030</t>
  </si>
  <si>
    <t>Broom Heavy Sweep - BROOM CONTRACTOR 99958 RGH SRF</t>
  </si>
  <si>
    <t>s2330086</t>
  </si>
  <si>
    <t>Paint various - RUST PAINT BLACK S-GLOSS 946ML</t>
  </si>
  <si>
    <t>s2820006</t>
  </si>
  <si>
    <t>Tape Painter</t>
  </si>
  <si>
    <t>SOPRA-XPS 35 SL 2inX2ftX8ft</t>
  </si>
  <si>
    <t>s3510002</t>
  </si>
  <si>
    <t>SPF 2x6x8</t>
  </si>
  <si>
    <t>TP-180 FF Base 3.0mm x 10M</t>
  </si>
  <si>
    <t>s740053</t>
  </si>
  <si>
    <t>SENTRY ROOFNADO LAPLOCK PSU HT</t>
  </si>
  <si>
    <t>s2320059</t>
  </si>
  <si>
    <t>Bucket/Wringer 26P</t>
  </si>
  <si>
    <t>s2320167</t>
  </si>
  <si>
    <t>Handle Wood Various</t>
  </si>
  <si>
    <t>s2330040</t>
  </si>
  <si>
    <t>Broom Combo</t>
  </si>
  <si>
    <t>s2840054</t>
  </si>
  <si>
    <t>Pavers 600x600</t>
  </si>
  <si>
    <t>Danielle Ignacio</t>
  </si>
  <si>
    <t>s2810137</t>
  </si>
  <si>
    <t>Woodgrip Screws various</t>
  </si>
  <si>
    <t>s2830026</t>
  </si>
  <si>
    <t>SEALANT THERMOPLASIC CLR</t>
  </si>
  <si>
    <t>s4520079</t>
  </si>
  <si>
    <t>24GA CORRUGATED - TRIMET 3/4" RIB</t>
  </si>
  <si>
    <t>s710032</t>
  </si>
  <si>
    <t>Membrane 3015 6"-75' 3/3 Vapour Barrier</t>
  </si>
  <si>
    <t>s740052</t>
  </si>
  <si>
    <t>StressPly® Plus FR Mineral</t>
  </si>
  <si>
    <t>s4510006</t>
  </si>
  <si>
    <t>26 GA 4x8</t>
  </si>
  <si>
    <t>s4510059</t>
  </si>
  <si>
    <t>24 Ga 4x8</t>
  </si>
  <si>
    <t>s2210041</t>
  </si>
  <si>
    <t>Sash belt Traffic Reflective</t>
  </si>
  <si>
    <t>s2330054</t>
  </si>
  <si>
    <t>Brushes various - BRUSH FLOOR SCRUB C3040</t>
  </si>
  <si>
    <t>s2330171</t>
  </si>
  <si>
    <t>Drop Sheet Various - DROP SHEET 12x15' CANVAS SUPERTUFF 58903/4LCN</t>
  </si>
  <si>
    <t>2330171</t>
  </si>
  <si>
    <t>s2500001</t>
  </si>
  <si>
    <t>Garbage Bags</t>
  </si>
  <si>
    <t>s360005</t>
  </si>
  <si>
    <t>Alsan Flashing 3.78L</t>
  </si>
  <si>
    <t>150</t>
  </si>
  <si>
    <t>s4520030</t>
  </si>
  <si>
    <t>JH-Trm 5/4 Roughsawn 3.5 Midnight</t>
  </si>
  <si>
    <t>s750013</t>
  </si>
  <si>
    <t>JH-Pan CM 4x10 Arctic White</t>
  </si>
  <si>
    <t>Bdl</t>
  </si>
  <si>
    <t>s2330065</t>
  </si>
  <si>
    <t>POLY CLEAR LIGHT 8'6"x 59' / 500SF</t>
  </si>
  <si>
    <t>s2330172</t>
  </si>
  <si>
    <t>Scrub Pads Various</t>
  </si>
  <si>
    <t>s150035</t>
  </si>
  <si>
    <t>IKO Dynasty w Armourzone Driftshake</t>
  </si>
  <si>
    <t>s4510004</t>
  </si>
  <si>
    <t>26 GA 4x8 Galvanized</t>
  </si>
  <si>
    <t>s4510087</t>
  </si>
  <si>
    <t>24 Ga - SMP - 48" x 96" Sheets</t>
  </si>
  <si>
    <t>s26000141</t>
  </si>
  <si>
    <t>Master Flash-SQMaster Flash-SQ401BA #4 UniversalFit-2 3/4'' to 7''-Base 10'</t>
  </si>
  <si>
    <t>s740051</t>
  </si>
  <si>
    <t>MIRADRAIN 9000 DRAIN BOARD 6X50'</t>
  </si>
  <si>
    <t>s1000015</t>
  </si>
  <si>
    <t>Mastic- Pail</t>
  </si>
  <si>
    <t>s860005</t>
  </si>
  <si>
    <t>Roofcraft Roof and Found Coating 20L</t>
  </si>
  <si>
    <t>s2330128</t>
  </si>
  <si>
    <t>Roller Silicone</t>
  </si>
  <si>
    <t>s2330038</t>
  </si>
  <si>
    <t>ROPE various - TIE WIRE 16.5ga 300 FT/COIL</t>
  </si>
  <si>
    <t>s2840014</t>
  </si>
  <si>
    <t>Leak Stop</t>
  </si>
  <si>
    <t>s740050</t>
  </si>
  <si>
    <t>RC2200 5 GAL</t>
  </si>
  <si>
    <t>s2320026</t>
  </si>
  <si>
    <t>Adhesive Spreader</t>
  </si>
  <si>
    <t>s2330111</t>
  </si>
  <si>
    <t>Battery- ECONO-12V-DEEPCYLCE</t>
  </si>
  <si>
    <t>Interstate Batteries of Calgary D.O. Inc.</t>
  </si>
  <si>
    <t>s2320047</t>
  </si>
  <si>
    <t>Extension Cord various - CORD EXTENSION PRO GLO 12/3 x 50'/15m YEL TRI</t>
  </si>
  <si>
    <t>s710029</t>
  </si>
  <si>
    <t>GATORSHIELD FLOOR PROTECTION 38"x 100'</t>
  </si>
  <si>
    <t>s4510010</t>
  </si>
  <si>
    <t>24 GA 4x10 Galvanized</t>
  </si>
  <si>
    <t>s4510025</t>
  </si>
  <si>
    <t>24GA X48" G90 GR33 GALVANIZED SHEET</t>
  </si>
  <si>
    <t>MSL Fiberboard Std.Ctd 1/2in 4 X 4 Sheet</t>
  </si>
  <si>
    <t>s2400007</t>
  </si>
  <si>
    <t>Scrubbing Pads 3M 4/Pk Green</t>
  </si>
  <si>
    <t>s2600142</t>
  </si>
  <si>
    <t>Master Flash-SQ501BA #5 UniversalFit-4'' to 8 1/4''-Base 11''</t>
  </si>
  <si>
    <t>s2600143</t>
  </si>
  <si>
    <t>Master Flash-SQ401BA #3 UniversalFit-1/4'' to 5 3/4''-Base 8''</t>
  </si>
  <si>
    <t>s760034</t>
  </si>
  <si>
    <t>SolarSeal: - Color Tube: Clear</t>
  </si>
  <si>
    <t>s340128</t>
  </si>
  <si>
    <t>s340129</t>
  </si>
  <si>
    <t>LASTOBOND SHIELD HT</t>
  </si>
  <si>
    <t>s260027</t>
  </si>
  <si>
    <t>Sopramastic PF 2L</t>
  </si>
  <si>
    <t>s2700051</t>
  </si>
  <si>
    <t>Eavestrough</t>
  </si>
  <si>
    <t>s2700054</t>
  </si>
  <si>
    <t>Hangers</t>
  </si>
  <si>
    <t>s2810153</t>
  </si>
  <si>
    <t>HANGER RAFTER H1 AZ</t>
  </si>
  <si>
    <t>s2820012</t>
  </si>
  <si>
    <t>Tape Foil Backed</t>
  </si>
  <si>
    <t>s2830025</t>
  </si>
  <si>
    <t>Sealer Pocket</t>
  </si>
  <si>
    <t>s120058</t>
  </si>
  <si>
    <t>IKOTherm III Tapered Type Y-1.5in-2.5in</t>
  </si>
  <si>
    <t>s120059</t>
  </si>
  <si>
    <t>IKOTherm III Tapered Type Q-0.5in-2.5in</t>
  </si>
  <si>
    <t>s4520087</t>
  </si>
  <si>
    <t>Fascia 7 1/2in Ribbed Cactus</t>
  </si>
  <si>
    <t>s660015</t>
  </si>
  <si>
    <t>Trempro JS-773</t>
  </si>
  <si>
    <t>s2330170</t>
  </si>
  <si>
    <t>Floor Protection</t>
  </si>
  <si>
    <t>s4520082</t>
  </si>
  <si>
    <t>WF-636 ROOF DECK LAP A - 18GA GALVANIZED</t>
  </si>
  <si>
    <t>piece</t>
  </si>
  <si>
    <t>s2810121</t>
  </si>
  <si>
    <t>Fixed Clip various - Floating Clip</t>
  </si>
  <si>
    <t>s340118</t>
  </si>
  <si>
    <t>LASTOBOND STICK VP</t>
  </si>
  <si>
    <t>s4520086</t>
  </si>
  <si>
    <t>24 GA 1.5" RIB x 12.25" Panel</t>
  </si>
  <si>
    <t>each</t>
  </si>
  <si>
    <t>s2320086</t>
  </si>
  <si>
    <t>Sling Lifting - SLING CABLE 4FT w/O-RING AND LOCKING SNAP HOOK</t>
  </si>
  <si>
    <t>s2320164</t>
  </si>
  <si>
    <t>Plier various - PLIER HAND SEAMER FOLDING</t>
  </si>
  <si>
    <t>s2600139</t>
  </si>
  <si>
    <t>EVF-4A Aluminum Exhaust Vent</t>
  </si>
  <si>
    <t>s2220004</t>
  </si>
  <si>
    <t>Fire extinguisher supplies</t>
  </si>
  <si>
    <t>s233012</t>
  </si>
  <si>
    <t>Tape Electrical</t>
  </si>
  <si>
    <t>Jickson Racelis</t>
  </si>
  <si>
    <t>s2330153</t>
  </si>
  <si>
    <t>Measuring Cup</t>
  </si>
  <si>
    <t>Brian Crowder</t>
  </si>
  <si>
    <t>s2700133</t>
  </si>
  <si>
    <t>Flashing Ring</t>
  </si>
  <si>
    <t>s3510042</t>
  </si>
  <si>
    <t>2x6 x8 TREATED (MCA) MICRO PRO SIENNA - BROWN</t>
  </si>
  <si>
    <t>s720028</t>
  </si>
  <si>
    <t>INSUL JM R12 15"x3.5" 97.93sf. JUMBO</t>
  </si>
  <si>
    <t>s120055</t>
  </si>
  <si>
    <t>IKOTherm III Tapered Type B-1.5in-2.0in</t>
  </si>
  <si>
    <t>s2600020</t>
  </si>
  <si>
    <t>Duraflo 6050T Shake Vent</t>
  </si>
  <si>
    <t>s2810017</t>
  </si>
  <si>
    <t>Roofing Nail various - NAIL ROOF EG COIL 1-1/4"</t>
  </si>
  <si>
    <t>SOPRA-ISO 2.0inX4 X4</t>
  </si>
  <si>
    <t>s710030</t>
  </si>
  <si>
    <t>ANCHORDECK SYNTHETIC 10SQ</t>
  </si>
  <si>
    <t>s710031</t>
  </si>
  <si>
    <t>Resisto Ice and Water</t>
  </si>
  <si>
    <t>s750010</t>
  </si>
  <si>
    <t>PRO EDGE H&amp;R DRIFTWOOD</t>
  </si>
  <si>
    <t>s750011</t>
  </si>
  <si>
    <t>STARTER STRIP PLS</t>
  </si>
  <si>
    <t>s750012</t>
  </si>
  <si>
    <t>TRU DEF DESERT ROSE</t>
  </si>
  <si>
    <t>s4520083</t>
  </si>
  <si>
    <t>24ga 2'' Standing Seam - 18":40yr SMP Charcoal</t>
  </si>
  <si>
    <t>s4520084</t>
  </si>
  <si>
    <t>18ga Z-Girts: 2'' x 2'' x 2''</t>
  </si>
  <si>
    <t>s4520085</t>
  </si>
  <si>
    <t>Standing Seam 3/4" Clip</t>
  </si>
  <si>
    <t>s2210018</t>
  </si>
  <si>
    <t>Tie-Down Ratchet</t>
  </si>
  <si>
    <t>s2810141</t>
  </si>
  <si>
    <t>Screw Deck Zinc  various</t>
  </si>
  <si>
    <t>s2820003</t>
  </si>
  <si>
    <t>SOPRAGARD TAPE 65ft X 7in</t>
  </si>
  <si>
    <t>s340076</t>
  </si>
  <si>
    <t>Sopralap 13''</t>
  </si>
  <si>
    <t>75</t>
  </si>
  <si>
    <t>s4510088</t>
  </si>
  <si>
    <t>26 Ga - SMP - 48" x 96" Sheets</t>
  </si>
  <si>
    <t>Loha Metals Ltd.</t>
  </si>
  <si>
    <t>s160011</t>
  </si>
  <si>
    <t>IKO Spray Primer 482g</t>
  </si>
  <si>
    <t>s2210035</t>
  </si>
  <si>
    <t>BULK WEBBING,YELLOW,300 FT. L,2" W</t>
  </si>
  <si>
    <t>s4520029</t>
  </si>
  <si>
    <t>4 Panel Plain Soffit</t>
  </si>
  <si>
    <t>s2330090</t>
  </si>
  <si>
    <t>Blade Band various - BLADE SNAP 25MM</t>
  </si>
  <si>
    <t>s340077</t>
  </si>
  <si>
    <t>Sopralap Stick 13''</t>
  </si>
  <si>
    <t>90</t>
  </si>
  <si>
    <t>s740034</t>
  </si>
  <si>
    <t>UniBond ST - 6"</t>
  </si>
  <si>
    <t>s740044</t>
  </si>
  <si>
    <t>GarMesh 6"</t>
  </si>
  <si>
    <t>IKOTherm III 1.0 Inch  4ft x 4ft</t>
  </si>
  <si>
    <t>IKOTherm III 2.0 Inch  4ft x 4ft</t>
  </si>
  <si>
    <t>s120053</t>
  </si>
  <si>
    <t>IKOTherm III Tapered Type AA-0.5in-1.0in</t>
  </si>
  <si>
    <t>s2210030</t>
  </si>
  <si>
    <t>Hard Hat Type 1</t>
  </si>
  <si>
    <t>s2700025</t>
  </si>
  <si>
    <t>Thaler Aluminum Roof Drain -Actual 5 3/4</t>
  </si>
  <si>
    <t>s2210026</t>
  </si>
  <si>
    <t>Safety Glasses - GLASSES AMBIENT OTG GRY M</t>
  </si>
  <si>
    <t>s320004</t>
  </si>
  <si>
    <t>SOP-ISO PLS TAP-A 1-1.5 4x4</t>
  </si>
  <si>
    <t>s320005</t>
  </si>
  <si>
    <t>SOP-ISO PLS TAP-AA 0.5-1 4X4</t>
  </si>
  <si>
    <t>s320008</t>
  </si>
  <si>
    <t>SOP-ISO PLS TAP-Y 1.5-2.5 4X4</t>
  </si>
  <si>
    <t>SOPRA-ISO 1.5inX4 X4</t>
  </si>
  <si>
    <t>s320028</t>
  </si>
  <si>
    <t>SOP-ISO PLS TAP-B 1.5-2.0 4X4</t>
  </si>
  <si>
    <t>s330014</t>
  </si>
  <si>
    <t>2-1 SOPRASMART BOARD SANDED - 3/16inX3X8</t>
  </si>
  <si>
    <t>s750008</t>
  </si>
  <si>
    <t>Oakridge AR</t>
  </si>
  <si>
    <t>MF-95 SS Base 2.2mm x 15M</t>
  </si>
  <si>
    <t>s2320070</t>
  </si>
  <si>
    <t>Pail 5 Gallons - CUP 5QT PAINTMIX/MEASURE 00040</t>
  </si>
  <si>
    <t>s2810078</t>
  </si>
  <si>
    <t>STAPLES STANLEY 1/2" HD 1500PK TRA708TCS</t>
  </si>
  <si>
    <t>s340049</t>
  </si>
  <si>
    <t>Lastobond 195</t>
  </si>
  <si>
    <t>Alsan RS 230 Flash Winter 7032 (3)</t>
  </si>
  <si>
    <t>s710001</t>
  </si>
  <si>
    <t>Hal #15 Asphalt Felt, Perforated</t>
  </si>
  <si>
    <t>s730006</t>
  </si>
  <si>
    <t>Dens-Deck 1/2in x 4 x 8 Roof Board</t>
  </si>
  <si>
    <t>s740042</t>
  </si>
  <si>
    <t>StressBase® 80</t>
  </si>
  <si>
    <t>Weatherking (5gal)</t>
  </si>
  <si>
    <t>Weatherking (54gal)</t>
  </si>
  <si>
    <t>Drum</t>
  </si>
  <si>
    <t>s760029</t>
  </si>
  <si>
    <t>s760030</t>
  </si>
  <si>
    <t>Tuff-Stuff MS White</t>
  </si>
  <si>
    <t>Can</t>
  </si>
  <si>
    <t>s340070</t>
  </si>
  <si>
    <t>Alsan 4'' x 165' Fleece</t>
  </si>
  <si>
    <t>250</t>
  </si>
  <si>
    <t>s660008</t>
  </si>
  <si>
    <t>Dymonic FC Black</t>
  </si>
  <si>
    <t>s2840009</t>
  </si>
  <si>
    <t>Granules Soprema</t>
  </si>
  <si>
    <t>64</t>
  </si>
  <si>
    <t>Siplast Parafor 30 TG (1sq)</t>
  </si>
  <si>
    <t>s740037</t>
  </si>
  <si>
    <t>CPR Seam Sealer TG</t>
  </si>
  <si>
    <t>s2330168</t>
  </si>
  <si>
    <t>Leak Diverter</t>
  </si>
  <si>
    <t>ULine</t>
  </si>
  <si>
    <t>s2330169</t>
  </si>
  <si>
    <t>Bungee Cords</t>
  </si>
  <si>
    <t>s3510003</t>
  </si>
  <si>
    <t>SPF 2x4x10</t>
  </si>
  <si>
    <t>s3510006</t>
  </si>
  <si>
    <t>SPF 2x6x10</t>
  </si>
  <si>
    <t>s2310037</t>
  </si>
  <si>
    <t>LEISTER ELEMENT 100.702</t>
  </si>
  <si>
    <t>b300089.0</t>
  </si>
  <si>
    <t>CAR 060 FR NR EPDM 10X100 SURE-SEAL</t>
  </si>
  <si>
    <t>Beacon EPDM 2025</t>
  </si>
  <si>
    <t>b300090.0</t>
  </si>
  <si>
    <t>SOPRAFLASH FLAM STICK 1MX15M</t>
  </si>
  <si>
    <t>Beacon SBS 2025</t>
  </si>
  <si>
    <t>b300091.0</t>
  </si>
  <si>
    <t>SOP VAPOR R BASE SHEET 45" 5Sq</t>
  </si>
  <si>
    <t>b300092.0</t>
  </si>
  <si>
    <t>SOP ELASTOPHENE PS 1.5Sq</t>
  </si>
  <si>
    <t>b300093.0</t>
  </si>
  <si>
    <t>SOPRAFIX BASE (630) 1X10M</t>
  </si>
  <si>
    <t>b300094.0</t>
  </si>
  <si>
    <t>SOPRALENE FLAM 180</t>
  </si>
  <si>
    <t>b300095.0</t>
  </si>
  <si>
    <t>SOPRALENE FLAM 250 GREY 1X8</t>
  </si>
  <si>
    <t>b300096.0</t>
  </si>
  <si>
    <t>SOPRALAP FLAM/FLAM 13"X10M</t>
  </si>
  <si>
    <t>b300097.0</t>
  </si>
  <si>
    <t>SOPRAPLY STICK DUO 1MX10M,</t>
  </si>
  <si>
    <t>b300098.0</t>
  </si>
  <si>
    <t>SOP+ELASTOCOL 500 PRIMER</t>
  </si>
  <si>
    <t>b300099.0</t>
  </si>
  <si>
    <t>SOP 33# GRAY GRANULES G303</t>
  </si>
  <si>
    <t>b300100.0</t>
  </si>
  <si>
    <t>SOPRAGUARD TAPE CUT 6 - UNITY</t>
  </si>
  <si>
    <t>b300101.0</t>
  </si>
  <si>
    <t>SOP ALSAN FLASHING 5 GALLON</t>
  </si>
  <si>
    <t>b300102.0</t>
  </si>
  <si>
    <t>SOP ELASTOCOL STICK PRIMER 19L</t>
  </si>
  <si>
    <t>b300103.0</t>
  </si>
  <si>
    <t>2-1 SOPRASMART BOARD (3/16") 3'X8'</t>
  </si>
  <si>
    <t>SHT</t>
  </si>
  <si>
    <t>b300104.0</t>
  </si>
  <si>
    <t>SOP SOPRABOARD 1/8"X4X5</t>
  </si>
  <si>
    <t>PC</t>
  </si>
  <si>
    <t>b300105.0</t>
  </si>
  <si>
    <t>SOP DUOTACK FOAMABLE ADHESIVE (1500mL x 4/Box)</t>
  </si>
  <si>
    <t>CTN</t>
  </si>
  <si>
    <t>b300106.0</t>
  </si>
  <si>
    <t>SOPRAPLY TRAFFIC CAP GREY 1X8M</t>
  </si>
  <si>
    <t>b300107.0</t>
  </si>
  <si>
    <t>SOP ALSAN RS 230 FLASH SUM PGRY L-RS022S 2.6 GAL PEBBLE GRAY SUMMER</t>
  </si>
  <si>
    <t>b300108.0</t>
  </si>
  <si>
    <t>SOP SOPRALENE 180 PS 3.0MM 1SQ</t>
  </si>
  <si>
    <t>b300109.0</t>
  </si>
  <si>
    <t>SOP ELASTOPHENE SANDED 1.5 SQ</t>
  </si>
  <si>
    <t>b300110.0</t>
  </si>
  <si>
    <t>SOP PS BASE (510) 1MX15M,</t>
  </si>
  <si>
    <t>b300111.0</t>
  </si>
  <si>
    <t>SOPRALENE FLAM 250 FR LIGHT BLK</t>
  </si>
  <si>
    <t>b300112.0</t>
  </si>
  <si>
    <t>SOPRAPLY STICK TRAFFIC CAP GREY 1MX10M,</t>
  </si>
  <si>
    <t>b300113.0</t>
  </si>
  <si>
    <t>SOPRAMASTIC 10 L</t>
  </si>
  <si>
    <t>b300114.0</t>
  </si>
  <si>
    <t>SOPRAPLY FLAM STICK SUMMER 1MX10M,</t>
  </si>
  <si>
    <t>b300115.0</t>
  </si>
  <si>
    <t>SOP ELASTOPHENE 180 PS 1.5SQ</t>
  </si>
  <si>
    <t>b300116.0</t>
  </si>
  <si>
    <t>SOP SOPRABOARD 1/4"X4X5 PER PC</t>
  </si>
  <si>
    <t>b300199.0</t>
  </si>
  <si>
    <t>CAR EPDM PS INS/OUTSIDE CORNER SURE-SEAL</t>
  </si>
  <si>
    <t>b300465.0</t>
  </si>
  <si>
    <t>CAR EPDM SECURE TAPE 3"X100' SURE-SEAL</t>
  </si>
  <si>
    <t>b300474.0</t>
  </si>
  <si>
    <t>CAR 060 TPO FLASH 24"X50' W</t>
  </si>
  <si>
    <t>Beacon TPO 2025</t>
  </si>
  <si>
    <t>b300490.0</t>
  </si>
  <si>
    <t>CAR PS RUSS EPDM STRIP 6"X100' SURE-SEAL</t>
  </si>
  <si>
    <t>b302074.0</t>
  </si>
  <si>
    <t>CAR WEATHERED MEMB CLEANER 5G</t>
  </si>
  <si>
    <t>b302099.0</t>
  </si>
  <si>
    <t>CAR TPO BOND ADHESIVE 5G</t>
  </si>
  <si>
    <t>b302124.0</t>
  </si>
  <si>
    <t>CAR EPDM BONDING ADH 5G SURE-SEAL BONDING ADHEASIVE</t>
  </si>
  <si>
    <t>b302174.0</t>
  </si>
  <si>
    <t>CAR EPDM LAP SEALANT 10OZ BLACK SURE-SEAL</t>
  </si>
  <si>
    <t>b302281.0</t>
  </si>
  <si>
    <t>CAR EPDM PS OVRLYMNT STRP 9X100</t>
  </si>
  <si>
    <t>b302319.0</t>
  </si>
  <si>
    <t>CAR EPDM PS OVRLYMNT STRP 6X100</t>
  </si>
  <si>
    <t>b303100.0</t>
  </si>
  <si>
    <t>CAR EPDM PS T-JOINT 6" BLACK SURE-SEAL</t>
  </si>
  <si>
    <t>b303181.0</t>
  </si>
  <si>
    <t>CAR TPO CO METAL 24G 4X10 W</t>
  </si>
  <si>
    <t>b303436.0</t>
  </si>
  <si>
    <t>CAR TPO CLEAR CUT EDGE SEALANT</t>
  </si>
  <si>
    <t>BOT</t>
  </si>
  <si>
    <t>b304066.0</t>
  </si>
  <si>
    <t>CAR WEATHERED MEMB CLEANER 1G</t>
  </si>
  <si>
    <t>GAL</t>
  </si>
  <si>
    <t>b305363.0</t>
  </si>
  <si>
    <t>CCW 702 ADHESIVE 5G BLUE</t>
  </si>
  <si>
    <t>5GL</t>
  </si>
  <si>
    <t>b305442.0</t>
  </si>
  <si>
    <t>CAR PS TPO RUSS 10"X100 W</t>
  </si>
  <si>
    <t>b305723.0</t>
  </si>
  <si>
    <t>CAR EPDM PS UC 60 EL FL 12X50 SURE-SEAL UNCURED  ELASTOFORM FLASHING</t>
  </si>
  <si>
    <t>b307476.0</t>
  </si>
  <si>
    <t>CAR TPO T-JOINT COVER W</t>
  </si>
  <si>
    <t>b308701.0</t>
  </si>
  <si>
    <t>CAR EPDM PS CURED 60 CS 6X100</t>
  </si>
  <si>
    <t>b308839.0</t>
  </si>
  <si>
    <t>CAR EPDM PS CURED 60 CS 9X100</t>
  </si>
  <si>
    <t>b309750.0</t>
  </si>
  <si>
    <t>CAR PS EPDM M PIPE SEAL 1-6"</t>
  </si>
  <si>
    <t>b310131.0</t>
  </si>
  <si>
    <t>CAR UNIVERSL SINGLE-PLY SEALANT WHITE</t>
  </si>
  <si>
    <t>b310508.0</t>
  </si>
  <si>
    <t>CAR TPO WALKWAY ROLL 34"X50' W</t>
  </si>
  <si>
    <t>b316534.0</t>
  </si>
  <si>
    <t>CAR TPO MLD PIPE SEAL 3/4-8" WH</t>
  </si>
  <si>
    <t>b317316.0</t>
  </si>
  <si>
    <t>CAR TPO RHINO INSU PLATES 3"</t>
  </si>
  <si>
    <t>b317598.0</t>
  </si>
  <si>
    <t>CAR EPDM PS CURED 60 CS 12X50</t>
  </si>
  <si>
    <t>b317600.0</t>
  </si>
  <si>
    <t>CAR EPDM PS OVRLYMNT STRP 12X50</t>
  </si>
  <si>
    <t>b318070.0</t>
  </si>
  <si>
    <t>CAR TPO UNIVERSAL CORNER W</t>
  </si>
  <si>
    <t>b319621.0</t>
  </si>
  <si>
    <t>CAR WATER CUTOFF MASTIC</t>
  </si>
  <si>
    <t>b325721.0</t>
  </si>
  <si>
    <t>CAR PS TPO WARN STRP 6"X100'YLW</t>
  </si>
  <si>
    <t>b329902.0</t>
  </si>
  <si>
    <t>CAR CAV-GRP III 40#</t>
  </si>
  <si>
    <t>b330170.0</t>
  </si>
  <si>
    <t>CAR 725TR SA AIR/VAP 39"X100'</t>
  </si>
  <si>
    <t>b330930.0</t>
  </si>
  <si>
    <t>CAR 060 RE STD TPO 10X100 W</t>
  </si>
  <si>
    <t>b332683.0</t>
  </si>
  <si>
    <t>CAR HP 250 EPDM PRIMER 3G SURE-SEAL</t>
  </si>
  <si>
    <t>3GL</t>
  </si>
  <si>
    <t>c176</t>
  </si>
  <si>
    <t>SOPRAPLY FLAM STICK HI-1MX10M</t>
  </si>
  <si>
    <t>ROLL</t>
  </si>
  <si>
    <t>Convoy 2025</t>
  </si>
  <si>
    <t>c2030</t>
  </si>
  <si>
    <t>SOPRALENE FLAM 250-GREY</t>
  </si>
  <si>
    <t>c20799</t>
  </si>
  <si>
    <t>SOPRADRAIN ECO 5 6ftX65.6ft</t>
  </si>
  <si>
    <t>EACH</t>
  </si>
  <si>
    <t>c21046</t>
  </si>
  <si>
    <t>c211</t>
  </si>
  <si>
    <t>COLPLY BASE 410 10 X 1M</t>
  </si>
  <si>
    <t>c21150</t>
  </si>
  <si>
    <t>SOPRAFILTRE TX-80 3.5MX150M</t>
  </si>
  <si>
    <t>c21205</t>
  </si>
  <si>
    <t>COLPLY EF ADHESIVE-5 GAL</t>
  </si>
  <si>
    <t>c21960</t>
  </si>
  <si>
    <t>COLPLY EF FLASHING CEMENT ADHESIVE 13.25L</t>
  </si>
  <si>
    <t>c2533</t>
  </si>
  <si>
    <t>SOPRAPLY TRAFFIC CAP -GREY-1MX8M</t>
  </si>
  <si>
    <t>c2730</t>
  </si>
  <si>
    <t>COLPLY TRAFFIC CAP-GREY-1MX10M</t>
  </si>
  <si>
    <t>c30117</t>
  </si>
  <si>
    <t>DUOTACK FOAMABLE ADH -1500ML TUBE</t>
  </si>
  <si>
    <t>TUBE</t>
  </si>
  <si>
    <t>c30132</t>
  </si>
  <si>
    <t>DUOTACK CUBITAINER-PART A-18.9L</t>
  </si>
  <si>
    <t>c30133</t>
  </si>
  <si>
    <t>DUOTACK CUBITAINER-PART B-18.9L</t>
  </si>
  <si>
    <t>c30474</t>
  </si>
  <si>
    <t>ALSAN RS 230 FLASH SUMMER-MAMMOTH GREY-12KG (2.6GAL)(REPLACING L-RS022SC)</t>
  </si>
  <si>
    <t>c30478</t>
  </si>
  <si>
    <t>ALSAN RS 230 FIELD SUMMER-MAMMOTH GREY-20KG (16.1L)(REPLACING L-RS2302)</t>
  </si>
  <si>
    <t>c317</t>
  </si>
  <si>
    <t>c32800</t>
  </si>
  <si>
    <t>ALSAN FLASHING 19L</t>
  </si>
  <si>
    <t>c32825</t>
  </si>
  <si>
    <t>ALSAN FLASHING 3.78L</t>
  </si>
  <si>
    <t>c35738</t>
  </si>
  <si>
    <t>ELASTOCOL 500 (V2024) 19L</t>
  </si>
  <si>
    <t>c3630</t>
  </si>
  <si>
    <t>SOPRAPLY TRAFFIC CAP FR- GREY-1MX8M</t>
  </si>
  <si>
    <t>c37745</t>
  </si>
  <si>
    <t>ELASTOCOL STICK 19L</t>
  </si>
  <si>
    <t>c40419</t>
  </si>
  <si>
    <t>SOPRA-ISO PLUS-1.5inX4ftX4ft-20PSI</t>
  </si>
  <si>
    <t>c407</t>
  </si>
  <si>
    <t>SOPRAPLY TORCH BASE 520- 1X10M</t>
  </si>
  <si>
    <t>c45005</t>
  </si>
  <si>
    <t>SOPRA-XPS 35 SHIPLAP 2inX2ftX8ft</t>
  </si>
  <si>
    <t>c45006</t>
  </si>
  <si>
    <t>SOPRA-XPS 35 SHIPLAP 1.5inX2ftX8ft</t>
  </si>
  <si>
    <t>c45007</t>
  </si>
  <si>
    <t>SOPRA-XPS 35 SHIPLAP 3inX2ftX8ft</t>
  </si>
  <si>
    <t>c45008</t>
  </si>
  <si>
    <t>SOPRA-XPS 35 SHIPLAP 4inX2ftX8ft</t>
  </si>
  <si>
    <t>c460</t>
  </si>
  <si>
    <t>SOPRAFLASH FLAM STICK 15MX1M</t>
  </si>
  <si>
    <t>c510</t>
  </si>
  <si>
    <t>ELASTOPHENE 180 PS 1MX15M</t>
  </si>
  <si>
    <t>c57000</t>
  </si>
  <si>
    <t>SOPRADRAIN 10-G 6ftX50ft(SOPREMA VERSION)</t>
  </si>
  <si>
    <t>c57001</t>
  </si>
  <si>
    <t>SOPRADRAIN 15-G 6ftX50ft(SOPREMA VERSION)(WEST &amp; PRAIRIES)</t>
  </si>
  <si>
    <t>c57002</t>
  </si>
  <si>
    <t>SOPRADRAIN 18-G 6ftX50ft</t>
  </si>
  <si>
    <t>c80410</t>
  </si>
  <si>
    <t>SOPRALENE FLAM 180-1MX10M (REPLACES 00410)</t>
  </si>
  <si>
    <t>c80500</t>
  </si>
  <si>
    <t>ELASTOPHENE PS 1MX15M</t>
  </si>
  <si>
    <t>SOPRABOARD 14inX4ftX5ft</t>
  </si>
  <si>
    <t>2-1 SOPRASMART BOARD SANDED - 316inX3ftX8ft</t>
  </si>
  <si>
    <t>2-1 SOPRASMART ISO HD SANDED- 12inX3ftX8ft</t>
  </si>
  <si>
    <t>2-1 SOPRASMART BOARD THERMO- 316inX3ftX8ft</t>
  </si>
  <si>
    <t>c9981</t>
  </si>
  <si>
    <t>2-1 SOPRASMART ISO HD- 12inX3ftX8ft</t>
  </si>
  <si>
    <t>cDDP0508</t>
  </si>
  <si>
    <t>DENSDECK PRIME ROOF BOARD 12inX4ftX8ft</t>
  </si>
  <si>
    <t>cSPAC3</t>
  </si>
  <si>
    <t>SIMPLEX MELT ASPHALT 3</t>
  </si>
  <si>
    <t>cSR0508</t>
  </si>
  <si>
    <t>SECUROCK GYPSUM FIBER ROOF BOARD 12inX4ftX8ft (061052)</t>
  </si>
  <si>
    <t>cW955C1SP</t>
  </si>
  <si>
    <t>SOPRAFIBRE 1C 12inX4ftX4ft</t>
  </si>
  <si>
    <t>1/4"X4'X8' Securock Gypsum Fiber</t>
  </si>
  <si>
    <t>Proline 2025</t>
  </si>
  <si>
    <t>1/2"X4'X8' Securock Gypsum Fiber</t>
  </si>
  <si>
    <t>3/8"X4'X8' Securock Gypsum Fiber</t>
  </si>
  <si>
    <t>5/8"X4'X8' Securock Gypsum Fiber</t>
  </si>
  <si>
    <t>1/4"X4'X8' Densdeck Primed</t>
  </si>
  <si>
    <t>1/2"X4'X8' Densdeck Primed</t>
  </si>
  <si>
    <t>5/8"X4'X8' Densdeck Primed</t>
  </si>
  <si>
    <t>p174612</t>
  </si>
  <si>
    <t>Red Sheathing Tape</t>
  </si>
  <si>
    <t>p22|3</t>
  </si>
  <si>
    <t>Roxul Cavityrock</t>
  </si>
  <si>
    <t>MBF</t>
  </si>
  <si>
    <t>p251420</t>
  </si>
  <si>
    <t>2.0"X4'X4' Therm III ISO</t>
  </si>
  <si>
    <t>p257020</t>
  </si>
  <si>
    <t>Drainset AC3 1/2" - 1-1/2" 4'X4'</t>
  </si>
  <si>
    <t>p258320</t>
  </si>
  <si>
    <t>2.0"X4'X4' Secure Shield ISO</t>
  </si>
  <si>
    <t>p258430</t>
  </si>
  <si>
    <t>Target Sump X Secure Shield 8'X8'</t>
  </si>
  <si>
    <t>1/2"X2'X4' Standard Coated Fiberboard (96SF)</t>
  </si>
  <si>
    <t>p260503</t>
  </si>
  <si>
    <t>Fiber Cant Strip 4.0"X96'</t>
  </si>
  <si>
    <t>BX</t>
  </si>
  <si>
    <t>p260504</t>
  </si>
  <si>
    <t>1/2"X4'X8' Standard Coated Fiberbord</t>
  </si>
  <si>
    <t>1/2"X4'X4' Standard Coated Fiberboard</t>
  </si>
  <si>
    <t>7/16"X4'X8' Asphalt Fiberboard</t>
  </si>
  <si>
    <t>1"X2'X4' SL Standard Coated Fiberboard</t>
  </si>
  <si>
    <t>p260551</t>
  </si>
  <si>
    <t>BRD PROTECTO 990-31 4X3</t>
  </si>
  <si>
    <t>p260552</t>
  </si>
  <si>
    <t>1/8"X4'X5' Protecto Board</t>
  </si>
  <si>
    <t>p260553</t>
  </si>
  <si>
    <t>3/16"X4'X5' Protecto Board</t>
  </si>
  <si>
    <t>1/4"X4'X5' Protecto Board</t>
  </si>
  <si>
    <t>p260561</t>
  </si>
  <si>
    <t>1/2"X4'X8' IKO Covershield</t>
  </si>
  <si>
    <t>p260586</t>
  </si>
  <si>
    <t>IKO 6" Roof Tape</t>
  </si>
  <si>
    <t>p260587</t>
  </si>
  <si>
    <t>IKO TP-180-FF Tape 3.0mm (13"X10M)</t>
  </si>
  <si>
    <t>3/16"X3'X8' Protecto Base 180</t>
  </si>
  <si>
    <t>p260750</t>
  </si>
  <si>
    <t>LKME ULTIMATE THERMAL CLIP 1.5"</t>
  </si>
  <si>
    <t>p260751</t>
  </si>
  <si>
    <t>LKME ULTIMATE THERMAL CLIP 2"</t>
  </si>
  <si>
    <t>p260752</t>
  </si>
  <si>
    <t>LKME ULTIMATE THERMAL CLIP 2.5"</t>
  </si>
  <si>
    <t>p260753</t>
  </si>
  <si>
    <t>LKME ULTIMATE THERMAL CLIP 3"</t>
  </si>
  <si>
    <t>p260754</t>
  </si>
  <si>
    <t>LKME ULTIMATE THERMAL CLIP 3.5"</t>
  </si>
  <si>
    <t>p260755</t>
  </si>
  <si>
    <t>LKME ULTIMATE THERMAL CLIP 4"</t>
  </si>
  <si>
    <t>p260756</t>
  </si>
  <si>
    <t>LKME ULTIMATE THERMAL CLIP 4.5"</t>
  </si>
  <si>
    <t>p260757</t>
  </si>
  <si>
    <t>LKME ULTIMATE THERMAL CLIP 5"</t>
  </si>
  <si>
    <t>p260758</t>
  </si>
  <si>
    <t>LKME ULTIMATE THERMAL CLIP 5.5"</t>
  </si>
  <si>
    <t>p260759</t>
  </si>
  <si>
    <t>LKME ULTIMATE THERMAL CLIP 6"</t>
  </si>
  <si>
    <t>p260760</t>
  </si>
  <si>
    <t>LKME ULTIMATE THERMAL CLIP 6.5"</t>
  </si>
  <si>
    <t>p260761</t>
  </si>
  <si>
    <t>LKME ULTIMATE THERMAL CLIP 7"</t>
  </si>
  <si>
    <t>p260762</t>
  </si>
  <si>
    <t>LKME ULTIMATE THERMAL CLIP 7.5"</t>
  </si>
  <si>
    <t>p260763</t>
  </si>
  <si>
    <t>LKME ULTIMATE THERMAL CLIP 8"</t>
  </si>
  <si>
    <t>p260764</t>
  </si>
  <si>
    <t>LKME ULTIMATE THERMAL CLIP 8.5"</t>
  </si>
  <si>
    <t>p260765</t>
  </si>
  <si>
    <t>LKME ULTIMATE THERMAL CLIP 9"</t>
  </si>
  <si>
    <t>p260766</t>
  </si>
  <si>
    <t>LKME ULTIMATE THERMAL CLIP 9.5"</t>
  </si>
  <si>
    <t>p260767</t>
  </si>
  <si>
    <t>LKME ULTIMATE THERMAL CLIP 10"</t>
  </si>
  <si>
    <t>p260785</t>
  </si>
  <si>
    <t>LKME BCGC ADJUSTABLE CLIP</t>
  </si>
  <si>
    <t>p260790</t>
  </si>
  <si>
    <t>LKME SHIM HD 1/4" BLACK</t>
  </si>
  <si>
    <t>p260791</t>
  </si>
  <si>
    <t>LKME SHIM HD 1/8" BLUE</t>
  </si>
  <si>
    <t>p260792</t>
  </si>
  <si>
    <t>LKME SHIM HD 1/16" RED</t>
  </si>
  <si>
    <t>p270602</t>
  </si>
  <si>
    <t>IKO M.V.P. Vapor Barrier 1X32</t>
  </si>
  <si>
    <t>p270604</t>
  </si>
  <si>
    <t>IKO M.V.P. Sand Vapor Barrier (36"X80')</t>
  </si>
  <si>
    <t>p270622</t>
  </si>
  <si>
    <t>Laminate Vapor Barrier 96"X2000sf</t>
  </si>
  <si>
    <t>p270701</t>
  </si>
  <si>
    <t>Siplast SA Vapor Retarder (502.5SF)</t>
  </si>
  <si>
    <t>p271036</t>
  </si>
  <si>
    <t>Bakor Blueskin SA 36"X75'</t>
  </si>
  <si>
    <t>p271248</t>
  </si>
  <si>
    <t>Bakor Blueskin VP160 48"X100'</t>
  </si>
  <si>
    <t>20'X100' 6Mil CGSB UV Poly</t>
  </si>
  <si>
    <t>p273001</t>
  </si>
  <si>
    <t>Carlisle 725TR Vapor Barrier 39"X100'</t>
  </si>
  <si>
    <t>p273005</t>
  </si>
  <si>
    <t>Carlisle CCW702 Primer 5 Gallon</t>
  </si>
  <si>
    <t>p273007</t>
  </si>
  <si>
    <t>Cav-Grip III Cylinder</t>
  </si>
  <si>
    <t>p273008</t>
  </si>
  <si>
    <t>Cav-Grip UnTack Low VOC</t>
  </si>
  <si>
    <t>p273022</t>
  </si>
  <si>
    <t>20'X100' 10Mil CGSB UV Poly</t>
  </si>
  <si>
    <t>p280001</t>
  </si>
  <si>
    <t>Bakor 790-11 Hot Rubber</t>
  </si>
  <si>
    <t>LB</t>
  </si>
  <si>
    <t>p280103</t>
  </si>
  <si>
    <t>Bakor Polyfab 36"X600'</t>
  </si>
  <si>
    <t>p280111</t>
  </si>
  <si>
    <t>BAKOR 990-25 FLASH 6"X75'</t>
  </si>
  <si>
    <t>p280112</t>
  </si>
  <si>
    <t>BAKOR 990-25 FLASH 12"X75</t>
  </si>
  <si>
    <t>p280113</t>
  </si>
  <si>
    <t>BAKOR 990-25 FLASH 18"X75</t>
  </si>
  <si>
    <t>p280311</t>
  </si>
  <si>
    <t>Bakor DB2000 6'X50'</t>
  </si>
  <si>
    <t>p280312</t>
  </si>
  <si>
    <t>Bakor DB6000 6'X50'</t>
  </si>
  <si>
    <t>p280313</t>
  </si>
  <si>
    <t>Bakor DB6200 6'X50'</t>
  </si>
  <si>
    <t>p280314</t>
  </si>
  <si>
    <t>Bakor DB9000 6'X50'</t>
  </si>
  <si>
    <t>p280321</t>
  </si>
  <si>
    <t>Layfield LP 200 Filter Fabric 17.5'X309'</t>
  </si>
  <si>
    <t>p280331</t>
  </si>
  <si>
    <t>Bakor Blueskin WP200 36"X65'</t>
  </si>
  <si>
    <t>p282001</t>
  </si>
  <si>
    <t>Bakor 930-18 Primer 5 Gallon</t>
  </si>
  <si>
    <t>p282010</t>
  </si>
  <si>
    <t>Bakor Blueskin LVC Primer 28LB</t>
  </si>
  <si>
    <t>TK</t>
  </si>
  <si>
    <t>p282012</t>
  </si>
  <si>
    <t>Bakor Blueskin Primer 5 Gallon</t>
  </si>
  <si>
    <t>p282015</t>
  </si>
  <si>
    <t>PRIMER ASPH 910-01 5GAL</t>
  </si>
  <si>
    <t>p282032</t>
  </si>
  <si>
    <t>IKO S.A.M. Adhesive 5 Gallon</t>
  </si>
  <si>
    <t>p282033</t>
  </si>
  <si>
    <t>IKO Millennium Adhesive</t>
  </si>
  <si>
    <t>IKO Mod-Bit Primer 5 Gallon</t>
  </si>
  <si>
    <t>p282035</t>
  </si>
  <si>
    <t>IKO MS Detail 3.78L</t>
  </si>
  <si>
    <t>p282037</t>
  </si>
  <si>
    <t>IKO Aqua Barrier Primer 10KG</t>
  </si>
  <si>
    <t>p282081</t>
  </si>
  <si>
    <t>IKO MetaTech Flashing 10KG</t>
  </si>
  <si>
    <t>p282082</t>
  </si>
  <si>
    <t>IKO MetaTech Field 10KG</t>
  </si>
  <si>
    <t>p282083</t>
  </si>
  <si>
    <t>IKO MetaTech Porous Primer 10KG</t>
  </si>
  <si>
    <t>p282084</t>
  </si>
  <si>
    <t>IKO MetaTech Bitumen Primer 10KG</t>
  </si>
  <si>
    <t>p282085</t>
  </si>
  <si>
    <t>IKO MetaTech Perkadox Catalyst 100g</t>
  </si>
  <si>
    <t>BG</t>
  </si>
  <si>
    <t>p282086</t>
  </si>
  <si>
    <t>IKO MetaTech Field 20KG</t>
  </si>
  <si>
    <t>p282090</t>
  </si>
  <si>
    <t>IKO Polyester Fleece 39.4"X164'</t>
  </si>
  <si>
    <t>p282091</t>
  </si>
  <si>
    <t>IKO Polyester Fleece 9.85"X164'</t>
  </si>
  <si>
    <t>p283022</t>
  </si>
  <si>
    <t>ALL WEATHER 810-47 10L</t>
  </si>
  <si>
    <t>p284002</t>
  </si>
  <si>
    <t>Bakor 570-05 850ML</t>
  </si>
  <si>
    <t>p284003</t>
  </si>
  <si>
    <t>Bakor 570-05 10KG</t>
  </si>
  <si>
    <t>p290507</t>
  </si>
  <si>
    <t>Acoustical Sealant 825ml</t>
  </si>
  <si>
    <t>#15 Perforated Felt</t>
  </si>
  <si>
    <t>p302021</t>
  </si>
  <si>
    <t>IKO Type 3 Melt Packs</t>
  </si>
  <si>
    <t>p314148</t>
  </si>
  <si>
    <t>1/2"X4'X8' Secure Shield HD</t>
  </si>
  <si>
    <t>p314448</t>
  </si>
  <si>
    <t>p502004</t>
  </si>
  <si>
    <t>B-VENT FLAT HOT WELD 4"</t>
  </si>
  <si>
    <t>p502005</t>
  </si>
  <si>
    <t>B-VENT FLAT HOT WELD 5"</t>
  </si>
  <si>
    <t>p502006</t>
  </si>
  <si>
    <t>B-VENT FLAT HOT WELD 6"</t>
  </si>
  <si>
    <t>p502007</t>
  </si>
  <si>
    <t>B-VENT FLAT HOT WELD 7"</t>
  </si>
  <si>
    <t>p502008</t>
  </si>
  <si>
    <t>B-VENT FLAT HOT WELD 8"</t>
  </si>
  <si>
    <t>p502010</t>
  </si>
  <si>
    <t>B-VENT FLAT HOT WELD 10"</t>
  </si>
  <si>
    <t>p503004</t>
  </si>
  <si>
    <t>PRECISION B-VENT COLLARS 4"</t>
  </si>
  <si>
    <t>p503005</t>
  </si>
  <si>
    <t>PRECISION B-VENT COLLARS 5"</t>
  </si>
  <si>
    <t>p503006</t>
  </si>
  <si>
    <t>PRECISION B-VENT COLLARS 6"</t>
  </si>
  <si>
    <t>p503007</t>
  </si>
  <si>
    <t>PRECISION B-VENT COLLARS 7"</t>
  </si>
  <si>
    <t>p503008</t>
  </si>
  <si>
    <t>PRECISION B-VENT COLLARS 8"</t>
  </si>
  <si>
    <t>p503010</t>
  </si>
  <si>
    <t>PRECISION B-VENT COLLARS 10"</t>
  </si>
  <si>
    <t>p506808</t>
  </si>
  <si>
    <t>BUR VENT HOT WELD 8"X8"</t>
  </si>
  <si>
    <t>p506912</t>
  </si>
  <si>
    <t>BUR VENT HOT WELD 12"X12"</t>
  </si>
  <si>
    <t>p510102</t>
  </si>
  <si>
    <t>COPPER DRAIN HOT WELD 2"</t>
  </si>
  <si>
    <t>p510103</t>
  </si>
  <si>
    <t>COPPER DRAIN HOT WELD 3"</t>
  </si>
  <si>
    <t>p510212</t>
  </si>
  <si>
    <t>SPUN COP 2" ALUM STRAINER</t>
  </si>
  <si>
    <t>p510213</t>
  </si>
  <si>
    <t>SPUN COP 3" ALUM STRAINER</t>
  </si>
  <si>
    <t>p510214</t>
  </si>
  <si>
    <t>SPUN COP 4" ALUM STRAINERPRECISION</t>
  </si>
  <si>
    <t>p510403</t>
  </si>
  <si>
    <t>COPPER CLAMPTITE MENZ 3"</t>
  </si>
  <si>
    <t>p510404</t>
  </si>
  <si>
    <t>COPPER CLAMPTITE MENZ 4"</t>
  </si>
  <si>
    <t>p510502</t>
  </si>
  <si>
    <t>COPPER SCUPPER 2"</t>
  </si>
  <si>
    <t>p510503</t>
  </si>
  <si>
    <t>COPPER SCUPPER 3"</t>
  </si>
  <si>
    <t>p512103</t>
  </si>
  <si>
    <t>MENZIES BLUE SEAL 3"</t>
  </si>
  <si>
    <t>p512104</t>
  </si>
  <si>
    <t>MENZIES BLUE SEAL 4"</t>
  </si>
  <si>
    <t>p512106</t>
  </si>
  <si>
    <t>MENZIES BLUE SEAL 6"</t>
  </si>
  <si>
    <t>p512107</t>
  </si>
  <si>
    <t>BLUE SEAL SCREWDRIVER</t>
  </si>
  <si>
    <t>p513012</t>
  </si>
  <si>
    <t>PRECISION ALUMINUM STACK 1-1/4"</t>
  </si>
  <si>
    <t>p513015</t>
  </si>
  <si>
    <t>PRECISION ALUMINUM STACK 1-1/2"</t>
  </si>
  <si>
    <t>p513020</t>
  </si>
  <si>
    <t>PRECISION ALUMINUM STACK 2"</t>
  </si>
  <si>
    <t>p513030</t>
  </si>
  <si>
    <t>PRECISION ALUMINUM STACK 3"</t>
  </si>
  <si>
    <t>p513040</t>
  </si>
  <si>
    <t>PRECISION ALUMINUM STACK 4"</t>
  </si>
  <si>
    <t>p513212</t>
  </si>
  <si>
    <t>PRECISION VANDAL PROOF CAP 1-1/4"</t>
  </si>
  <si>
    <t>p513215</t>
  </si>
  <si>
    <t>PRECISION VANDAL PROOF CAP 1-1/2"</t>
  </si>
  <si>
    <t>p513220</t>
  </si>
  <si>
    <t>PRECISION VANDAL PROOF CAP 2"</t>
  </si>
  <si>
    <t>p513230</t>
  </si>
  <si>
    <t>PRECISION VANDAL PROOF CAP 3"</t>
  </si>
  <si>
    <t>p513240</t>
  </si>
  <si>
    <t>PRECISION VANDAL PROOF CAP 4"</t>
  </si>
  <si>
    <t>p608100</t>
  </si>
  <si>
    <t>NAIL ROUND TOP 1"</t>
  </si>
  <si>
    <t>BOX</t>
  </si>
  <si>
    <t>p608125</t>
  </si>
  <si>
    <t>NAIL ROUND TOP 1</t>
  </si>
  <si>
    <t>p624020</t>
  </si>
  <si>
    <t>Plate Barbed Seam 2.0" MPB-2000 (1M)</t>
  </si>
  <si>
    <t>p624021</t>
  </si>
  <si>
    <t>Plate Metal Barbed Seam 2.4" (1M)</t>
  </si>
  <si>
    <t>p624030</t>
  </si>
  <si>
    <t>Plate Insulation MP-3000 3.0" (1M)</t>
  </si>
  <si>
    <t>p624120</t>
  </si>
  <si>
    <t>Plate Metal Seam 2.0" MP-2000 (1M)</t>
  </si>
  <si>
    <t>p626015</t>
  </si>
  <si>
    <t>Fastener #14 Heavy Duty Drill Point 1.5" (1M)</t>
  </si>
  <si>
    <t>p626020</t>
  </si>
  <si>
    <t>Fastener #14 Heavy Duty Drill Point 2.0" (1M)</t>
  </si>
  <si>
    <t>p626025</t>
  </si>
  <si>
    <t>Fastener #14 Heavy Duty Drill Point 2.5" (1M)</t>
  </si>
  <si>
    <t>p626030</t>
  </si>
  <si>
    <t>Fastener #14 Heavy Duty Drill Point 3.0" (1M)</t>
  </si>
  <si>
    <t>p626040</t>
  </si>
  <si>
    <t>Fastener #14 Heavy Duty Drill Point 4.0" (1M)</t>
  </si>
  <si>
    <t>p626050</t>
  </si>
  <si>
    <t>Fastener #14 Heavy Duty Drill Point 5.0" (1M)</t>
  </si>
  <si>
    <t>p626060</t>
  </si>
  <si>
    <t>Fastener #14 Heavy Duty Drill Point 6.0" (1M)</t>
  </si>
  <si>
    <t>p626070</t>
  </si>
  <si>
    <t>Fastener #14 Heavy Duty Drill Point 7.0" (5C)</t>
  </si>
  <si>
    <t>p626080</t>
  </si>
  <si>
    <t>Fastener #14 Heavy Duty Drill Point 8.0" (5C)</t>
  </si>
  <si>
    <t>p626090</t>
  </si>
  <si>
    <t>Fastener #14 Heavy Duty Drill Point 9.0" (250)</t>
  </si>
  <si>
    <t>p626100</t>
  </si>
  <si>
    <t>Fastener #14 Heavy Duty Drill Point 10.0" (250)</t>
  </si>
  <si>
    <t>p626110</t>
  </si>
  <si>
    <t>Fastener #14 Heavy Duty Drill Point 11.0" (250)</t>
  </si>
  <si>
    <t>p626120</t>
  </si>
  <si>
    <t>Fastener #14 Heavy Duty Drill Point 12.0" (250)</t>
  </si>
  <si>
    <t>p628001</t>
  </si>
  <si>
    <t>Plates Insulation 3.0" (1M)</t>
  </si>
  <si>
    <t>p628002</t>
  </si>
  <si>
    <t>Plates Seam Fasten 2.0" (1M)</t>
  </si>
  <si>
    <t>p628010</t>
  </si>
  <si>
    <t>Plates Piranha 2-3/8" (1M)</t>
  </si>
  <si>
    <t>p628011</t>
  </si>
  <si>
    <t>Plates Rhinobond TPO (5C)</t>
  </si>
  <si>
    <t>p628012</t>
  </si>
  <si>
    <t>Plates Rhinobond PVC (5C)</t>
  </si>
  <si>
    <t>p628013</t>
  </si>
  <si>
    <t>Plate Seam Polymer 2.0" (1M)</t>
  </si>
  <si>
    <t>p628101</t>
  </si>
  <si>
    <t>Fastener HP 1-1/4" (1M)</t>
  </si>
  <si>
    <t>p628102</t>
  </si>
  <si>
    <t>Fastener HP 2" (1M)</t>
  </si>
  <si>
    <t>p628103</t>
  </si>
  <si>
    <t>Fastener HP 3" (1M)</t>
  </si>
  <si>
    <t>p628104</t>
  </si>
  <si>
    <t>Fastener HP 4" (1M)</t>
  </si>
  <si>
    <t>p628105</t>
  </si>
  <si>
    <t>Fastener HP 5" (1M)</t>
  </si>
  <si>
    <t>p628106</t>
  </si>
  <si>
    <t>Fastener HP 6" (1M)</t>
  </si>
  <si>
    <t>p628107</t>
  </si>
  <si>
    <t>Fastener HP 7" (5C)</t>
  </si>
  <si>
    <t>p628108</t>
  </si>
  <si>
    <t>Fastener HP 8" (5C)</t>
  </si>
  <si>
    <t>p628109</t>
  </si>
  <si>
    <t>Fastener HP 9" (5C)</t>
  </si>
  <si>
    <t>p628110</t>
  </si>
  <si>
    <t>Fastener HP 10" (5C)</t>
  </si>
  <si>
    <t>p628111</t>
  </si>
  <si>
    <t>Fastener HP 11" (5C)</t>
  </si>
  <si>
    <t>p628112</t>
  </si>
  <si>
    <t>Fastener HP 12" (5C)</t>
  </si>
  <si>
    <t>p628113</t>
  </si>
  <si>
    <t>Fastener HP 13" 250/PL</t>
  </si>
  <si>
    <t>p628114</t>
  </si>
  <si>
    <t>Fastener HP 14" 250/PL</t>
  </si>
  <si>
    <t>p628115</t>
  </si>
  <si>
    <t>Fastener HP 15" 250/PL</t>
  </si>
  <si>
    <t>p628202</t>
  </si>
  <si>
    <t>Fastener HPX 2" (1M)</t>
  </si>
  <si>
    <t>p628203</t>
  </si>
  <si>
    <t>Fastener HPX 3" (1M)</t>
  </si>
  <si>
    <t>p628204</t>
  </si>
  <si>
    <t>Fastener HPX 4" (1M)</t>
  </si>
  <si>
    <t>p628205</t>
  </si>
  <si>
    <t>Fastener HPX 5" (5C)</t>
  </si>
  <si>
    <t>p628206</t>
  </si>
  <si>
    <t>Fastener HPX 6" (5C)</t>
  </si>
  <si>
    <t>p628207</t>
  </si>
  <si>
    <t>Fastener HPX 7" (5C)</t>
  </si>
  <si>
    <t>p628208</t>
  </si>
  <si>
    <t>Fastener HPX 8" (5C)</t>
  </si>
  <si>
    <t>p628209</t>
  </si>
  <si>
    <t>Fastener HPX 9" (5C)</t>
  </si>
  <si>
    <t>p628210</t>
  </si>
  <si>
    <t>Fastener HPX 10" (5C)</t>
  </si>
  <si>
    <t>p628212</t>
  </si>
  <si>
    <t>Fastener HPX 12" (5C)</t>
  </si>
  <si>
    <t>p628214</t>
  </si>
  <si>
    <t>Fastener HPX 14" 250/PL</t>
  </si>
  <si>
    <t>p628216</t>
  </si>
  <si>
    <t>Fastener HPX 16" 250/PL</t>
  </si>
  <si>
    <t>p628218</t>
  </si>
  <si>
    <t>Fastener HPX 18" 250/PL</t>
  </si>
  <si>
    <t>p628220</t>
  </si>
  <si>
    <t>Fastener HPX 20" 250/PL</t>
  </si>
  <si>
    <t>p628800</t>
  </si>
  <si>
    <t>Parafast Fastener #14X1-1/4" (1M)</t>
  </si>
  <si>
    <t>p628801</t>
  </si>
  <si>
    <t>Parafast Fastener #14X1-3/4" (1M)</t>
  </si>
  <si>
    <t>p628802</t>
  </si>
  <si>
    <t>Parafast Fastener #14X2" (1M)</t>
  </si>
  <si>
    <t>p628803</t>
  </si>
  <si>
    <t>Parafast Fastener #14X3" (1M)</t>
  </si>
  <si>
    <t>p628804</t>
  </si>
  <si>
    <t>Parafast Fastener #14X4" (1M)</t>
  </si>
  <si>
    <t>p628805</t>
  </si>
  <si>
    <t>Parafast Fastener #14X5" (5C)</t>
  </si>
  <si>
    <t>p628806</t>
  </si>
  <si>
    <t>Parafast Fastener #14X6" (5C)</t>
  </si>
  <si>
    <t>p628807</t>
  </si>
  <si>
    <t>Parafast Fastener #14X7" (5C)</t>
  </si>
  <si>
    <t>p628808</t>
  </si>
  <si>
    <t>Parafast Fastener #14X8" (5C)</t>
  </si>
  <si>
    <t>p628809</t>
  </si>
  <si>
    <t>Parafast Fastener #14X9" (5C)</t>
  </si>
  <si>
    <t>p628810</t>
  </si>
  <si>
    <t>Parafast Fastener #14X10" (5C)</t>
  </si>
  <si>
    <t>p628811</t>
  </si>
  <si>
    <t>Parafast Fastener #14X11" (5C)</t>
  </si>
  <si>
    <t>p628812</t>
  </si>
  <si>
    <t>Parafast Fastener #14X12" (250)</t>
  </si>
  <si>
    <t>p628814</t>
  </si>
  <si>
    <t>Parafast Fastener #14X14" (250)</t>
  </si>
  <si>
    <t>p628816</t>
  </si>
  <si>
    <t>Parafast Fastener #14X16" (250)</t>
  </si>
  <si>
    <t>p650230</t>
  </si>
  <si>
    <t>FIXED PEDESTAL HD50-316</t>
  </si>
  <si>
    <t>p651001</t>
  </si>
  <si>
    <t>Cortez Natural 2.0"X24"X24"</t>
  </si>
  <si>
    <t>p651006</t>
  </si>
  <si>
    <t>Plain Grey Pavers 600X600</t>
  </si>
  <si>
    <t>p651102</t>
  </si>
  <si>
    <t>Texada Natural 2.0"X24"X24"</t>
  </si>
  <si>
    <t>p651201</t>
  </si>
  <si>
    <t>Rubber Pedestals 1/2"X6"X6"</t>
  </si>
  <si>
    <t>p651401</t>
  </si>
  <si>
    <t>BISON ADJ PEDESTAL V1</t>
  </si>
  <si>
    <t>p651402</t>
  </si>
  <si>
    <t>BISON ADJ PEDESTAL V2</t>
  </si>
  <si>
    <t>p651403</t>
  </si>
  <si>
    <t>BISON ADJ PEDESTAL V3</t>
  </si>
  <si>
    <t>p651404</t>
  </si>
  <si>
    <t>BISON ADJ PEDESTAL V4</t>
  </si>
  <si>
    <t>p651501</t>
  </si>
  <si>
    <t>LOW PEDESTAL LO-316</t>
  </si>
  <si>
    <t>p651502</t>
  </si>
  <si>
    <t>FIXED PEDESTAL HD25-316</t>
  </si>
  <si>
    <t>p651504</t>
  </si>
  <si>
    <t>FIXED PEDESTAL HD75-316</t>
  </si>
  <si>
    <t>p651601</t>
  </si>
  <si>
    <t>B11 RUBBER SHIM 1/16"</t>
  </si>
  <si>
    <t>p651602</t>
  </si>
  <si>
    <t>PS1 PLASTIC SHIM 1/8"</t>
  </si>
  <si>
    <t>p651603</t>
  </si>
  <si>
    <t>FS1 FASTENING KIT</t>
  </si>
  <si>
    <t>p651604</t>
  </si>
  <si>
    <t>VC2 QUICK CLIP COUPLER</t>
  </si>
  <si>
    <t>p651605</t>
  </si>
  <si>
    <t>LT316 LEVEL-IT 3/16" TAB SET</t>
  </si>
  <si>
    <t>p651607</t>
  </si>
  <si>
    <t>VT316 ULTRA LOW TAB 3/16"</t>
  </si>
  <si>
    <t>p651608</t>
  </si>
  <si>
    <t>JT - JOIST TOP ADJUSTMENT</t>
  </si>
  <si>
    <t>p651609</t>
  </si>
  <si>
    <t>LD4 BOTTOM LEVELER</t>
  </si>
  <si>
    <t>p776949</t>
  </si>
  <si>
    <t>Cav-Grip Gun with Extension</t>
  </si>
  <si>
    <t>p776953</t>
  </si>
  <si>
    <t>Cav-Grip Hose 18'</t>
  </si>
  <si>
    <t>p903311</t>
  </si>
  <si>
    <t>Bakor Blueskin RF200 36"X65'</t>
  </si>
  <si>
    <t>p903312</t>
  </si>
  <si>
    <t>Bakor Blueskin PE200HT 36"X65'</t>
  </si>
  <si>
    <t>p91|6</t>
  </si>
  <si>
    <t>TP-250 Cap 4.0mm (1X8M)</t>
  </si>
  <si>
    <t>p91|7</t>
  </si>
  <si>
    <t>TP-250 Prevent Cap 4.0mm (1X8M)</t>
  </si>
  <si>
    <t>p91|8</t>
  </si>
  <si>
    <t>TP-HD Cap 4.0mm (1X8M)</t>
  </si>
  <si>
    <t>p91|9</t>
  </si>
  <si>
    <t>TP-HD Prevent Cap 4.0mm (1X8M)</t>
  </si>
  <si>
    <t>p910105</t>
  </si>
  <si>
    <t>TP-180-FF Base 3.0mm (1X10M)</t>
  </si>
  <si>
    <t>p910109</t>
  </si>
  <si>
    <t>IKO Armourbond Flash (1X15M)</t>
  </si>
  <si>
    <t>p910110</t>
  </si>
  <si>
    <t>IKO Armourbond 180 (1X10M)</t>
  </si>
  <si>
    <t>IKO Armourbond Flash HD (1X15M)</t>
  </si>
  <si>
    <t>p910131</t>
  </si>
  <si>
    <t>TP-HD-FF Base 4.0mm (1X10M)</t>
  </si>
  <si>
    <t>p910132</t>
  </si>
  <si>
    <t>IKO Armourstick HD Base (1X10M)</t>
  </si>
  <si>
    <t>p910301</t>
  </si>
  <si>
    <t>IKO Granules Armourcool 10KG</t>
  </si>
  <si>
    <t>p910302</t>
  </si>
  <si>
    <t>IKO Granules 15KG</t>
  </si>
  <si>
    <t>Siplast Paradiene 20 TG (1X10M)</t>
  </si>
  <si>
    <t>Siplast Paradiene 20 TS SA (1X10M)</t>
  </si>
  <si>
    <t>p920404</t>
  </si>
  <si>
    <t>Siplast Paradiene 20 SA (1X10M)</t>
  </si>
  <si>
    <t>p920405</t>
  </si>
  <si>
    <t>Siplast Paradiene 20 EG SA (1X10M)</t>
  </si>
  <si>
    <t>p920406</t>
  </si>
  <si>
    <t>Siplast Paradiene 20HT TG (1X10M)</t>
  </si>
  <si>
    <t>p920408</t>
  </si>
  <si>
    <t>Siplast IREX 40 (1X10M)</t>
  </si>
  <si>
    <t>p920409</t>
  </si>
  <si>
    <t>Siplast Paradiene 20 (1X15M)</t>
  </si>
  <si>
    <t>Siplast Paradiene 20 HT (1X15M)</t>
  </si>
  <si>
    <t>p920502</t>
  </si>
  <si>
    <t>Siplast Parafor 50 TG (1MX7.8M)</t>
  </si>
  <si>
    <t>p920503</t>
  </si>
  <si>
    <t>Siplast Parafor 30 (1X10M)</t>
  </si>
  <si>
    <t>p920504</t>
  </si>
  <si>
    <t>Siplast Teranap Sand (1X7.9M)</t>
  </si>
  <si>
    <t>p920505</t>
  </si>
  <si>
    <t>Siplast Paratread (50SF)</t>
  </si>
  <si>
    <t>p920511</t>
  </si>
  <si>
    <t>Siplast Parafor 30 TG (1X8M)</t>
  </si>
  <si>
    <t>p920520</t>
  </si>
  <si>
    <t>Siplast Parafor 30 SA</t>
  </si>
  <si>
    <t>p920602</t>
  </si>
  <si>
    <t>Siplast Plastic Cement PA-1021 5 Gallon</t>
  </si>
  <si>
    <t>Siplast PA-917 Primer 5 Gallon</t>
  </si>
  <si>
    <t>Siplast PA-828 Flashing Cement 5 Gallon</t>
  </si>
  <si>
    <t>p920605</t>
  </si>
  <si>
    <t>Siplast PA-311 R Adheisve 5 Gallon</t>
  </si>
  <si>
    <t>p920606</t>
  </si>
  <si>
    <t>TA 325 Primer 5 Gallon</t>
  </si>
  <si>
    <t>p920609</t>
  </si>
  <si>
    <t>Siplast Granules 5 Gallon</t>
  </si>
  <si>
    <t>p920610</t>
  </si>
  <si>
    <t>Siplast PS-209 Elastomeric Sealant 300ml</t>
  </si>
  <si>
    <t>p920611</t>
  </si>
  <si>
    <t>Siplast PS-715 NS Elastomeric Sealant 300ml</t>
  </si>
  <si>
    <t>p920612</t>
  </si>
  <si>
    <t>Siplast Parapro 123 10KG</t>
  </si>
  <si>
    <t>p920613</t>
  </si>
  <si>
    <t>Siplast Pro Catalyst 2.5KG</t>
  </si>
  <si>
    <t>p920614</t>
  </si>
  <si>
    <t>Siplast Pro Paste Resin 10KG</t>
  </si>
  <si>
    <t>p920615</t>
  </si>
  <si>
    <t>Siplast Pro Prep 1GAL</t>
  </si>
  <si>
    <t>p920616</t>
  </si>
  <si>
    <t>Siplast Pro Primer R 10KG</t>
  </si>
  <si>
    <t>p920617</t>
  </si>
  <si>
    <t>Siplast Pro Primer W 10KG</t>
  </si>
  <si>
    <t>p920618</t>
  </si>
  <si>
    <t>Pro Primer E</t>
  </si>
  <si>
    <t>p920619</t>
  </si>
  <si>
    <t>Siplast Pro Matrix Resin 10KG</t>
  </si>
  <si>
    <t>p920620</t>
  </si>
  <si>
    <t>Siplast Paracoat Grey/Red 20KG</t>
  </si>
  <si>
    <t>p920621</t>
  </si>
  <si>
    <t>Siplast Pro Fleece 315MM 12"X164'</t>
  </si>
  <si>
    <t>p920622</t>
  </si>
  <si>
    <t>Siplast Pro Fleece 25M 12"X82'</t>
  </si>
  <si>
    <t>p920623</t>
  </si>
  <si>
    <t>Siplast Pro Fleece 630MM 25"X164'</t>
  </si>
  <si>
    <t>p920624</t>
  </si>
  <si>
    <t>Siplast Pro Fleece 1050MM 41"X164</t>
  </si>
  <si>
    <t>p920625</t>
  </si>
  <si>
    <t>Siplast Paraflex 531 Liquid Flashing 2 Gallon</t>
  </si>
  <si>
    <t>p920626</t>
  </si>
  <si>
    <t>Siplast Pro Primer AC 5 Gallon</t>
  </si>
  <si>
    <t>p920627</t>
  </si>
  <si>
    <t>Siplast Pro Prep M 5 Gallon</t>
  </si>
  <si>
    <t>p920628</t>
  </si>
  <si>
    <t>Siplast Pro Mixing Pail 5 Quart</t>
  </si>
  <si>
    <t>p920632</t>
  </si>
  <si>
    <t>Pro Primer T</t>
  </si>
  <si>
    <t>p920635</t>
  </si>
  <si>
    <t>Parafast LRF Adhesive</t>
  </si>
  <si>
    <t>p920642</t>
  </si>
  <si>
    <t>TA 119 Primer 5 Gal</t>
  </si>
  <si>
    <t>p920660</t>
  </si>
  <si>
    <t>Siplast Probase SA</t>
  </si>
  <si>
    <t>p920661</t>
  </si>
  <si>
    <t>Siplast SA Vapor Barrier XL 600SF</t>
  </si>
  <si>
    <t>Siplast SA Vapor Retarder XL (6SQ)</t>
  </si>
  <si>
    <t>p920662</t>
  </si>
  <si>
    <t>SFT Adhesive</t>
  </si>
  <si>
    <t>p920663</t>
  </si>
  <si>
    <t>SFT Flashing Cement</t>
  </si>
  <si>
    <t>p930120</t>
  </si>
  <si>
    <t>Bakor G100 SS</t>
  </si>
  <si>
    <t>Carlisle .060 TPO</t>
  </si>
  <si>
    <t>SF</t>
  </si>
  <si>
    <t>p96|21</t>
  </si>
  <si>
    <t>Carlisle .080 Reinforced PVC</t>
  </si>
  <si>
    <t>Carlisle .080 TPO</t>
  </si>
  <si>
    <t>p96|25</t>
  </si>
  <si>
    <t>TPO Cover Strip Pressure-Sensitive 6"X100'</t>
  </si>
  <si>
    <t>Carlisle .060 EPDM</t>
  </si>
  <si>
    <t>Carlisle .045 EPDM</t>
  </si>
  <si>
    <t>p96|44</t>
  </si>
  <si>
    <t>Carlisle .060 Reinforced PVC</t>
  </si>
  <si>
    <t>p96|45</t>
  </si>
  <si>
    <t>Carlisle TPO Coated Metal 4'X10'</t>
  </si>
  <si>
    <t>p96|46</t>
  </si>
  <si>
    <t>TPO Flashing 12"X50'</t>
  </si>
  <si>
    <t>p96|47</t>
  </si>
  <si>
    <t>TPO Flashing 24"X50'</t>
  </si>
  <si>
    <t>p96|48</t>
  </si>
  <si>
    <t>TPO Inside Corners</t>
  </si>
  <si>
    <t>p96|50</t>
  </si>
  <si>
    <t>TPO Molded Pipe Seals 3/4" - 8"</t>
  </si>
  <si>
    <t>p96|51</t>
  </si>
  <si>
    <t>TPO Molded Sealant Pocket 6"</t>
  </si>
  <si>
    <t>p96|52</t>
  </si>
  <si>
    <t>TPO Outside Corners</t>
  </si>
  <si>
    <t>p96|53</t>
  </si>
  <si>
    <t>TPO T-Joint Covers 4-1/2"</t>
  </si>
  <si>
    <t>p96|54</t>
  </si>
  <si>
    <t>TPO Walkway Rolls 34"X50'</t>
  </si>
  <si>
    <t>p96|7</t>
  </si>
  <si>
    <t>Carlisle .090 EPDM</t>
  </si>
  <si>
    <t>p963001</t>
  </si>
  <si>
    <t>EPDM Primer 1 Gallon HP-250</t>
  </si>
  <si>
    <t>p963002</t>
  </si>
  <si>
    <t>EPDM Bonding Adhesive 5 Gallon 90-8-30A</t>
  </si>
  <si>
    <t>p963003</t>
  </si>
  <si>
    <t>EPDM Splice Adhesive 1 Gallon</t>
  </si>
  <si>
    <t>p963005</t>
  </si>
  <si>
    <t>Lap Sealant Sure-Seal 300ml</t>
  </si>
  <si>
    <t>p963110</t>
  </si>
  <si>
    <t>Elastoform Flashing Pressure-Sensitive Black 6"X100'</t>
  </si>
  <si>
    <t>p963112</t>
  </si>
  <si>
    <t>Elastoform Flashing Pressure-Sensitive Black 9"X50'</t>
  </si>
  <si>
    <t>p963113</t>
  </si>
  <si>
    <t>Elastoform Flashing Pressure-Sensitive Black 12"X50'</t>
  </si>
  <si>
    <t>p963120</t>
  </si>
  <si>
    <t>Russ Strip Pressure-Sensitive Black 6"X100'</t>
  </si>
  <si>
    <t>p963122</t>
  </si>
  <si>
    <t>Securtape Seam Tape Pressure-Sensitive Black 3"X100'</t>
  </si>
  <si>
    <t>p963123</t>
  </si>
  <si>
    <t>Securtape Seam Tape Pressure-Sensitive Black 6"X100'</t>
  </si>
  <si>
    <t>p963124</t>
  </si>
  <si>
    <t>EPDM Pressure-Sensitive Overlayment Strip 6"X100'</t>
  </si>
  <si>
    <t>p963200</t>
  </si>
  <si>
    <t>Pourable Sealer Pockets Pressure-Sensitive Black 4"</t>
  </si>
  <si>
    <t>p963201</t>
  </si>
  <si>
    <t>Pourable Sealer Pockets Pressure-Sensitive Black 6"</t>
  </si>
  <si>
    <t>p963202</t>
  </si>
  <si>
    <t>Pourable Sealer Pockets Pressure-Sensitive Black 8"</t>
  </si>
  <si>
    <t>p963211</t>
  </si>
  <si>
    <t>Pipe Seals Pressure-Sensitive Black 1/2" - 3"</t>
  </si>
  <si>
    <t>p963212</t>
  </si>
  <si>
    <t>Pipe Seals Pressure-Sensitive Black 1" - 6"</t>
  </si>
  <si>
    <t>p963301</t>
  </si>
  <si>
    <t>T-Joint Covers Pressure-Sensitive Black 6"X6"</t>
  </si>
  <si>
    <t>p963305</t>
  </si>
  <si>
    <t>Inside/Outside Corners Pressure-Sensitive Black 7"X9"</t>
  </si>
  <si>
    <t>p963310</t>
  </si>
  <si>
    <t>Walkway Pads Pressure-Sensitive Black 30"X30"</t>
  </si>
  <si>
    <t>p963320</t>
  </si>
  <si>
    <t>Metal Fasten Bar 1.0"X10"</t>
  </si>
  <si>
    <t>p963325</t>
  </si>
  <si>
    <t>One-Part Pourable Sealer Black</t>
  </si>
  <si>
    <t>p965210</t>
  </si>
  <si>
    <t>TPO Inside/Outside Corners</t>
  </si>
  <si>
    <t>p965800</t>
  </si>
  <si>
    <t>TPO Bonding Adhesive Sure-Weld 5 Gallon</t>
  </si>
  <si>
    <t>p965805</t>
  </si>
  <si>
    <t>TPO Primer 1 Gallon</t>
  </si>
  <si>
    <t>p965810</t>
  </si>
  <si>
    <t>One-Part Pourable Sealer White</t>
  </si>
  <si>
    <t>p965815</t>
  </si>
  <si>
    <t>TPO Cut Edge Sealant 16oz</t>
  </si>
  <si>
    <t>p965820</t>
  </si>
  <si>
    <t>TPO RUSS Strip Pressure Sensitive 10"X100'</t>
  </si>
  <si>
    <t>p965825</t>
  </si>
  <si>
    <t>TPO RUSS Strip Pressure Sensitive 6"X100'</t>
  </si>
  <si>
    <t>p966201</t>
  </si>
  <si>
    <t>PVC Flashing 24"X50'</t>
  </si>
  <si>
    <t>p966211</t>
  </si>
  <si>
    <t>PVC Inside Corners</t>
  </si>
  <si>
    <t>p966213</t>
  </si>
  <si>
    <t>PVC Outside Corners</t>
  </si>
  <si>
    <t>p966217</t>
  </si>
  <si>
    <t>PVC T-Joint Covers 4-1/2"</t>
  </si>
  <si>
    <t>p966301</t>
  </si>
  <si>
    <t>PVC Molded Pipe Seals 3/4" - 8"</t>
  </si>
  <si>
    <t>p966419</t>
  </si>
  <si>
    <t>PVC Walkway Rolls Grey 36"X60'</t>
  </si>
  <si>
    <t>p966801</t>
  </si>
  <si>
    <t>PVC Bonding Adhesive Low-VOC 5 Gallon</t>
  </si>
  <si>
    <t>p966802</t>
  </si>
  <si>
    <t>PVC Bonding Adhesive Hydrobond 5 Gallon</t>
  </si>
  <si>
    <t>p966825</t>
  </si>
  <si>
    <t>PVC Membrane Cleaner 5 Gallon</t>
  </si>
  <si>
    <t>p969001</t>
  </si>
  <si>
    <t>Weathered Membrane Cleaner 1 Gallon</t>
  </si>
  <si>
    <t>p969005</t>
  </si>
  <si>
    <t>Weathered Membrane Cleaner 5 Gallon</t>
  </si>
  <si>
    <t>p969010</t>
  </si>
  <si>
    <t>Universal Single Ply Sealant 300ml</t>
  </si>
  <si>
    <t>Universal Single-Ply Sealant 300ml</t>
  </si>
  <si>
    <t>p969011</t>
  </si>
  <si>
    <t>Bonding Adhesive Low-VOC 5 Gallon</t>
  </si>
  <si>
    <t>p969015</t>
  </si>
  <si>
    <t>Water Cut-Off Mastic 300ml</t>
  </si>
  <si>
    <t>p969020</t>
  </si>
  <si>
    <t>Termination Bar 1.0"X10'</t>
  </si>
  <si>
    <t>p969030</t>
  </si>
  <si>
    <t>Splice Wipes</t>
  </si>
  <si>
    <t>p969050</t>
  </si>
  <si>
    <t>Fast Adhesive Dual Cartridge</t>
  </si>
  <si>
    <t>p98030</t>
  </si>
  <si>
    <t>Cartage 1 Ton Flat Deck</t>
  </si>
  <si>
    <t>p98030FS</t>
  </si>
  <si>
    <t>Freight Surcharge 1 Ton Flat Deck</t>
  </si>
  <si>
    <t>p98031</t>
  </si>
  <si>
    <t>Cartage 5 Ton Flat Deck</t>
  </si>
  <si>
    <t>p98031FS</t>
  </si>
  <si>
    <t>Freight Surcharge 5 Ton Flat Deck</t>
  </si>
  <si>
    <t>p98032</t>
  </si>
  <si>
    <t>Cartage 48'/53' Flat Deck</t>
  </si>
  <si>
    <t>p98032FS</t>
  </si>
  <si>
    <t>Freight Surcharge 48'/53' Flat Deck</t>
  </si>
  <si>
    <t>p98033</t>
  </si>
  <si>
    <t>Cartage Flat Deck W/Moffat</t>
  </si>
  <si>
    <t>p98033FS</t>
  </si>
  <si>
    <t>Freight Surcharge Flat Deck W/Moffat</t>
  </si>
  <si>
    <t>p98034</t>
  </si>
  <si>
    <t>Cartage Hiab</t>
  </si>
  <si>
    <t>p98034FS</t>
  </si>
  <si>
    <t>Freight Surcharge Hiab</t>
  </si>
  <si>
    <t>p98035</t>
  </si>
  <si>
    <t>Cartage Stinger - 20 Ton</t>
  </si>
  <si>
    <t>p98035FS</t>
  </si>
  <si>
    <t>Freight Surcharge Stinger - 20 Ton</t>
  </si>
  <si>
    <t>p98036</t>
  </si>
  <si>
    <t>Cartage Stinger - 30 Ton</t>
  </si>
  <si>
    <t>p98036FS</t>
  </si>
  <si>
    <t>Freight Surcharge Stinger - 30 Ton</t>
  </si>
  <si>
    <t>p98050</t>
  </si>
  <si>
    <t>Fork Rental</t>
  </si>
  <si>
    <t>p98051</t>
  </si>
  <si>
    <t>Hourly Charge - Hiab</t>
  </si>
  <si>
    <t>p98052</t>
  </si>
  <si>
    <t>Hourly Charge - Stinger 20 Ton</t>
  </si>
  <si>
    <t>p98053</t>
  </si>
  <si>
    <t>Hourly Charge - Stinger 30 Ton</t>
  </si>
  <si>
    <t>s2320006</t>
  </si>
  <si>
    <t>Chalk Line Reel</t>
  </si>
  <si>
    <t>s2310013</t>
  </si>
  <si>
    <t>Vacuum Wet/Dry</t>
  </si>
  <si>
    <t>s2320097</t>
  </si>
  <si>
    <t>Screwdriver various</t>
  </si>
  <si>
    <t>s2330092</t>
  </si>
  <si>
    <t>Tie-Down Rubber Straps</t>
  </si>
  <si>
    <t>s2700076</t>
  </si>
  <si>
    <t>Downpipe &amp; Elbow Package</t>
  </si>
  <si>
    <t>s4520047</t>
  </si>
  <si>
    <t>Fascia 10in</t>
  </si>
  <si>
    <t>s740049</t>
  </si>
  <si>
    <t>R-Mer Seal</t>
  </si>
  <si>
    <t>s2210009</t>
  </si>
  <si>
    <t>Visor</t>
  </si>
  <si>
    <t>s2210012</t>
  </si>
  <si>
    <t>Headgear Ratchet</t>
  </si>
  <si>
    <t>s2330167</t>
  </si>
  <si>
    <t>Shingle Remover</t>
  </si>
  <si>
    <t>s3510040</t>
  </si>
  <si>
    <t>4X8X3/4 STD FIR SHEATHING</t>
  </si>
  <si>
    <t>s3510041</t>
  </si>
  <si>
    <t>4X8X3/8 STD FIR SHEATHING</t>
  </si>
  <si>
    <t>s140010</t>
  </si>
  <si>
    <t>TP-250 Cap 8m Brown 4.0mm</t>
  </si>
  <si>
    <t>s2330166</t>
  </si>
  <si>
    <t>All Purpose Cleaner 5 Gal</t>
  </si>
  <si>
    <t>s710025</t>
  </si>
  <si>
    <t>BLUESKIN PE 200HT UNDERLAYMENT 3' X 65'</t>
  </si>
  <si>
    <t>s710028</t>
  </si>
  <si>
    <t>RHINO SYNTHETIC</t>
  </si>
  <si>
    <t>s2320032</t>
  </si>
  <si>
    <t>Roofer's Kit</t>
  </si>
  <si>
    <t>s4520081</t>
  </si>
  <si>
    <t>WF-WEATHERSHIELD 1 - 29GA Galvanized</t>
  </si>
  <si>
    <t>s2330103</t>
  </si>
  <si>
    <t>WHEEL CUTOFF 4 1/2-3/64-</t>
  </si>
  <si>
    <t>s2600140</t>
  </si>
  <si>
    <t>EVF-2A Aluminum Exhaust Vent</t>
  </si>
  <si>
    <t>s640022</t>
  </si>
  <si>
    <t>Vulkem 951 NF Grey 17.4 Ltr Kit c/w part B Top Coat</t>
  </si>
  <si>
    <t>s710022</t>
  </si>
  <si>
    <t>Poly Film CGSB 20ft x 100ft</t>
  </si>
  <si>
    <t>Fiberboard Std.Ctd 1/2in 2ft X 4ft</t>
  </si>
  <si>
    <t>s140015</t>
  </si>
  <si>
    <t>TP-250 Cap (5mm) 8m Frostone Grey</t>
  </si>
  <si>
    <t>s2700041</t>
  </si>
  <si>
    <t>RD-29-RR ECON. RETRO-ALUM 3.75</t>
  </si>
  <si>
    <t>s2830015</t>
  </si>
  <si>
    <t>Mulco Supra Caulking White 300ml</t>
  </si>
  <si>
    <t>s4510057</t>
  </si>
  <si>
    <t>22 Ga 4x8</t>
  </si>
  <si>
    <t>s2840005</t>
  </si>
  <si>
    <t>Granules - Pail Frostone Grey 15 kg IKO</t>
  </si>
  <si>
    <t>s4530005</t>
  </si>
  <si>
    <t>26GA 1" RIB x 13.25" Panel</t>
  </si>
  <si>
    <t>MP-180 FS  Base 2.2mm x 15M</t>
  </si>
  <si>
    <t>s2220015</t>
  </si>
  <si>
    <t>Tape Caution</t>
  </si>
  <si>
    <t>s2700121</t>
  </si>
  <si>
    <t>4in (100mm) (2004) MJ Coupling</t>
  </si>
  <si>
    <t>s740018</t>
  </si>
  <si>
    <t>RC2250 5 Gal</t>
  </si>
  <si>
    <t>s960007</t>
  </si>
  <si>
    <t>Bakor 810-47 Mastic</t>
  </si>
  <si>
    <t>Sopralene Flam 250 FR Gr</t>
  </si>
  <si>
    <t>Sopralene 180 PS 3MM 1M x 10M</t>
  </si>
  <si>
    <t>Protectoboard  1/8 Inch 4 X 5</t>
  </si>
  <si>
    <t>TP-180 Cap Frostone Grey 8m 4.0mm</t>
  </si>
  <si>
    <t>2-1 SOPRASMART ISO HD SANDED-1/2inX3X16</t>
  </si>
  <si>
    <t>2-1 SOPRASMART ISO HD- 1/2inX3X8</t>
  </si>
  <si>
    <t>Sopraflash Flam Stick winter</t>
  </si>
  <si>
    <t>s740038</t>
  </si>
  <si>
    <t>FlexBase 80</t>
  </si>
  <si>
    <t>s740041</t>
  </si>
  <si>
    <t>StressPly Legacy FR Mineral</t>
  </si>
  <si>
    <t>s760032</t>
  </si>
  <si>
    <t>Garland Silvershield</t>
  </si>
  <si>
    <t>s110103</t>
  </si>
  <si>
    <t>Armourgard Ice &amp; Water Commercial 36in</t>
  </si>
  <si>
    <t>s150028</t>
  </si>
  <si>
    <t>Hip and Ridge Plus Charcoal Grey</t>
  </si>
  <si>
    <t>s2600087</t>
  </si>
  <si>
    <t>Primex Roof Mount Exhaust Vent Black</t>
  </si>
  <si>
    <t>s2600099</t>
  </si>
  <si>
    <t>5'' Vent Cap</t>
  </si>
  <si>
    <t>s2810080</t>
  </si>
  <si>
    <t>Coil Nails various</t>
  </si>
  <si>
    <t>CT</t>
  </si>
  <si>
    <t>SOPRA-ISO PLUS- 4.0inX4 X4</t>
  </si>
  <si>
    <t>s4520013</t>
  </si>
  <si>
    <t>Valley Flash 24in x 10ft Brown 30ga</t>
  </si>
  <si>
    <t>s4520042</t>
  </si>
  <si>
    <t>Duraflo 4in Roof Flashing Black</t>
  </si>
  <si>
    <t>s2840035</t>
  </si>
  <si>
    <t>Dura Block 5x6x9.6</t>
  </si>
  <si>
    <t>Rocky Mountain Solar Co</t>
  </si>
  <si>
    <t>s3510035</t>
  </si>
  <si>
    <t>OSCP 3/4in Woodgrain White</t>
  </si>
  <si>
    <t>s4520045</t>
  </si>
  <si>
    <t>J-Channel 3/4in Matte Flagstone</t>
  </si>
  <si>
    <t>s710018</t>
  </si>
  <si>
    <t>Housewrap Tyvek 9x100</t>
  </si>
  <si>
    <t>s2850002</t>
  </si>
  <si>
    <t>Bilco Roof Hatch S-20 36in x30in</t>
  </si>
  <si>
    <t>s4520004</t>
  </si>
  <si>
    <t>Drip Edge 10ft</t>
  </si>
  <si>
    <t>s4520009</t>
  </si>
  <si>
    <t>Valley Flash 24in x 10ft 30ga</t>
  </si>
  <si>
    <t>s710024</t>
  </si>
  <si>
    <t>Resistor Underlayment 42x286</t>
  </si>
  <si>
    <t>s2320116</t>
  </si>
  <si>
    <t>garden pick</t>
  </si>
  <si>
    <t>Matt Robinson</t>
  </si>
  <si>
    <t>s2330049</t>
  </si>
  <si>
    <t>Coupling various</t>
  </si>
  <si>
    <t>s2330068</t>
  </si>
  <si>
    <t>Mop various</t>
  </si>
  <si>
    <t>s2700063</t>
  </si>
  <si>
    <t>Bolts Roof Drain Ancon FC-2</t>
  </si>
  <si>
    <t>s2700064</t>
  </si>
  <si>
    <t>Cast Dome RD100 Ancon B2 KDm</t>
  </si>
  <si>
    <t>s2700090</t>
  </si>
  <si>
    <t>Pipe Cell / ABS 2x12</t>
  </si>
  <si>
    <t>s2840053</t>
  </si>
  <si>
    <t>Washed Rock 10mm</t>
  </si>
  <si>
    <t>s2870001</t>
  </si>
  <si>
    <t>Plumbing Supplies DNU</t>
  </si>
  <si>
    <t>s2310015</t>
  </si>
  <si>
    <t>Sievert Torch Kit</t>
  </si>
  <si>
    <t>s2810018</t>
  </si>
  <si>
    <t>Round Top Nails</t>
  </si>
  <si>
    <t>25 lbs</t>
  </si>
  <si>
    <t>s2840058</t>
  </si>
  <si>
    <t>PEDESTAL SOPRASOLAR FIX EVO</t>
  </si>
  <si>
    <t>s2330013</t>
  </si>
  <si>
    <t>Cord Stretch</t>
  </si>
  <si>
    <t>s2600036</t>
  </si>
  <si>
    <t>8'' Rain Cap Galvanized</t>
  </si>
  <si>
    <t>s2220007</t>
  </si>
  <si>
    <t>First Aid Kit</t>
  </si>
  <si>
    <t>IKOTherm III 3.0 Inch  4ft x 4ft</t>
  </si>
  <si>
    <t>s2330055</t>
  </si>
  <si>
    <t>Roller Refill</t>
  </si>
  <si>
    <t>Dollarama</t>
  </si>
  <si>
    <t>IKO MVP (Modified Vapour Protector) 32M</t>
  </si>
  <si>
    <t>IKO SAM Adhesive 17L Pail</t>
  </si>
  <si>
    <t>s2700047</t>
  </si>
  <si>
    <t>SJ-26 STACK JACK FLASH-ALUM 4''</t>
  </si>
  <si>
    <t>s340091</t>
  </si>
  <si>
    <t>SOPRAFLASH STICK 20 LT 15MX1M</t>
  </si>
  <si>
    <t>s2700115</t>
  </si>
  <si>
    <t>ABS DWV Pipe 4"</t>
  </si>
  <si>
    <t>s2840013</t>
  </si>
  <si>
    <t>Lead sheets 36''x36''</t>
  </si>
  <si>
    <t>s340078</t>
  </si>
  <si>
    <t>Soprafix Base 630</t>
  </si>
  <si>
    <t>s340094</t>
  </si>
  <si>
    <t>SOPRASEAL STICK 1100 T NB 36in</t>
  </si>
  <si>
    <t>s2330093</t>
  </si>
  <si>
    <t>Aluminum Mop Bell</t>
  </si>
  <si>
    <t>SOPRA-XPS 35 SL 4inX2ftX8ft</t>
  </si>
  <si>
    <t>s2600033</t>
  </si>
  <si>
    <t>Vent 26 GA Customized</t>
  </si>
  <si>
    <t>SOPRA-ISO PLUS 1.5'' 4 X4</t>
  </si>
  <si>
    <t>Sopra-Iso Plus 3'' 4x4</t>
  </si>
  <si>
    <t>s320011</t>
  </si>
  <si>
    <t>1/8inSOP-ISO TAP-B 1.5-2.0 4X4</t>
  </si>
  <si>
    <t>s360032</t>
  </si>
  <si>
    <t>SOPRASPHALTE M 25KG (55LB) (FM)</t>
  </si>
  <si>
    <t>KEG</t>
  </si>
  <si>
    <t>s2310019</t>
  </si>
  <si>
    <t>Blower</t>
  </si>
  <si>
    <t>s2600022</t>
  </si>
  <si>
    <t>Sopramastic Block 7.5in Round</t>
  </si>
  <si>
    <t>s2600074</t>
  </si>
  <si>
    <t>SOPRAMASTIC BLOCK 5inRND CURB</t>
  </si>
  <si>
    <t>s2820005</t>
  </si>
  <si>
    <t>Sopraboard (1/8'')</t>
  </si>
  <si>
    <t>s360026</t>
  </si>
  <si>
    <t>Sopramastic SP2 300ml</t>
  </si>
  <si>
    <t>s2810103</t>
  </si>
  <si>
    <t>Braces various</t>
  </si>
  <si>
    <t>s3510018</t>
  </si>
  <si>
    <t>SPF 2x8x8</t>
  </si>
  <si>
    <t>s2700112</t>
  </si>
  <si>
    <t>1/2x10 Ready Rod Plated</t>
  </si>
  <si>
    <t>s340126</t>
  </si>
  <si>
    <t>ALSAN RS FLEECE 13.7inX165ft</t>
  </si>
  <si>
    <t>Comfortbatt R14 3.5X23</t>
  </si>
  <si>
    <t>s2320085</t>
  </si>
  <si>
    <t>Shovel various</t>
  </si>
  <si>
    <t>IKOTherm 2.0 Inch  4ft x 4ft</t>
  </si>
  <si>
    <t>s140024</t>
  </si>
  <si>
    <t>Modiflex Roof Tape 6in  1.5mm x 20M</t>
  </si>
  <si>
    <t>s2600023</t>
  </si>
  <si>
    <t>Sopramastic Block 6in Straight</t>
  </si>
  <si>
    <t>s35100022</t>
  </si>
  <si>
    <t>Ply Spr STD 3/4 x 4 x 8</t>
  </si>
  <si>
    <t>s2320098</t>
  </si>
  <si>
    <t>Hose various</t>
  </si>
  <si>
    <t>s2330029</t>
  </si>
  <si>
    <t>Tarp various</t>
  </si>
  <si>
    <t>s2330037</t>
  </si>
  <si>
    <t>CLAMP ADJUSTABLE  various</t>
  </si>
  <si>
    <t>Glenn Lauang</t>
  </si>
  <si>
    <t>s2600117</t>
  </si>
  <si>
    <t>6x6 Gooseneck Vent</t>
  </si>
  <si>
    <t>s2700082</t>
  </si>
  <si>
    <t>ABS / PVC Transition Cement 236 ML</t>
  </si>
  <si>
    <t>s2840033</t>
  </si>
  <si>
    <t>Cable Roof 160'</t>
  </si>
  <si>
    <t>s740045</t>
  </si>
  <si>
    <t>WeatherScreen</t>
  </si>
  <si>
    <t>s720001</t>
  </si>
  <si>
    <t>Dow Roofmate 2in x 2ft x 8ft Shiplap</t>
  </si>
  <si>
    <t>s2210020</t>
  </si>
  <si>
    <t>Knee Pads</t>
  </si>
  <si>
    <t>s2810149</t>
  </si>
  <si>
    <t>Nuts various</t>
  </si>
  <si>
    <t>s2330120</t>
  </si>
  <si>
    <t>Melter Ice Meltz-All 18 KG</t>
  </si>
  <si>
    <t>s2600042</t>
  </si>
  <si>
    <t>SJ-26  Thaler Stack Jack  4''</t>
  </si>
  <si>
    <t>s760018</t>
  </si>
  <si>
    <t>BLUESKIN PRIMER/ADHESIVE 17L 36/PLT</t>
  </si>
  <si>
    <t>s110101</t>
  </si>
  <si>
    <t>Armourgard Ice &amp; Water Commercial 44in</t>
  </si>
  <si>
    <t>s2210022</t>
  </si>
  <si>
    <t>Quick Link 5/16'' (carabiner)DNU</t>
  </si>
  <si>
    <t>s2320162</t>
  </si>
  <si>
    <t>Propane Tank various</t>
  </si>
  <si>
    <t>Co-op</t>
  </si>
  <si>
    <t>s3510004</t>
  </si>
  <si>
    <t>SPF 2x12x8</t>
  </si>
  <si>
    <t>s2700065</t>
  </si>
  <si>
    <t>24x24 Steel Sump Receiver Ancon B2-S</t>
  </si>
  <si>
    <t>s2700105</t>
  </si>
  <si>
    <t>Bolts Underdeck Ancon FC-3</t>
  </si>
  <si>
    <t>s2700130</t>
  </si>
  <si>
    <t>3" MJ Large Drain Body</t>
  </si>
  <si>
    <t>s2700131</t>
  </si>
  <si>
    <t>4 MJ LRG DRN BODY</t>
  </si>
  <si>
    <t>s120054</t>
  </si>
  <si>
    <t>IKOTherm III Tapered Type A-1.0in-1.5in</t>
  </si>
  <si>
    <t>s120056</t>
  </si>
  <si>
    <t>IKOTherm III Tapered Type C-2.0in-2.5in</t>
  </si>
  <si>
    <t>s2210003</t>
  </si>
  <si>
    <t>Safety Vest</t>
  </si>
  <si>
    <t>s2330043</t>
  </si>
  <si>
    <t>Tray Roller Plastic</t>
  </si>
  <si>
    <t>s2330136</t>
  </si>
  <si>
    <t>Mixing Paddle</t>
  </si>
  <si>
    <t>SOPRA-XPS 35 SE 1inX2ftX8ft</t>
  </si>
  <si>
    <t>s340121</t>
  </si>
  <si>
    <t>COLPHENE H 50LB</t>
  </si>
  <si>
    <t>s2320099</t>
  </si>
  <si>
    <t>Brush Plus Scraper Head</t>
  </si>
  <si>
    <t>s110111</t>
  </si>
  <si>
    <t>Aquabarrier AVB (40mils) 36in Standard</t>
  </si>
  <si>
    <t>s2700120</t>
  </si>
  <si>
    <t>3" MJ Coupling</t>
  </si>
  <si>
    <t>s340067</t>
  </si>
  <si>
    <t>Alsan 13.7'' x 165' RS Fleece</t>
  </si>
  <si>
    <t>IKO Millennium Insulation Adhesive</t>
  </si>
  <si>
    <t>CS</t>
  </si>
  <si>
    <t>Prevent TP-250 Frostone grey (8M)  4.0mm</t>
  </si>
  <si>
    <t>s340072</t>
  </si>
  <si>
    <t>Alsan RS 210 (2)</t>
  </si>
  <si>
    <t>s340123</t>
  </si>
  <si>
    <t>SOPRA-FLASH UN 47 MIL-12inX75ft</t>
  </si>
  <si>
    <t>s640017</t>
  </si>
  <si>
    <t>AlphaGuard™ MTS Base Coat</t>
  </si>
  <si>
    <t>Tremco</t>
  </si>
  <si>
    <t>s2810070</t>
  </si>
  <si>
    <t>#14 - 4''</t>
  </si>
  <si>
    <t>s260029</t>
  </si>
  <si>
    <t>ALSAN RS COLOR ADDITIVE</t>
  </si>
  <si>
    <t>s2600012</t>
  </si>
  <si>
    <t>One Part Pourable Sealer</t>
  </si>
  <si>
    <t>s2810016</t>
  </si>
  <si>
    <t>PLATES #12 Hex</t>
  </si>
  <si>
    <t>s2810037</t>
  </si>
  <si>
    <t>#14 - 3''</t>
  </si>
  <si>
    <t>s440062</t>
  </si>
  <si>
    <t>EPDM P/S Unc Elastoform 12x50</t>
  </si>
  <si>
    <t>s460004</t>
  </si>
  <si>
    <t>EPDM HP-250 primer</t>
  </si>
  <si>
    <t>s2830024</t>
  </si>
  <si>
    <t>Spectrem</t>
  </si>
  <si>
    <t>Comfortbatt R22 5x23</t>
  </si>
  <si>
    <t>Home Depot</t>
  </si>
  <si>
    <t>s2330091</t>
  </si>
  <si>
    <t>Marker various</t>
  </si>
  <si>
    <t>s2700085</t>
  </si>
  <si>
    <t>Cement ABS 237 ml</t>
  </si>
  <si>
    <t>s2600051</t>
  </si>
  <si>
    <t>Duraflo 50 Roof Vent</t>
  </si>
  <si>
    <t>s3510033</t>
  </si>
  <si>
    <t>SPF 1x6x10</t>
  </si>
  <si>
    <t>s2310049</t>
  </si>
  <si>
    <t>DUOTACK SINGLE BEAD APPLICATOR</t>
  </si>
  <si>
    <t>s2400004</t>
  </si>
  <si>
    <t>Painter Rags 5lb</t>
  </si>
  <si>
    <t>s110109</t>
  </si>
  <si>
    <t>Armourgard Vapor Retardant 68 in</t>
  </si>
  <si>
    <t>s2600004</t>
  </si>
  <si>
    <t>Thermoplastic Base 4''</t>
  </si>
  <si>
    <t>s2700084</t>
  </si>
  <si>
    <t>Pipe Cell / ABS 2x3</t>
  </si>
  <si>
    <t>s320018</t>
  </si>
  <si>
    <t>SOPRA-ISO PLUS SUMP- 4X4</t>
  </si>
  <si>
    <t>PIECE</t>
  </si>
  <si>
    <t>s3510010</t>
  </si>
  <si>
    <t>SPF 2x12x10</t>
  </si>
  <si>
    <t>s140038</t>
  </si>
  <si>
    <t>Torch Tape 180-FF-335  13-3/16in</t>
  </si>
  <si>
    <t>s2700069</t>
  </si>
  <si>
    <t>Pipe Cell/ABS 4x6</t>
  </si>
  <si>
    <t>s760023</t>
  </si>
  <si>
    <t>BLUESKIN SPRAY PREP PRIMER 425G</t>
  </si>
  <si>
    <t>s2210016</t>
  </si>
  <si>
    <t>Headgear</t>
  </si>
  <si>
    <t>s2320034</t>
  </si>
  <si>
    <t>Impact Driver Set</t>
  </si>
  <si>
    <t>s2320088</t>
  </si>
  <si>
    <t>Pry Bar Steel</t>
  </si>
  <si>
    <t>s2320093</t>
  </si>
  <si>
    <t>Scissors various - OLFA 7" SCISSORS SERRATED SCS-2-UC</t>
  </si>
  <si>
    <t>s2330160</t>
  </si>
  <si>
    <t>Disc Abrazive various - 26004M CUP STONE CONC 4"</t>
  </si>
  <si>
    <t>s2600007</t>
  </si>
  <si>
    <t>4'' Plumbing Vent</t>
  </si>
  <si>
    <t>Waterline Products Co Ltd</t>
  </si>
  <si>
    <t>s3510024</t>
  </si>
  <si>
    <t>PT Green 2x4x8</t>
  </si>
  <si>
    <t>Batt Insulation R12 15x47x3</t>
  </si>
  <si>
    <t>s720018</t>
  </si>
  <si>
    <t>JM UNFACED INSULATION</t>
  </si>
  <si>
    <t>sq foot</t>
  </si>
  <si>
    <t>s2320020</t>
  </si>
  <si>
    <t>Torch stand</t>
  </si>
  <si>
    <t>s2320075</t>
  </si>
  <si>
    <t>Snip various</t>
  </si>
  <si>
    <t>Rob Scott</t>
  </si>
  <si>
    <t>s320027</t>
  </si>
  <si>
    <t>SOP 1.5" 4X8 ISO PLUS GLS FCR</t>
  </si>
  <si>
    <t>Beacon Building Products</t>
  </si>
  <si>
    <t>s330018</t>
  </si>
  <si>
    <t>s4510031</t>
  </si>
  <si>
    <t>22 Ga Aluminum Sheet</t>
  </si>
  <si>
    <t>Lynnwood Roofing</t>
  </si>
  <si>
    <t>s4510056</t>
  </si>
  <si>
    <t>24Ga Weathered Zinc/Silver Metallic</t>
  </si>
  <si>
    <t>s4510085</t>
  </si>
  <si>
    <t>28 Ga 4x8 Galvanized</t>
  </si>
  <si>
    <t>s4510086</t>
  </si>
  <si>
    <t>24Ga 4x10 Galvalume</t>
  </si>
  <si>
    <t>s2700034</t>
  </si>
  <si>
    <t>RD-24-RR RETROFIT-ALUM-2.75''</t>
  </si>
  <si>
    <t>s2330063</t>
  </si>
  <si>
    <t>Bit Set 10 Pcs Assorted</t>
  </si>
  <si>
    <t>s2400001</t>
  </si>
  <si>
    <t>Weathered Membrane cleaner 5 gallon</t>
  </si>
  <si>
    <t>s2830001</t>
  </si>
  <si>
    <t>Ctg</t>
  </si>
  <si>
    <t>s2830002</t>
  </si>
  <si>
    <t>Water Block Seal</t>
  </si>
  <si>
    <t>s440014</t>
  </si>
  <si>
    <t>Carlilse Sure-Seal  60 mil Reinforced  EPDM 10'</t>
  </si>
  <si>
    <t>roll</t>
  </si>
  <si>
    <t>s440022</t>
  </si>
  <si>
    <t>RUSS Strip 6''x100'  pressure sensitive</t>
  </si>
  <si>
    <t>s440028</t>
  </si>
  <si>
    <t>9'' x 100' PS Cover strip</t>
  </si>
  <si>
    <t>s220004</t>
  </si>
  <si>
    <t>SIPLST RGD ISO PARA CG SLOPE Y</t>
  </si>
  <si>
    <t>s220005</t>
  </si>
  <si>
    <t>SIPLST RGD ISO PARACG 2.0"4X4 25</t>
  </si>
  <si>
    <t>s750002</t>
  </si>
  <si>
    <t>Malarkey Legacy</t>
  </si>
  <si>
    <t>s2700060</t>
  </si>
  <si>
    <t>4'' CI Body MJ Ancon B2-4</t>
  </si>
  <si>
    <t>s660014</t>
  </si>
  <si>
    <t>ALPHAGUARD M-PRIME - 1 QT</t>
  </si>
  <si>
    <t>s130009</t>
  </si>
  <si>
    <t>Shieldbase 180 3x8</t>
  </si>
  <si>
    <t>TP-250 Cap (5mm) 8m Black</t>
  </si>
  <si>
    <t>Sopra-ISO Plus 2" 4x4</t>
  </si>
  <si>
    <t>s430001</t>
  </si>
  <si>
    <t>1/2'' Securshield HD</t>
  </si>
  <si>
    <t>s330013</t>
  </si>
  <si>
    <t>SOPRAFIBRE 1C HD 1/2inX4X4</t>
  </si>
  <si>
    <t>s760028</t>
  </si>
  <si>
    <t>DEC-TEC SOLVENT BASED ADHESIVE (SBA) 100R</t>
  </si>
  <si>
    <t>Skyline Building Systems Inc</t>
  </si>
  <si>
    <t>s2700049</t>
  </si>
  <si>
    <t>SJ-20 STACK JACK FLASH-ALUM 4''</t>
  </si>
  <si>
    <t>s2830019</t>
  </si>
  <si>
    <t>Quad Max 947</t>
  </si>
  <si>
    <t>s2700104</t>
  </si>
  <si>
    <t>Aluminum Dome Ancon B2-KDM-80</t>
  </si>
  <si>
    <t>s640001</t>
  </si>
  <si>
    <t>Burmesh 6''</t>
  </si>
  <si>
    <t>s640019</t>
  </si>
  <si>
    <t>THERMGLASS PREMIUM TYPE VI</t>
  </si>
  <si>
    <t>s660005</t>
  </si>
  <si>
    <t>Polyroof LV</t>
  </si>
  <si>
    <t>s340124</t>
  </si>
  <si>
    <t>ALSAN RS 287 BASE 2.2 GAL</t>
  </si>
  <si>
    <t>s2330076</t>
  </si>
  <si>
    <t>Blade Jigsaw various</t>
  </si>
  <si>
    <t>s720012</t>
  </si>
  <si>
    <t>R-20-15 Fiberglass</t>
  </si>
  <si>
    <t>s120038</t>
  </si>
  <si>
    <t>IKOTherm Tapered Type AA-0.5in-1.0in-4x4</t>
  </si>
  <si>
    <t>s2210037</t>
  </si>
  <si>
    <t>Ear Plugs</t>
  </si>
  <si>
    <t>s340125</t>
  </si>
  <si>
    <t>s360031</t>
  </si>
  <si>
    <t>ALSAN RS 222 PRIMER-WHITE 2.5 GAL</t>
  </si>
  <si>
    <t>IKOTherm III 2.5 Inch 4ft X 8ft</t>
  </si>
  <si>
    <t>s120049</t>
  </si>
  <si>
    <t>IKOTherm III 2.5 Inch  4ft x 4ft</t>
  </si>
  <si>
    <t>s220006</t>
  </si>
  <si>
    <t>SIPLST RGD ISO PARA CG 2.5" 4X4</t>
  </si>
  <si>
    <t>s220007</t>
  </si>
  <si>
    <t>SIPLST RGD ISO PARACG 2.5"4X4 25</t>
  </si>
  <si>
    <t>s660002</t>
  </si>
  <si>
    <t>Tremlar LRM 200 V</t>
  </si>
  <si>
    <t>s2210023</t>
  </si>
  <si>
    <t>Rain Suit 3 Pcs</t>
  </si>
  <si>
    <t>s2210040</t>
  </si>
  <si>
    <t>Harness</t>
  </si>
  <si>
    <t>s2320091</t>
  </si>
  <si>
    <t>Staple Hammer</t>
  </si>
  <si>
    <t>s2400002</t>
  </si>
  <si>
    <t>Weathered Membrane cleaner 1 gallon</t>
  </si>
  <si>
    <t>s2700075</t>
  </si>
  <si>
    <t>Elbow Small Square</t>
  </si>
  <si>
    <t>s2840032</t>
  </si>
  <si>
    <t>Concrete Mix 25kg</t>
  </si>
  <si>
    <t>s2840042</t>
  </si>
  <si>
    <t>SOPRADRAIN 15-G 6ftX50ft</t>
  </si>
  <si>
    <t>s2210032</t>
  </si>
  <si>
    <t>Strap Safety Lo-Rise</t>
  </si>
  <si>
    <t>s750003</t>
  </si>
  <si>
    <t>Malarkey EZ Ridge 10''</t>
  </si>
  <si>
    <t>s760020</t>
  </si>
  <si>
    <t>Adhesive PL400</t>
  </si>
  <si>
    <t>s2820007</t>
  </si>
  <si>
    <t>Eternabond 6x50</t>
  </si>
  <si>
    <t>s640006</t>
  </si>
  <si>
    <t>Permafab 4"x300'</t>
  </si>
  <si>
    <t>s660001</t>
  </si>
  <si>
    <t>Trem-Lar LRM-H</t>
  </si>
  <si>
    <t>s720003</t>
  </si>
  <si>
    <t>Dow Roofmate 4in x 2ft x 8ft Shiplap</t>
  </si>
  <si>
    <t>s720021</t>
  </si>
  <si>
    <t>CAVITYROCK 4 X 24 X 48 40</t>
  </si>
  <si>
    <t>s440018</t>
  </si>
  <si>
    <t>12'' x 50' Pressure Sensitive form flash</t>
  </si>
  <si>
    <t>s440024</t>
  </si>
  <si>
    <t>1''-6'' PS EPDM;Pipe Flashing</t>
  </si>
  <si>
    <t>s660011</t>
  </si>
  <si>
    <t>GEOGARD SEAM SEALER 5 GAL</t>
  </si>
  <si>
    <t>Siplast Parafor 50 TG GRY#9 (0.75sq)</t>
  </si>
  <si>
    <t>Siplast Paradiene 20 EG SA (1sq)</t>
  </si>
  <si>
    <t>s330019</t>
  </si>
  <si>
    <t>SECUROCK GYPSUM FBR 5/8inX4 X8</t>
  </si>
  <si>
    <t>s2320007</t>
  </si>
  <si>
    <t>Caulking Gun</t>
  </si>
  <si>
    <t>s2700048</t>
  </si>
  <si>
    <t>SJ-26 STACK JACK FLASH-ALUM 6''</t>
  </si>
  <si>
    <t>MP-180-FS Base 3.0mm</t>
  </si>
  <si>
    <t>s740048</t>
  </si>
  <si>
    <t>Dec-Tec Classic Line 60 mil</t>
  </si>
  <si>
    <t>s2330080</t>
  </si>
  <si>
    <t>Drill Bits various</t>
  </si>
  <si>
    <t>s2810004</t>
  </si>
  <si>
    <t>#12 - 1 5/8''</t>
  </si>
  <si>
    <t>s2840055</t>
  </si>
  <si>
    <t>Foam Rods</t>
  </si>
  <si>
    <t>Vicwest</t>
  </si>
  <si>
    <t>s2700092</t>
  </si>
  <si>
    <t>RD-24RR Retrofit Alum 1.75in</t>
  </si>
  <si>
    <t>s2830009</t>
  </si>
  <si>
    <t>Inter Clip Duomastic Sealer 1500ml</t>
  </si>
  <si>
    <t>48</t>
  </si>
  <si>
    <t>SOPRA-XPS 35 SL 3inX2ftX8ft</t>
  </si>
  <si>
    <t>s340066</t>
  </si>
  <si>
    <t>Alsan RS Fleece 21'' x 165' Fleece</t>
  </si>
  <si>
    <t>50</t>
  </si>
  <si>
    <t>s440058</t>
  </si>
  <si>
    <t>EPDM Elastoform 9x50</t>
  </si>
  <si>
    <t>s760008</t>
  </si>
  <si>
    <t>Adhesive Construction PL PR 295 ml</t>
  </si>
  <si>
    <t>s1000017</t>
  </si>
  <si>
    <t>Hose Clamp</t>
  </si>
  <si>
    <t>s3510007</t>
  </si>
  <si>
    <t>SPF 2x8x10</t>
  </si>
  <si>
    <t>s3510026</t>
  </si>
  <si>
    <t>PT Green 1x6x8</t>
  </si>
  <si>
    <t>s2320109</t>
  </si>
  <si>
    <t>Axe various</t>
  </si>
  <si>
    <t>s150022</t>
  </si>
  <si>
    <t>Hip and Ridge Plus Dual Black</t>
  </si>
  <si>
    <t>s340120</t>
  </si>
  <si>
    <t>SOPRAFLASH WR2016</t>
  </si>
  <si>
    <t>s640002</t>
  </si>
  <si>
    <t>Tremco TRA Sheeting 60''x100'</t>
  </si>
  <si>
    <t>s2210033</t>
  </si>
  <si>
    <t>Stretch Cord Assorted</t>
  </si>
  <si>
    <t>s2320084</t>
  </si>
  <si>
    <t>Scoop Grain Steel</t>
  </si>
  <si>
    <t>s2400011</t>
  </si>
  <si>
    <t>Pro Prep Cleaner 5 Gal</t>
  </si>
  <si>
    <t>s440008</t>
  </si>
  <si>
    <t>Carlisle Sure-Seal 60 mil non - reinforced EPDM 10'</t>
  </si>
  <si>
    <t>s4520076</t>
  </si>
  <si>
    <t>Standing Seam 1 1/2" Clip</t>
  </si>
  <si>
    <t>s2320078</t>
  </si>
  <si>
    <t>Nutsetters 5 pcs</t>
  </si>
  <si>
    <t>s4520080</t>
  </si>
  <si>
    <t>24 GA 1" RIB x 13.25" Panel</t>
  </si>
  <si>
    <t>s2600101</t>
  </si>
  <si>
    <t>8'' Vent Cap</t>
  </si>
  <si>
    <t>s2310039</t>
  </si>
  <si>
    <t>Shear Turbo Heavy Duty</t>
  </si>
  <si>
    <t>s710016</t>
  </si>
  <si>
    <t>Vapour Barrier 102x59x500</t>
  </si>
  <si>
    <t>s640020</t>
  </si>
  <si>
    <t>Alumanation® 301</t>
  </si>
  <si>
    <t>s740047</t>
  </si>
  <si>
    <t>PVC+WALKWAY ROLL 36" X 60' GREY</t>
  </si>
  <si>
    <t>COLPLY EF ADHESIVE 5 GAL</t>
  </si>
  <si>
    <t>s2700071</t>
  </si>
  <si>
    <t>Pipe Cell/ABS 4x12</t>
  </si>
  <si>
    <t>s320025</t>
  </si>
  <si>
    <t>SOP-ISO PLS TAP-Q 0.5-2.5 4X4</t>
  </si>
  <si>
    <t>s360006</t>
  </si>
  <si>
    <t>Alsan Flashing reinforcement</t>
  </si>
  <si>
    <t>192</t>
  </si>
  <si>
    <t>s2320090</t>
  </si>
  <si>
    <t>Magnetic Chuck Kit 5 pcs Impact</t>
  </si>
  <si>
    <t>s2320067</t>
  </si>
  <si>
    <t>Ladder various</t>
  </si>
  <si>
    <t>s2600021</t>
  </si>
  <si>
    <t>3'' Plumbing Vent</t>
  </si>
  <si>
    <t>s2600005</t>
  </si>
  <si>
    <t>Round Pipe Galvanized 10x3</t>
  </si>
  <si>
    <t>s3510019</t>
  </si>
  <si>
    <t>SPF 2x2x8</t>
  </si>
  <si>
    <t>s150031</t>
  </si>
  <si>
    <t>Marathon 25 Earthtone Cedar</t>
  </si>
  <si>
    <t>s2320031</t>
  </si>
  <si>
    <t>Spud Bar Blade</t>
  </si>
  <si>
    <t>s340122</t>
  </si>
  <si>
    <t>SENTINEL P150 60MIL PVC MEMBRANE</t>
  </si>
  <si>
    <t>s740033</t>
  </si>
  <si>
    <t>Grip Polyester® Soft 6</t>
  </si>
  <si>
    <t>s2210006</t>
  </si>
  <si>
    <t>Lanyard Web 6 Ft Shock Abs</t>
  </si>
  <si>
    <t>s2400006</t>
  </si>
  <si>
    <t>Acetone</t>
  </si>
  <si>
    <t>s320012</t>
  </si>
  <si>
    <t>1/8inSOP-ISO TAP-C 2.0-2.5 4X4</t>
  </si>
  <si>
    <t>s2810104</t>
  </si>
  <si>
    <t>HP-X Piranha Plate 2 3/8</t>
  </si>
  <si>
    <t>s440015</t>
  </si>
  <si>
    <t>EPDM PS IS/OS Corner</t>
  </si>
  <si>
    <t>s440017</t>
  </si>
  <si>
    <t>9-'' x 50' Pressure Sensitive Form Flashing</t>
  </si>
  <si>
    <t>s440020</t>
  </si>
  <si>
    <t>3'' X 100' pressure sensitive tape</t>
  </si>
  <si>
    <t>s440027</t>
  </si>
  <si>
    <t>6''x100' PS Cover Strip</t>
  </si>
  <si>
    <t>s440060</t>
  </si>
  <si>
    <t>EPDM PS T-Joint 6x6</t>
  </si>
  <si>
    <t>box</t>
  </si>
  <si>
    <t>s440660</t>
  </si>
  <si>
    <t>EPDM PS CURB WRAP 20"X50'</t>
  </si>
  <si>
    <t>s460001</t>
  </si>
  <si>
    <t>90-8- 30A EPDM Bonding Adhesive</t>
  </si>
  <si>
    <t>s640016</t>
  </si>
  <si>
    <t>BURMASTIC COMPOSITE PLY HT</t>
  </si>
  <si>
    <t>s640018</t>
  </si>
  <si>
    <t>AlphaGuard™ MTS Top Coat</t>
  </si>
  <si>
    <t>s660012</t>
  </si>
  <si>
    <t>Thermastic 80</t>
  </si>
  <si>
    <t>s660013</t>
  </si>
  <si>
    <t>TREMprime™ WB</t>
  </si>
  <si>
    <t>s2860033</t>
  </si>
  <si>
    <t>FCM CLEAN COMFORT PLUS</t>
  </si>
  <si>
    <t>s330009</t>
  </si>
  <si>
    <t>Soprasmart Board sanded 180 3/16x3x8</t>
  </si>
  <si>
    <t>s360011</t>
  </si>
  <si>
    <t>Elastocol Stick</t>
  </si>
  <si>
    <t>s720023</t>
  </si>
  <si>
    <t>PLASTISPAN HD INSULATION</t>
  </si>
  <si>
    <t>Plasti-Fab Ltd</t>
  </si>
  <si>
    <t>s750009</t>
  </si>
  <si>
    <t>WHITE CAP</t>
  </si>
  <si>
    <t>s2700070</t>
  </si>
  <si>
    <t>Pipe Cell/ABS 3x12</t>
  </si>
  <si>
    <t>s720017</t>
  </si>
  <si>
    <t>MBI C/W WMP-50</t>
  </si>
  <si>
    <t>s150034</t>
  </si>
  <si>
    <t>Marathon 25 Dual Grey</t>
  </si>
  <si>
    <t>s2210038</t>
  </si>
  <si>
    <t>Cartridge/Filter</t>
  </si>
  <si>
    <t>s340051</t>
  </si>
  <si>
    <t>Sopralene Flam Stick</t>
  </si>
  <si>
    <t>s640014</t>
  </si>
  <si>
    <t>ALPHAGUARD PUMA QUICK FLASH 2 GAL</t>
  </si>
  <si>
    <t>s640015</t>
  </si>
  <si>
    <t>ALPHAGUARD FC CATALYST 11 lb</t>
  </si>
  <si>
    <t>s660006</t>
  </si>
  <si>
    <t>Geogard Primer 1 Gal</t>
  </si>
  <si>
    <t>s720027</t>
  </si>
  <si>
    <t>CTI ROOF PANEL 2.0"X2'X4'</t>
  </si>
  <si>
    <t>s960002</t>
  </si>
  <si>
    <t>Bakor 770-06</t>
  </si>
  <si>
    <t>pail</t>
  </si>
  <si>
    <t>s2700055</t>
  </si>
  <si>
    <t>3x3 Pipe 10ft</t>
  </si>
  <si>
    <t>s3510008</t>
  </si>
  <si>
    <t>SPF 2x10x8</t>
  </si>
  <si>
    <t>s1000006</t>
  </si>
  <si>
    <t>Leak Stop Service</t>
  </si>
  <si>
    <t>s560016</t>
  </si>
  <si>
    <t>Firestone U Pourable Sealer S10 1 Gallon</t>
  </si>
  <si>
    <t>s730016</t>
  </si>
  <si>
    <t>4X4X1/2'' IMPREG. COATED FIBREBOARD</t>
  </si>
  <si>
    <t>s440049</t>
  </si>
  <si>
    <t>PVC molded pipe flashing</t>
  </si>
  <si>
    <t>s150013</t>
  </si>
  <si>
    <t>Marathon Ultra AR Dual Grey</t>
  </si>
  <si>
    <t>s2820008</t>
  </si>
  <si>
    <t>Duct Tape</t>
  </si>
  <si>
    <t>s4520011</t>
  </si>
  <si>
    <t>Valley Flash 24in x 10ft Charcoal 30ga</t>
  </si>
  <si>
    <t>s2310024</t>
  </si>
  <si>
    <t>Worklights</t>
  </si>
  <si>
    <t>s340086</t>
  </si>
  <si>
    <t>Sopraseal Stick VP</t>
  </si>
  <si>
    <t>s2330034</t>
  </si>
  <si>
    <t>Mop Handle various</t>
  </si>
  <si>
    <t>Elastophene Flam 2.2 mm</t>
  </si>
  <si>
    <t>s2220017</t>
  </si>
  <si>
    <t>Guardrail Post</t>
  </si>
  <si>
    <t>Kee Safety Ltd.</t>
  </si>
  <si>
    <t>s110110</t>
  </si>
  <si>
    <t>IKO Protecto 225 Ice &amp; Water</t>
  </si>
  <si>
    <t>s640012</t>
  </si>
  <si>
    <t>VR TREMDRAIN 40FD</t>
  </si>
  <si>
    <t>s640013</t>
  </si>
  <si>
    <t>VR FILTER FABRIC 10' X 360'</t>
  </si>
  <si>
    <t>s740046</t>
  </si>
  <si>
    <t>RC2250 GREY 1 GAL</t>
  </si>
  <si>
    <t>s860011</t>
  </si>
  <si>
    <t>Roofcraft Flexmastic 10kg</t>
  </si>
  <si>
    <t>3-1 SOPRASMART BOARD THERMO-1/8in+ISO</t>
  </si>
  <si>
    <t>s2210027</t>
  </si>
  <si>
    <t>Sling</t>
  </si>
  <si>
    <t>s440063</t>
  </si>
  <si>
    <t>PVC Flashing 12"x50'</t>
  </si>
  <si>
    <t>s2220016</t>
  </si>
  <si>
    <t>Signs, Labels, Tags</t>
  </si>
  <si>
    <t>Joe Carey</t>
  </si>
  <si>
    <t>s2400013</t>
  </si>
  <si>
    <t>GS200 Solvent</t>
  </si>
  <si>
    <t>s2820009</t>
  </si>
  <si>
    <t>Drywall Tape</t>
  </si>
  <si>
    <t>s2840029</t>
  </si>
  <si>
    <t>Suspended Ceiling Comp TTC</t>
  </si>
  <si>
    <t>s2840062</t>
  </si>
  <si>
    <t>Wire Mesh Cable Tray</t>
  </si>
  <si>
    <t>s140013</t>
  </si>
  <si>
    <t>TP-250 Cap 8m Charcoal Grey  4.0mm</t>
  </si>
  <si>
    <t>Armourbond Flash Sanded  2.5mm x 15M</t>
  </si>
  <si>
    <t>s2830018</t>
  </si>
  <si>
    <t>Spackling Drydex 237 ml</t>
  </si>
  <si>
    <t>s2320029</t>
  </si>
  <si>
    <t>Electrical Cable Retro Box</t>
  </si>
  <si>
    <t>s2840026</t>
  </si>
  <si>
    <t>Drywall lightweight 1/2x4x8</t>
  </si>
  <si>
    <t>s440044</t>
  </si>
  <si>
    <t>TPO Coated Metal</t>
  </si>
  <si>
    <t>s2320156</t>
  </si>
  <si>
    <t>Vise Grip</t>
  </si>
  <si>
    <t>s4510022</t>
  </si>
  <si>
    <t>24GA Diamond Rib 3/4''</t>
  </si>
  <si>
    <t>s2830016</t>
  </si>
  <si>
    <t>Filler Great Stuff Big Gap 12oz</t>
  </si>
  <si>
    <t>s2830023</t>
  </si>
  <si>
    <t>Sealant Henry 925 BES</t>
  </si>
  <si>
    <t>s2840046</t>
  </si>
  <si>
    <t>Pipe Insulation- ALLEY WRAP B 1X48X100</t>
  </si>
  <si>
    <t>r00095110</t>
  </si>
  <si>
    <t>IKO Perkadox Catalyst Powder 100g Bag</t>
  </si>
  <si>
    <t>Roofmart May 2024</t>
  </si>
  <si>
    <t>r013314</t>
  </si>
  <si>
    <t>Dens-Deck Prime 1/4in x 4 x 8 Roof Board</t>
  </si>
  <si>
    <t>r013315</t>
  </si>
  <si>
    <t>r013316</t>
  </si>
  <si>
    <t>Dens-Deck Prime 5/8in x 4 x 8 Roof Board</t>
  </si>
  <si>
    <t>r02418010</t>
  </si>
  <si>
    <t>IKO Metatech Porous Primer 10kg</t>
  </si>
  <si>
    <t>r02418020</t>
  </si>
  <si>
    <t>IKO Metatech Bitumen Primer 10kg</t>
  </si>
  <si>
    <t>r02418110</t>
  </si>
  <si>
    <t>IKO Metatech Field 10kg</t>
  </si>
  <si>
    <t>r02418120</t>
  </si>
  <si>
    <t>IKO Metatech Field 20kg</t>
  </si>
  <si>
    <t>r02418210</t>
  </si>
  <si>
    <t>IKO Metatech Flashing 10kg</t>
  </si>
  <si>
    <t>r0320090</t>
  </si>
  <si>
    <t>Hot Asphalt Type 3</t>
  </si>
  <si>
    <t>r05225822</t>
  </si>
  <si>
    <t>IKO Polyester Fleece 110 - 39.4" x 164'</t>
  </si>
  <si>
    <t>r05225823</t>
  </si>
  <si>
    <t>IKO Polyester Fleece 110 - 9.85" x 164'</t>
  </si>
  <si>
    <t>r061051</t>
  </si>
  <si>
    <t>Securock Gypsum-Fiber 3/8in 4ft x 8ft</t>
  </si>
  <si>
    <t>r06-865</t>
  </si>
  <si>
    <t>Prime 3.5" Spud Bar</t>
  </si>
  <si>
    <t>r06-866</t>
  </si>
  <si>
    <t>Prime 7" Spud Bar</t>
  </si>
  <si>
    <t>r06-867</t>
  </si>
  <si>
    <t>Prime 3.5" Spud Bar Blade</t>
  </si>
  <si>
    <t>r06-868</t>
  </si>
  <si>
    <t>Prime 7" Spud Bar Blade</t>
  </si>
  <si>
    <t>r0760083</t>
  </si>
  <si>
    <t>*Kegged Asphalt Type 2</t>
  </si>
  <si>
    <t>KE</t>
  </si>
  <si>
    <t>r0760089</t>
  </si>
  <si>
    <t>Easy-Melt      Type 3</t>
  </si>
  <si>
    <t>r0910005</t>
  </si>
  <si>
    <t>Protectoboard 1/8in (3mm) 4 X 5</t>
  </si>
  <si>
    <t>r0910006</t>
  </si>
  <si>
    <t>Protectoboard 1/4in (6mm) 4 X 5</t>
  </si>
  <si>
    <t>r0910013</t>
  </si>
  <si>
    <t>Protectoboard 3/16in (4.5mm) 4 X 5</t>
  </si>
  <si>
    <t>r0920002</t>
  </si>
  <si>
    <t>ProtectoBase 180 Film 3/16in 3ft X 8ft</t>
  </si>
  <si>
    <t>r0920003</t>
  </si>
  <si>
    <t>ProtectoBase 180 Sanded 3/16in 3ft x 8ft</t>
  </si>
  <si>
    <t>r0925001</t>
  </si>
  <si>
    <t>Shieldbase 180   3ft x 8ft</t>
  </si>
  <si>
    <t>r0940080</t>
  </si>
  <si>
    <t>Granules - Pail Frostone Grey 15 kg</t>
  </si>
  <si>
    <t>r0940091</t>
  </si>
  <si>
    <t>Granules - Armourcool White Pail 10kg</t>
  </si>
  <si>
    <t>r0RS220001</t>
  </si>
  <si>
    <t>r0RS25000</t>
  </si>
  <si>
    <t>Bilco Roof Hatch S-50 36in x30in</t>
  </si>
  <si>
    <t>r0RS32000</t>
  </si>
  <si>
    <t>Bilco Roof Hatch E-20 36in x36in</t>
  </si>
  <si>
    <t>r0RS35000</t>
  </si>
  <si>
    <t>Bilco Roof Hatch E-50 36in x36in</t>
  </si>
  <si>
    <t>r0RS520001</t>
  </si>
  <si>
    <t>Bilco Roof Hatch NB-20 30in x54in</t>
  </si>
  <si>
    <t>r0RS62000</t>
  </si>
  <si>
    <t>Bilco Roof Hatch L-20 96in x30in</t>
  </si>
  <si>
    <t>r0RT250001</t>
  </si>
  <si>
    <t>Bilco Roof Hatch S-50TB 36in x 30in</t>
  </si>
  <si>
    <t>r10-099</t>
  </si>
  <si>
    <t>Stanley Utility Knife 6in Retractable</t>
  </si>
  <si>
    <t>r10-418</t>
  </si>
  <si>
    <t>Stanley Snap-Off Blade Knife 18mm</t>
  </si>
  <si>
    <t>r10-425</t>
  </si>
  <si>
    <t>Stanley Snap-Off Blade Knife 25mm</t>
  </si>
  <si>
    <t>r10-550M</t>
  </si>
  <si>
    <t>Stanley Super Heavy Duty Knife</t>
  </si>
  <si>
    <t>r107.123</t>
  </si>
  <si>
    <t>Leister Wide Shot 20mm Nozzle For Triac</t>
  </si>
  <si>
    <t>r107.132</t>
  </si>
  <si>
    <t>Leister Wide Shot 40mm Nozzle For Triac</t>
  </si>
  <si>
    <t>r10-788</t>
  </si>
  <si>
    <t>Stanley Quick Change Retractable Knife</t>
  </si>
  <si>
    <t>r10-LSMS-BL</t>
  </si>
  <si>
    <t>HyKote Labor Sav'r Mastic Black 10.1oz</t>
  </si>
  <si>
    <t>r10-LSMS-BL-05</t>
  </si>
  <si>
    <t>HyKote Labor Sav'r Mastic Black 5 Gal</t>
  </si>
  <si>
    <t>r10-LSMS-BL-2.5</t>
  </si>
  <si>
    <t>HyKote Labor Sav'r Mastic Black 2.5 Gal</t>
  </si>
  <si>
    <t>r10-LSMS-SI</t>
  </si>
  <si>
    <t>HyKote Labor Sav'r Mastic Silver 10.1oz</t>
  </si>
  <si>
    <t>r10-LSMS-SI-05</t>
  </si>
  <si>
    <t>HyKote Labor Sav'r Mastic Silver 5 Gal</t>
  </si>
  <si>
    <t>r10-LSMS-WH</t>
  </si>
  <si>
    <t>HyKote Labor Sav'r Mastic White 10.1oz</t>
  </si>
  <si>
    <t>r10-LSMS-WH-05</t>
  </si>
  <si>
    <t>HyKote Labor Sav'r Mastic White 5 Gal</t>
  </si>
  <si>
    <t>r10-LSMS-WH-2.5</t>
  </si>
  <si>
    <t>HyKote Labor Sav'r Mastic White 2.5 Gal</t>
  </si>
  <si>
    <t>r10-RF-BL-05</t>
  </si>
  <si>
    <t>HyKote 1000 Black 5 Gal</t>
  </si>
  <si>
    <t>r10-RF-BL-50</t>
  </si>
  <si>
    <t>HyKote 1000 Black 50 Gal</t>
  </si>
  <si>
    <t>r10-RF-CL-05</t>
  </si>
  <si>
    <t>HyKote 1000 Clear 5 Gal</t>
  </si>
  <si>
    <t>r10-RF-CL-50</t>
  </si>
  <si>
    <t>HyKote 1000 Clear 50 Gal</t>
  </si>
  <si>
    <t>r10-RF-LG-05</t>
  </si>
  <si>
    <t>HyKote 1000 Light Grey 5 Gal</t>
  </si>
  <si>
    <t>r10-RF-LG-50</t>
  </si>
  <si>
    <t>HyKote 1000 Light Grey 50 Gal</t>
  </si>
  <si>
    <t>r10-RF-SI-05</t>
  </si>
  <si>
    <t>*HyKote 1000 Silver 5 Gal</t>
  </si>
  <si>
    <t>r10-RF-SI-50</t>
  </si>
  <si>
    <t>HyKote 1000 Silver 50 Gal</t>
  </si>
  <si>
    <t>r10-RF-WH-05</t>
  </si>
  <si>
    <t>HyKote 1000 White 5 Gal</t>
  </si>
  <si>
    <t>r10-RF-WH-50</t>
  </si>
  <si>
    <t>HyKote 1000 White 50 Gal</t>
  </si>
  <si>
    <t>r11015930</t>
  </si>
  <si>
    <t>Dupont Roofmate 2in x 2ft x 8ft Shiplap</t>
  </si>
  <si>
    <t>r11015931</t>
  </si>
  <si>
    <t>Dupont Roofmate 3in x 2ft x 8ft Shiplap</t>
  </si>
  <si>
    <t>r11015932</t>
  </si>
  <si>
    <t>Dupont Roofmate 4in x 2ft x 8ft Shiplap</t>
  </si>
  <si>
    <t>r11017206</t>
  </si>
  <si>
    <t>Dupont Roofmate 1in x 2ft x 8ft BE</t>
  </si>
  <si>
    <t>r11-618</t>
  </si>
  <si>
    <t>*Stanley Snap-Off Hook Blade 18mm 5 pk</t>
  </si>
  <si>
    <t>r11-625</t>
  </si>
  <si>
    <t>*Stanley Snap-Off Hook Blades 25mm 5/pk</t>
  </si>
  <si>
    <t>PK</t>
  </si>
  <si>
    <t>r11-718</t>
  </si>
  <si>
    <t>Stanley Snap-Off 18mm Straight Blade 5pk</t>
  </si>
  <si>
    <t>r11-718L</t>
  </si>
  <si>
    <t>Stanley Snap-Off Stright Blade 18mm 50pk</t>
  </si>
  <si>
    <t>r11-725</t>
  </si>
  <si>
    <t>Stanley Snap-Off "H" Blades 25mm 5/pack</t>
  </si>
  <si>
    <t>r11-921</t>
  </si>
  <si>
    <t>Stanley T 1992 Utility Blades 5 pk</t>
  </si>
  <si>
    <t>r11-921A</t>
  </si>
  <si>
    <t>Stanley T 1992 Utility Blades 100 pk</t>
  </si>
  <si>
    <t>r11-939</t>
  </si>
  <si>
    <t>Stanley Roofing Hook Blades 5pk</t>
  </si>
  <si>
    <t>r11-939A</t>
  </si>
  <si>
    <t>Stanley Hook Blades 70pk w/Dispenser</t>
  </si>
  <si>
    <t>r1203578</t>
  </si>
  <si>
    <t>Dekfast #14 Phil 4in 1000/bx</t>
  </si>
  <si>
    <t>r1203605</t>
  </si>
  <si>
    <t>Dekfast #14 Phil 5in 1000/bx</t>
  </si>
  <si>
    <t>r1203632</t>
  </si>
  <si>
    <t>Dekfast #14 Phil 6in 1000/bx</t>
  </si>
  <si>
    <t>r1203659</t>
  </si>
  <si>
    <t>Dekfast #14 Phil 7in 500/bx</t>
  </si>
  <si>
    <t>r1203810</t>
  </si>
  <si>
    <t>Dekfast #14 Phil 8in 500/bx</t>
  </si>
  <si>
    <t>r1204081</t>
  </si>
  <si>
    <t>Dekfast #14 Phil 9in 500/bx</t>
  </si>
  <si>
    <t>r1366760</t>
  </si>
  <si>
    <t>Dekfast #12 Phil 1-5/8in 1000/bx</t>
  </si>
  <si>
    <t>r1366863</t>
  </si>
  <si>
    <t>Dekfast #14 Phil 2in 1000/box</t>
  </si>
  <si>
    <t>r1366864</t>
  </si>
  <si>
    <t>Dekfast #14 Phil 1-1/4in 1000/bx</t>
  </si>
  <si>
    <t>r141.228</t>
  </si>
  <si>
    <t>Leister Triac ST 120V/1600W</t>
  </si>
  <si>
    <t>r156650-800</t>
  </si>
  <si>
    <t>Mulco Acoustic Sealant Aluminum  800ml</t>
  </si>
  <si>
    <t>r1635618</t>
  </si>
  <si>
    <t>Dekfast #12 Phil 3inch  1000/bx</t>
  </si>
  <si>
    <t>r1850030</t>
  </si>
  <si>
    <t>Roofcraft Aluminum Roof Shield 18.93L</t>
  </si>
  <si>
    <t>r1850032</t>
  </si>
  <si>
    <t>r1850038</t>
  </si>
  <si>
    <t>Roofcraft Plastic Cement Wet/Dry 300ml</t>
  </si>
  <si>
    <t>r1850079</t>
  </si>
  <si>
    <t>r1850083</t>
  </si>
  <si>
    <t>IKO MS Detail 2L Pouch     4 pouches/bx</t>
  </si>
  <si>
    <t>r1850094</t>
  </si>
  <si>
    <t>Aquabarrier Mastic 300ml Tubes</t>
  </si>
  <si>
    <t>r1850095</t>
  </si>
  <si>
    <t>Aquabarrier Mastic 10kg</t>
  </si>
  <si>
    <t>r1890000</t>
  </si>
  <si>
    <t>IKO Cold Gold Adhesive 18.93L</t>
  </si>
  <si>
    <t>r1890001</t>
  </si>
  <si>
    <t>IKO Cold Gold Flashing Adhesive 18.93L</t>
  </si>
  <si>
    <t>r1AD0001</t>
  </si>
  <si>
    <t>r1AD0002</t>
  </si>
  <si>
    <t>IKO Millennium Adhesive Part 1 Pump</t>
  </si>
  <si>
    <t>r1AD0003</t>
  </si>
  <si>
    <t>IKO Millennium Adhesive Part 2 Pump</t>
  </si>
  <si>
    <t>r1AD0004</t>
  </si>
  <si>
    <t>IKO Millennium Adhesive Part 1 Pump 50Ga</t>
  </si>
  <si>
    <t>r1AD0005</t>
  </si>
  <si>
    <t>IKO Millennium Adhesive Part 2 Pump 50Ga</t>
  </si>
  <si>
    <t>r1AD0054</t>
  </si>
  <si>
    <t>IKO Mill. Battery Power Applicator - New</t>
  </si>
  <si>
    <t>r1AD0057</t>
  </si>
  <si>
    <t>IKO Millennium Replacement Battery</t>
  </si>
  <si>
    <t>r1AD0058</t>
  </si>
  <si>
    <t>IKO Millennium Battery Charger</t>
  </si>
  <si>
    <t>r20-SP-05</t>
  </si>
  <si>
    <t>HyKote Select Primer 5 Gal</t>
  </si>
  <si>
    <t>r20-TA-12-300</t>
  </si>
  <si>
    <t>HyKote Poly/Rein. Scrim 12in x 300ft rl</t>
  </si>
  <si>
    <t>r20-TA-24-300</t>
  </si>
  <si>
    <t>HyKote Poly/Rein. Scrim 24in x 300ft rl</t>
  </si>
  <si>
    <t>r20-TA-4-300</t>
  </si>
  <si>
    <t>HyKote Poly/Rein. Scrim 4in x 300ft rl</t>
  </si>
  <si>
    <t>r3001-90</t>
  </si>
  <si>
    <t>Sievert LP Gas Quick Connect For Handle</t>
  </si>
  <si>
    <t>r3002-90</t>
  </si>
  <si>
    <t>Sievert LP Gas Quick Connect For Hose</t>
  </si>
  <si>
    <t>r300-3130</t>
  </si>
  <si>
    <t>Blue Drain Seal 3 in - (Menzies-U-Flow)</t>
  </si>
  <si>
    <t>r300-3135</t>
  </si>
  <si>
    <t>r300-3140</t>
  </si>
  <si>
    <t>Blue Drain Seal 5 in - (Menzies-U-Flow)</t>
  </si>
  <si>
    <t>r300-3145</t>
  </si>
  <si>
    <t>Blue Drain Seal 6 in - (Menzies-U-Flow)</t>
  </si>
  <si>
    <t>r3062-93</t>
  </si>
  <si>
    <t>Sievert LP Gas Regulator</t>
  </si>
  <si>
    <t>r36-267</t>
  </si>
  <si>
    <t>Prime 2-Notch Titanium Hook Blades 100pk</t>
  </si>
  <si>
    <t>r36-466</t>
  </si>
  <si>
    <t>Prime 10" Stainless Steel Scissors</t>
  </si>
  <si>
    <t>r4181001</t>
  </si>
  <si>
    <t>IKOTherm CoverShield 1/2in 4ft x 8ft</t>
  </si>
  <si>
    <t>r4183003</t>
  </si>
  <si>
    <t>IKOTherm 1.0 Inch  4ft x 4ft</t>
  </si>
  <si>
    <t>r4183008</t>
  </si>
  <si>
    <t>IKOTherm 1.5 Inch  4ft x 4ft</t>
  </si>
  <si>
    <t>r4183013</t>
  </si>
  <si>
    <t>r4183018</t>
  </si>
  <si>
    <t>IKOTherm 2.5 Inch  4ft x 4ft</t>
  </si>
  <si>
    <t>r4183023</t>
  </si>
  <si>
    <t>r4183028</t>
  </si>
  <si>
    <t>IKOTherm 3.5 Inch  4ft x 4ft</t>
  </si>
  <si>
    <t>r4183033</t>
  </si>
  <si>
    <t>IKOTherm 4.0 Inch  4ft x 4ft</t>
  </si>
  <si>
    <t>r4183503</t>
  </si>
  <si>
    <t>r4183508</t>
  </si>
  <si>
    <t>r4183513</t>
  </si>
  <si>
    <t>IKOTherm III 2.0 Inch 4ft x 4ft</t>
  </si>
  <si>
    <t>r4183518</t>
  </si>
  <si>
    <t>r4183523</t>
  </si>
  <si>
    <t>r4183528</t>
  </si>
  <si>
    <t>IKOTherm III 3.5 Inch 4ft x 4ft</t>
  </si>
  <si>
    <t>r4183533</t>
  </si>
  <si>
    <t>IKOTherm III 4.0 Inch 4ft X 4ft</t>
  </si>
  <si>
    <t>r4183900</t>
  </si>
  <si>
    <t>r4183901</t>
  </si>
  <si>
    <t>r4183902</t>
  </si>
  <si>
    <t>r4183903</t>
  </si>
  <si>
    <t>r4183906</t>
  </si>
  <si>
    <t>r4183907</t>
  </si>
  <si>
    <t>r4183909</t>
  </si>
  <si>
    <t>r51507</t>
  </si>
  <si>
    <t>*Luco Mixed Fiberglass Pin Mop 7lb</t>
  </si>
  <si>
    <t>r51508</t>
  </si>
  <si>
    <t>Luco Mixed Fibreglass Pin Mop  8lb</t>
  </si>
  <si>
    <t>r53524</t>
  </si>
  <si>
    <t>Luco Mop Yarn 24in Skeins - Mixed</t>
  </si>
  <si>
    <t>r53530</t>
  </si>
  <si>
    <t>Luco Mop Yarn 30in Skeins - Mixed</t>
  </si>
  <si>
    <t>r59026</t>
  </si>
  <si>
    <t>Luco Aluminum Mop Handle 6ft with Bolt</t>
  </si>
  <si>
    <t>r59300</t>
  </si>
  <si>
    <t>Luco Mop Pin Adapter with Sleeve</t>
  </si>
  <si>
    <t>IKO InnoviTPO White 045 10ft x 100ft</t>
  </si>
  <si>
    <t>IKO InnoviTPO White 060 10ft x 100ft</t>
  </si>
  <si>
    <t>r6001-9-30-RM</t>
  </si>
  <si>
    <t>*Roofcraft Roof and Foundation Primer</t>
  </si>
  <si>
    <t>IKO InnoviTPO White 080 10ft x 100ft</t>
  </si>
  <si>
    <t>r602-1610</t>
  </si>
  <si>
    <t>Storm Collar 5in  Galvanized</t>
  </si>
  <si>
    <t>r602-1615</t>
  </si>
  <si>
    <t>Storm Collar 6in Galvanized</t>
  </si>
  <si>
    <t>r602-1620</t>
  </si>
  <si>
    <t>Storm Collar 7in Galvanized</t>
  </si>
  <si>
    <t>r602-1625</t>
  </si>
  <si>
    <t>Storm Collar 8in Galvanized</t>
  </si>
  <si>
    <t>r602-1635</t>
  </si>
  <si>
    <t>Storm Collar 10in Galvanized</t>
  </si>
  <si>
    <t>r602-1640</t>
  </si>
  <si>
    <t>Storm Collar 12in Galvanized</t>
  </si>
  <si>
    <t>r6100001</t>
  </si>
  <si>
    <t>IKO InnoviTPO Membrane Adhesive</t>
  </si>
  <si>
    <t>r6100003</t>
  </si>
  <si>
    <t>IKO InnoviTPO Membrane Adhesive SPR</t>
  </si>
  <si>
    <t>r6100006</t>
  </si>
  <si>
    <t>*IKO InnoviTPO Edge Sealant White</t>
  </si>
  <si>
    <t>r6100008</t>
  </si>
  <si>
    <t>IKO InnoviTPO Water Stop Mastic Gray</t>
  </si>
  <si>
    <t>r6100009</t>
  </si>
  <si>
    <t>IKO InnoviTPO SPR Flush Solution</t>
  </si>
  <si>
    <t>r6100012</t>
  </si>
  <si>
    <t>IKO InnoviTPO Primer 3 Gallon</t>
  </si>
  <si>
    <t>r6100016</t>
  </si>
  <si>
    <t>*IKO InnoviTPO Pre-Wash 1 Gallon</t>
  </si>
  <si>
    <t>r61050</t>
  </si>
  <si>
    <t>Securock Gypsum-Fiber   1/4in 4ft x 8ft</t>
  </si>
  <si>
    <t>r61052 430</t>
  </si>
  <si>
    <t>Securock Gypsum-Fiber   1/2in 4ft x  8ft</t>
  </si>
  <si>
    <t>r6140-9-30-RM</t>
  </si>
  <si>
    <t>r6200001</t>
  </si>
  <si>
    <t>IKO InnoviTPO Uni. Corner White</t>
  </si>
  <si>
    <t>r6200004</t>
  </si>
  <si>
    <t>IKO InnoviTPO RPS 6in x 100ft White</t>
  </si>
  <si>
    <t>r6200060</t>
  </si>
  <si>
    <t>IKO InnoviTPO Universal Pipe White</t>
  </si>
  <si>
    <t>r6203060</t>
  </si>
  <si>
    <t>IKO InnoviTPO Joint Cover White</t>
  </si>
  <si>
    <t>r6204060</t>
  </si>
  <si>
    <t>IKO InnoviTPO Sealant Pocket White</t>
  </si>
  <si>
    <t>r6207060</t>
  </si>
  <si>
    <t>IKO InnoviTPO Coated Metal White</t>
  </si>
  <si>
    <t>r6208060</t>
  </si>
  <si>
    <t>IKO InnoviTPO Walkway Pad White</t>
  </si>
  <si>
    <t>r6209060</t>
  </si>
  <si>
    <t>IKO InnoviTPO 6in Cover Tape White</t>
  </si>
  <si>
    <t>r6225-9-37-RM</t>
  </si>
  <si>
    <t>Roofcraft Wet/Dry Plastic Cement 20kg</t>
  </si>
  <si>
    <t>r6225-9-83-RM</t>
  </si>
  <si>
    <t>Roofcraft Plastic Cement Wet/Dry 10kg</t>
  </si>
  <si>
    <t>r6226060</t>
  </si>
  <si>
    <t>IKO InnoviTPO Unsup. Flashing White</t>
  </si>
  <si>
    <t>r6300000</t>
  </si>
  <si>
    <t>IKO InnoviTPO HD Seam Plate 2-3/8in</t>
  </si>
  <si>
    <t>r6300002</t>
  </si>
  <si>
    <t>IKO InnoviTPO AP Fastener #14 1-1/4in</t>
  </si>
  <si>
    <t>r6300003</t>
  </si>
  <si>
    <t>IKO InnoviTPO AP Fastener #14 2in</t>
  </si>
  <si>
    <t>r6300004</t>
  </si>
  <si>
    <t>IKO InnoviTPO AP Fastener #14 3in</t>
  </si>
  <si>
    <t>r6300005</t>
  </si>
  <si>
    <t>IKO InnoviTPO AP Fastener #14 4in</t>
  </si>
  <si>
    <t>r6300006</t>
  </si>
  <si>
    <t>IKO InnoviTPO AP Fastener #14 5in</t>
  </si>
  <si>
    <t>r6300007</t>
  </si>
  <si>
    <t>IKO InnoviTPO AP Fastener #14 6in</t>
  </si>
  <si>
    <t>r6300008</t>
  </si>
  <si>
    <t>IKO InnoviTPO AP Fastener #14 7in</t>
  </si>
  <si>
    <t>r6300009</t>
  </si>
  <si>
    <t>IKO InnoviTPO AP Fastener #14 8in</t>
  </si>
  <si>
    <t>r6300010</t>
  </si>
  <si>
    <t>IKO InnoviTPO AP Fastener #14 9in</t>
  </si>
  <si>
    <t>r6300058</t>
  </si>
  <si>
    <t>IKO InnoviTPO HD Fastener #15 2in</t>
  </si>
  <si>
    <t>r6300059</t>
  </si>
  <si>
    <t>IKO InnoviTPO HD Fastener #15 3in</t>
  </si>
  <si>
    <t>r6300060</t>
  </si>
  <si>
    <t>IKO InnoviTPO HD Fastener #15 4in</t>
  </si>
  <si>
    <t>r6300061</t>
  </si>
  <si>
    <t>IKO InnoviTPO HD Fastener #15 5in</t>
  </si>
  <si>
    <t>r6300062</t>
  </si>
  <si>
    <t>IKO InnoviTPO HD Fastener #15 6in</t>
  </si>
  <si>
    <t>r6300063</t>
  </si>
  <si>
    <t>IKO InnoviTPO HD Fastener #15 7in</t>
  </si>
  <si>
    <t>r6300064</t>
  </si>
  <si>
    <t>IKO InnoviTPO HD Fastener #15 8in</t>
  </si>
  <si>
    <t>r6300065</t>
  </si>
  <si>
    <t>IKO InnoviTPO HD Fastener #15 9in</t>
  </si>
  <si>
    <t>r6300066</t>
  </si>
  <si>
    <t>IKO InnoviTPO HD Fastener #15 10in</t>
  </si>
  <si>
    <t>r6300068</t>
  </si>
  <si>
    <t>IKO InnoviTPO HD Fastener #15 12in</t>
  </si>
  <si>
    <t>r6300069</t>
  </si>
  <si>
    <t>IKO InnoviTPO HD Fastener #15 14in</t>
  </si>
  <si>
    <t>r6300070</t>
  </si>
  <si>
    <t>IKO InnoviTPO HD Fastener #15 16in</t>
  </si>
  <si>
    <t>r6300079</t>
  </si>
  <si>
    <t>IKO InnoviTPO Insulation Plate 3in</t>
  </si>
  <si>
    <t>r6300098</t>
  </si>
  <si>
    <t>IKO InnoviTPO Induction Weld Plate</t>
  </si>
  <si>
    <t>r6300101</t>
  </si>
  <si>
    <t>IKO InnoviTPO SPR Ext Spray Applicator</t>
  </si>
  <si>
    <t>r6300102</t>
  </si>
  <si>
    <t>IKO InnoviTPO SPR Spray Applicator</t>
  </si>
  <si>
    <t>r6300103</t>
  </si>
  <si>
    <t>IKO Innovi TPO SPR 6ft Spray Hose</t>
  </si>
  <si>
    <t>r6300104</t>
  </si>
  <si>
    <t>IKO Innovi TPO SPR 12ft Spray Hose</t>
  </si>
  <si>
    <t>r6300105</t>
  </si>
  <si>
    <t>IKO Innovi TPO SPR 18ft Spray Hose</t>
  </si>
  <si>
    <t>r71-002</t>
  </si>
  <si>
    <t>Prime 2" x 5.5" Roof Trowel Round Edges</t>
  </si>
  <si>
    <t>r71-003</t>
  </si>
  <si>
    <t>Prime 2" x 7" Roof Trowel Round Edges</t>
  </si>
  <si>
    <t>r730612</t>
  </si>
  <si>
    <t>Dekfast Plate Hex 2-7/8 1000/bx</t>
  </si>
  <si>
    <t>r7507RC-020</t>
  </si>
  <si>
    <t>Roofcraft Cold Process Adhesive 18.93L</t>
  </si>
  <si>
    <t>r7518RC-010</t>
  </si>
  <si>
    <t>r7518RC-020</t>
  </si>
  <si>
    <t>Roofcraft Flexmastic 20kg</t>
  </si>
  <si>
    <t>r7518RC-300</t>
  </si>
  <si>
    <t>Roofcraft Flexmastic 300ml</t>
  </si>
  <si>
    <t>r7522RC-016</t>
  </si>
  <si>
    <t>Roofcraft Leak Seal 16kg</t>
  </si>
  <si>
    <t>r7530063</t>
  </si>
  <si>
    <t>MP-250 Cap 10m Frostone Grey 3.8mm</t>
  </si>
  <si>
    <t>r7620063</t>
  </si>
  <si>
    <t>TP-250 Cap 8m Frostone Grey  4.0mm</t>
  </si>
  <si>
    <t>r7702063</t>
  </si>
  <si>
    <t>Prevent TP-250 8m Frostone Grey  4.0mm</t>
  </si>
  <si>
    <t>r7710001</t>
  </si>
  <si>
    <t>MF-95 SS Base  2.2mm</t>
  </si>
  <si>
    <t>r7720090</t>
  </si>
  <si>
    <t>MF-95 FS Base   2.2mm</t>
  </si>
  <si>
    <t>r7720101</t>
  </si>
  <si>
    <t>Modiflex Roof Tape 6in</t>
  </si>
  <si>
    <t>r7730090</t>
  </si>
  <si>
    <t>MP-180 FS Base  2.2mm</t>
  </si>
  <si>
    <t>r7730093</t>
  </si>
  <si>
    <t>Fast-N-Stick 180 Base 1.5sq.  2.5mm</t>
  </si>
  <si>
    <t>r7740001</t>
  </si>
  <si>
    <t>MP-180 SS Base  2.5mm</t>
  </si>
  <si>
    <t>r7750003</t>
  </si>
  <si>
    <t>TF-95-SF Base  2.2mm</t>
  </si>
  <si>
    <t>r7750053</t>
  </si>
  <si>
    <t>TP-180-SF Base 3.0mm</t>
  </si>
  <si>
    <t>r7750090</t>
  </si>
  <si>
    <t>TP-180 FF Base 3.0mm</t>
  </si>
  <si>
    <t>r7750093</t>
  </si>
  <si>
    <t>TP-HD-FF Base  3.0mm</t>
  </si>
  <si>
    <t>r7750201</t>
  </si>
  <si>
    <t>Torch Tape 180-FF  13iin</t>
  </si>
  <si>
    <t>r7780063</t>
  </si>
  <si>
    <t>TP-HD Cap 8m Frostone Grey  4.0mm</t>
  </si>
  <si>
    <t>r7850130</t>
  </si>
  <si>
    <t>*AcrylicStick SA (10mils) 36in x 75ft</t>
  </si>
  <si>
    <t>r7850136</t>
  </si>
  <si>
    <t>AcrylicStick SA (10mils)   60in x 75ft</t>
  </si>
  <si>
    <t>r7870010</t>
  </si>
  <si>
    <t>IKO Mod-Bit Primer 18.93L Pail</t>
  </si>
  <si>
    <t>r7870011</t>
  </si>
  <si>
    <t>r789767</t>
  </si>
  <si>
    <t>Dekfast #15 Phil 10in 500/bx</t>
  </si>
  <si>
    <t>r789791</t>
  </si>
  <si>
    <t>Dekfast #15 Phil 12in 250/bx</t>
  </si>
  <si>
    <t>r789807</t>
  </si>
  <si>
    <t>Dekfast #15 Phil 14in 250/bx</t>
  </si>
  <si>
    <t>r789822</t>
  </si>
  <si>
    <t>Dekfast #15 Phil 16in 250/bx</t>
  </si>
  <si>
    <t>r789830</t>
  </si>
  <si>
    <t>Dekfast #15 Phil 18in 250/bx</t>
  </si>
  <si>
    <t>r7920000</t>
  </si>
  <si>
    <t>Armourbond 180  3.0mm</t>
  </si>
  <si>
    <t>r7920010</t>
  </si>
  <si>
    <t>Armourbond Flash  2.5mm</t>
  </si>
  <si>
    <t>r7920023</t>
  </si>
  <si>
    <t>Armourbond Flash Sanded 2.5mm x 15M</t>
  </si>
  <si>
    <t>r7920058</t>
  </si>
  <si>
    <t>ArmourCool Granular TP HD Cap  5.0mm</t>
  </si>
  <si>
    <t>r7920101</t>
  </si>
  <si>
    <t>ArmourStick HD Base</t>
  </si>
  <si>
    <t>r7920163</t>
  </si>
  <si>
    <t>ArmourStick HD Cap Frostone Grey</t>
  </si>
  <si>
    <t>r7940002</t>
  </si>
  <si>
    <t>IKO MVP (Modified Vapour Protector)1.2mm</t>
  </si>
  <si>
    <t>r7940003</t>
  </si>
  <si>
    <t>IKO MVP Sand (Modified Vapour Protector)</t>
  </si>
  <si>
    <t>r955C1</t>
  </si>
  <si>
    <t>r975-C1</t>
  </si>
  <si>
    <t>MSL Fiberboard Std.Ctd 1/2in 4 X 8 Sheet</t>
  </si>
  <si>
    <t>r982326</t>
  </si>
  <si>
    <t>Dekfast Plate Round Spiked 2-3/8in-1000</t>
  </si>
  <si>
    <t>rA3PH</t>
  </si>
  <si>
    <t>High Dome Roof Flashing 3 Inch</t>
  </si>
  <si>
    <t>rA4PH</t>
  </si>
  <si>
    <t>High Dome Roof Flashing 4 Inch</t>
  </si>
  <si>
    <t>rBK7000S576</t>
  </si>
  <si>
    <t>Bakor Vapor-Bloc Adhesive - Summer</t>
  </si>
  <si>
    <t>rBKDB6200</t>
  </si>
  <si>
    <t>Bakor DB-6200 Drainage Mat 6ft x 50ft</t>
  </si>
  <si>
    <t>rCS4460</t>
  </si>
  <si>
    <t>Sievert TurboRoofer Combo Torch Kit</t>
  </si>
  <si>
    <t>rGTR-7</t>
  </si>
  <si>
    <t>Bennett Gauging Trowel 7in x 3-1/2in</t>
  </si>
  <si>
    <t>rGUMCUP-4C</t>
  </si>
  <si>
    <t>Gum Cup 4in  Closed</t>
  </si>
  <si>
    <t>rGUMCUP-4O</t>
  </si>
  <si>
    <t>Gum Cup 4in  Open</t>
  </si>
  <si>
    <t>rGUMCUP-4X</t>
  </si>
  <si>
    <t>Gum Cup 4in Combo</t>
  </si>
  <si>
    <t>rGUMCUP-6O</t>
  </si>
  <si>
    <t>Gum Cup 6in Open</t>
  </si>
  <si>
    <t>rGUMCUP-6X</t>
  </si>
  <si>
    <t>Gum Cup 6in Combo</t>
  </si>
  <si>
    <t>rKTRC</t>
  </si>
  <si>
    <t>Torch Roll Puller - Extendable</t>
  </si>
  <si>
    <t>rLP200</t>
  </si>
  <si>
    <t>Woven Geotextile - 17.5ft x 309ft</t>
  </si>
  <si>
    <t>rLU-1</t>
  </si>
  <si>
    <t>Bilco Ladder Up Safety Post Yellow</t>
  </si>
  <si>
    <t>rMR05020</t>
  </si>
  <si>
    <t>Everhard Silicone Seam Roller 1-3/4in</t>
  </si>
  <si>
    <t>rMR05029</t>
  </si>
  <si>
    <t>Everhard Ergonomic Seam Roller</t>
  </si>
  <si>
    <t>rMR05032</t>
  </si>
  <si>
    <t>Everhard Silicone Tester &amp; Roller 1.75in</t>
  </si>
  <si>
    <t>rMR05110</t>
  </si>
  <si>
    <t>Everhard Silicone Rollers 2in dia X 4in</t>
  </si>
  <si>
    <t>rMR05200</t>
  </si>
  <si>
    <t>Everhard Silicone Wrist Saver Roller</t>
  </si>
  <si>
    <t>rMR05240</t>
  </si>
  <si>
    <t>Everhard Silicone Seam Roller 2in x 2in</t>
  </si>
  <si>
    <t>rMR12540</t>
  </si>
  <si>
    <t>Everhard V 2in Nylon Roller Double Fork</t>
  </si>
  <si>
    <t>rMR12860</t>
  </si>
  <si>
    <t>Everhard Cone Roller</t>
  </si>
  <si>
    <t>rMT-7</t>
  </si>
  <si>
    <t>Modi Trowel Large</t>
  </si>
  <si>
    <t>rNT 1414</t>
  </si>
  <si>
    <t>Bennett Notched Trowel 11" x 4.5" x .25"</t>
  </si>
  <si>
    <t>rRC2000GYGC</t>
  </si>
  <si>
    <t>Inland RC-2000 Roof Coating Grey 1gal</t>
  </si>
  <si>
    <t>rRC2000GYPE</t>
  </si>
  <si>
    <t>Inland RC-2000 Roof Coating Grey 5gal</t>
  </si>
  <si>
    <t>rRC2000WHGC</t>
  </si>
  <si>
    <t>Inland RC-2000 Roof Coating White 1gal</t>
  </si>
  <si>
    <t>rRC2000WHPE</t>
  </si>
  <si>
    <t>Inland RC-2000 Roof Coating White 5gal</t>
  </si>
  <si>
    <t>rRC2200WHGCB</t>
  </si>
  <si>
    <t>Inland RC-2200 Seam Compound Brush 1gal</t>
  </si>
  <si>
    <t>rRC2200WHPEB</t>
  </si>
  <si>
    <t>Inland RC-2200 Seam Compound Brush 5gal</t>
  </si>
  <si>
    <t>rRC2250WHGCB</t>
  </si>
  <si>
    <t>Inland RC-2250 Seam Compound Brush 1gal</t>
  </si>
  <si>
    <t>rRC2250WHPEB</t>
  </si>
  <si>
    <t>Inland RC-2250 Seam Compound Brush 5gal</t>
  </si>
  <si>
    <t>rRC300CDGC</t>
  </si>
  <si>
    <t>Inland Cleaner/Degreaser  1 gallon</t>
  </si>
  <si>
    <t>rRD-24A-RR-1 1/4</t>
  </si>
  <si>
    <t>Thaler Vandalproof Drain -SS 1 1/4</t>
  </si>
  <si>
    <t>rRD-24A-RR-1 3/4</t>
  </si>
  <si>
    <t>Thaler Vandalproof Drain -Actual 1 3/4</t>
  </si>
  <si>
    <t>rRD-24A-RR-2 1/4</t>
  </si>
  <si>
    <t>Thaler Vandalproof Drain - Actual 2 1/4</t>
  </si>
  <si>
    <t>rRD-24A-RR-2 3/4</t>
  </si>
  <si>
    <t>Thaler Vandalproof Drain -Actual 2 3/4</t>
  </si>
  <si>
    <t>rRD-24A-RR-3 1/4</t>
  </si>
  <si>
    <t>Thaler Vandalproof Drain -SS 3 1/4</t>
  </si>
  <si>
    <t>rRD-24A-RR-3 3/4</t>
  </si>
  <si>
    <t>Thaler Vandalproof Drain -Actual 3 3/4</t>
  </si>
  <si>
    <t>rRD-24A-RR-5 3/4</t>
  </si>
  <si>
    <t>Thaler Vandalproof Drain -Actual 5 3/4</t>
  </si>
  <si>
    <t>rRD-29A-RR-1 1/4</t>
  </si>
  <si>
    <t>Thaler Aluminum Roof Drain -SS 1 1/4</t>
  </si>
  <si>
    <t>rRD-29A-RR-1 3/4</t>
  </si>
  <si>
    <t>Thaler Aluminum Roof Drain -Actual 1 3/4</t>
  </si>
  <si>
    <t>rRD-29A-RR-2 1/4</t>
  </si>
  <si>
    <t>Thaler Aluminum Roof Drain -SS 2 1/4</t>
  </si>
  <si>
    <t>rRD-29A-RR-2 3/4</t>
  </si>
  <si>
    <t>Thaler Aluminum Roof Drain -Actual 2 3/4</t>
  </si>
  <si>
    <t>rRD-29A-RR-3 1/4</t>
  </si>
  <si>
    <t>Thaler Aluminum Roof Drain -SS 3 1/4</t>
  </si>
  <si>
    <t>rRD-29A-RR-3 3/4</t>
  </si>
  <si>
    <t>Thaler Aluminum Roof Drain -Actual 3 3/4</t>
  </si>
  <si>
    <t>rRD-29A-RR-5 3/4</t>
  </si>
  <si>
    <t>rRL2-S</t>
  </si>
  <si>
    <t>Bilco Bil-Guard Hatch Rail System RL-S</t>
  </si>
  <si>
    <t>rRL2-STB</t>
  </si>
  <si>
    <t>Bilco Bil-Guard Railing for S-50TB</t>
  </si>
  <si>
    <t>rROOF13.0001</t>
  </si>
  <si>
    <t>rROOF13.0037</t>
  </si>
  <si>
    <t>rROOF13.0038</t>
  </si>
  <si>
    <t>U Bolt For the Aluminum Mop Bell</t>
  </si>
  <si>
    <t>rRPM-400</t>
  </si>
  <si>
    <t>Inland Polyester Mesh 4in x 300ft</t>
  </si>
  <si>
    <t>rRST-200RC</t>
  </si>
  <si>
    <t>Inland RST-200 Tape 2in x 50ft</t>
  </si>
  <si>
    <t>rRST-400RC</t>
  </si>
  <si>
    <t>Inland RST-400 Tape 4in x 50ft</t>
  </si>
  <si>
    <t>rSCUPPER-66C</t>
  </si>
  <si>
    <t>Scupper 6in Closed</t>
  </si>
  <si>
    <t>rSCUPPER-66O</t>
  </si>
  <si>
    <t>Scupper 6in Open</t>
  </si>
  <si>
    <t>rSJ-26A-3</t>
  </si>
  <si>
    <t>Thaler Stack Jack 12in x 3in Insulated</t>
  </si>
  <si>
    <t>rSJ-26A-4</t>
  </si>
  <si>
    <t>Thaler Stack Jack 12in x 4in Insulated</t>
  </si>
  <si>
    <t>rSL5N18018</t>
  </si>
  <si>
    <t>Lead Sheet Flashing 5Lb 18 X 18</t>
  </si>
  <si>
    <t>rSL5N24024</t>
  </si>
  <si>
    <t>Lead Sheet Flashing 5Lb 24 X 24</t>
  </si>
  <si>
    <t>rSL5N36036</t>
  </si>
  <si>
    <t>Lead Sheet Flashing 5Lb 36 X 36</t>
  </si>
  <si>
    <t>rSV-38</t>
  </si>
  <si>
    <t>Bennett Roller Refill 3/8 Pile</t>
  </si>
  <si>
    <t>rT-14-RRA</t>
  </si>
  <si>
    <t>Thaler Replacement Strainer-RD-28/29</t>
  </si>
  <si>
    <t>rT-9-2</t>
  </si>
  <si>
    <t>Thaler Super Seal - EPDM Ring - 2 inch</t>
  </si>
  <si>
    <t>rT-9-3</t>
  </si>
  <si>
    <t>Thaler Super Seal - EPDM Ring - 3 inch</t>
  </si>
  <si>
    <t>rT-9-4</t>
  </si>
  <si>
    <t>Thaler Super Seal - EPDM Ring - 4 inch</t>
  </si>
  <si>
    <t>rT-9-6</t>
  </si>
  <si>
    <t>Thaler Super Seal - EPDM Ring - 6 inch</t>
  </si>
  <si>
    <t>rTI4460</t>
  </si>
  <si>
    <t>Sievert Titanium Combo Torch Kit</t>
  </si>
  <si>
    <t>rTWN 5-240 HD</t>
  </si>
  <si>
    <t>Bennett 9 1/2 inch Roller Cage</t>
  </si>
  <si>
    <t>rVB10M20100</t>
  </si>
  <si>
    <t>Poly Film 10mil 20ft x 100ft</t>
  </si>
  <si>
    <t>rVENT-BF04</t>
  </si>
  <si>
    <t>B-Vent 4in Flat</t>
  </si>
  <si>
    <t>rVENT-BF05</t>
  </si>
  <si>
    <t>B-Vent 5in Flat</t>
  </si>
  <si>
    <t>rVENT-BF06</t>
  </si>
  <si>
    <t>B-Vent 6in Flat</t>
  </si>
  <si>
    <t>rVENT-BF07</t>
  </si>
  <si>
    <t>B-Vent 7in Flat</t>
  </si>
  <si>
    <t>rVENT-BF08</t>
  </si>
  <si>
    <t>B-Vent 8in Flat</t>
  </si>
  <si>
    <t>rVENT-BF10</t>
  </si>
  <si>
    <t>B-Vent 10in Flat</t>
  </si>
  <si>
    <t>rVENT-BF12</t>
  </si>
  <si>
    <t>B-Vent 12in Flat</t>
  </si>
  <si>
    <t>rVENT-G4688</t>
  </si>
  <si>
    <t>Gooseneck Square Soldered 8 x 8</t>
  </si>
  <si>
    <t>rW001470</t>
  </si>
  <si>
    <t>Armourgard Vapor Retardant 68in</t>
  </si>
  <si>
    <t>s2700046</t>
  </si>
  <si>
    <t>SJ-26 STACK JACK FLASH-ALUM 3''</t>
  </si>
  <si>
    <t>s2310012</t>
  </si>
  <si>
    <t>GE 2200W HONDA</t>
  </si>
  <si>
    <t>ARNS</t>
  </si>
  <si>
    <t>s2330106</t>
  </si>
  <si>
    <t>Motor Oil</t>
  </si>
  <si>
    <t>s730007</t>
  </si>
  <si>
    <t>Securock 1/4in x 4 x 8 Roof Board</t>
  </si>
  <si>
    <t>s2320027</t>
  </si>
  <si>
    <t>Torsion Bit</t>
  </si>
  <si>
    <t>s2700073</t>
  </si>
  <si>
    <t>B2DM 8'' High Slflck Dome RD-100 Poly</t>
  </si>
  <si>
    <t>s2810102</t>
  </si>
  <si>
    <t>Brace Corner various</t>
  </si>
  <si>
    <t>s340047</t>
  </si>
  <si>
    <t>Sopraflash Stick</t>
  </si>
  <si>
    <t>s360029</t>
  </si>
  <si>
    <t>Colply EF Flash Adhesive 3.5G</t>
  </si>
  <si>
    <t>s2700031</t>
  </si>
  <si>
    <t>s2700042</t>
  </si>
  <si>
    <t>RD-29-RR ECON. RETRO-ALUM 5.75</t>
  </si>
  <si>
    <t>s2840060</t>
  </si>
  <si>
    <t>UP RAISER 200 SOPRASOLAR FIX EVO TILT</t>
  </si>
  <si>
    <t>Soprema Inc</t>
  </si>
  <si>
    <t>s2840061</t>
  </si>
  <si>
    <t>LOW RAISER 45 SOPRASOLAR FIX EVO TILT</t>
  </si>
  <si>
    <t>s340119</t>
  </si>
  <si>
    <t>SOPRALENE MAMMOUTH</t>
  </si>
  <si>
    <t>s2810005</t>
  </si>
  <si>
    <t>#12 - 2 1/4''</t>
  </si>
  <si>
    <t>s2330024</t>
  </si>
  <si>
    <t>Windshield Washer 3.78 L</t>
  </si>
  <si>
    <t>s2320046</t>
  </si>
  <si>
    <t>Gasoline Tank various</t>
  </si>
  <si>
    <t>s320020</t>
  </si>
  <si>
    <t>SOPRA-ISO PLUS- 3.5inX4 X4</t>
  </si>
  <si>
    <t>s4520073</t>
  </si>
  <si>
    <t>26Ga Stainless Steel</t>
  </si>
  <si>
    <t>s2320043</t>
  </si>
  <si>
    <t>Chisel various</t>
  </si>
  <si>
    <t>s2830008</t>
  </si>
  <si>
    <t>Inter Clip Sealant 300 ml</t>
  </si>
  <si>
    <t>s740012</t>
  </si>
  <si>
    <t>Blueskin SA/LT 36x75</t>
  </si>
  <si>
    <t>s2840017</t>
  </si>
  <si>
    <t>Ceiling Tile Gran-897 1/2 x 2 x 4 DNU</t>
  </si>
  <si>
    <t>s140037</t>
  </si>
  <si>
    <t>Torch Tape 6in  3.0mm x 10M</t>
  </si>
  <si>
    <t>s240037</t>
  </si>
  <si>
    <t>PARATECH 250 CAP TG BL/BR A6</t>
  </si>
  <si>
    <t>Shoemaker Drywall Supplies</t>
  </si>
  <si>
    <t>SOPRA-ISO PLUS- 2.5inX4 X4-</t>
  </si>
  <si>
    <t>s340117</t>
  </si>
  <si>
    <t>SENTINEL WALKWAY ROLL WITH TEXTURED SURFACE</t>
  </si>
  <si>
    <t>s360030</t>
  </si>
  <si>
    <t>SENTINEL S BONDING ADHESIVE-5 GAL</t>
  </si>
  <si>
    <t>s730009</t>
  </si>
  <si>
    <t>Fiberboard I.C. 1/2in 2ft X 4ft</t>
  </si>
  <si>
    <t>s340116</t>
  </si>
  <si>
    <t>SENTINEL P200 80MIL PVC</t>
  </si>
  <si>
    <t>s460012</t>
  </si>
  <si>
    <t>EPDM/TPO Water Cut Off Mastic</t>
  </si>
  <si>
    <t>Alsan RS 230 Field Winter 7032 (5)</t>
  </si>
  <si>
    <t>s2700024</t>
  </si>
  <si>
    <t>ea</t>
  </si>
  <si>
    <t>s730018</t>
  </si>
  <si>
    <t>BRD Securock 1" 4x8</t>
  </si>
  <si>
    <t>s330008</t>
  </si>
  <si>
    <t>2-1 SOPRASMART BOARD THERMO- 3/16in 3X8</t>
  </si>
  <si>
    <t>s760022</t>
  </si>
  <si>
    <t>Primer CCW-702 5 Gal</t>
  </si>
  <si>
    <t>s760011</t>
  </si>
  <si>
    <t>EternaPrime Spray 14oz</t>
  </si>
  <si>
    <t>s2700053</t>
  </si>
  <si>
    <t>3x3 Outlet</t>
  </si>
  <si>
    <t>s2830013</t>
  </si>
  <si>
    <t>Mulco Supra Caulking Bronze</t>
  </si>
  <si>
    <t>s440059</t>
  </si>
  <si>
    <t>EPDM PS Elastoform 6x50</t>
  </si>
  <si>
    <t>s20997</t>
  </si>
  <si>
    <t>ALSAN RS CAT 50% 25KG</t>
  </si>
  <si>
    <t>s150003</t>
  </si>
  <si>
    <t>Cambridge Earthtone Cedar</t>
  </si>
  <si>
    <t>s2850001</t>
  </si>
  <si>
    <t>Bilco NB-20 Hatch 30x54</t>
  </si>
  <si>
    <t>s4510082</t>
  </si>
  <si>
    <t>22 Ga 4x10</t>
  </si>
  <si>
    <t>Alsan RS 230 Field Summer 7032 (5)</t>
  </si>
  <si>
    <t>s860010</t>
  </si>
  <si>
    <t>Armourbond 180  3.0mm x 10M</t>
  </si>
  <si>
    <t>s740013</t>
  </si>
  <si>
    <t>BLUESKIN SA 36'' X 75' LO-TEMP 30/PLT</t>
  </si>
  <si>
    <t>s2840057</t>
  </si>
  <si>
    <t>DEC-FLASH GRANITE 4"</t>
  </si>
  <si>
    <t>s4520074</t>
  </si>
  <si>
    <t>DEC-CLAD PVC GALVANIZED DRIP</t>
  </si>
  <si>
    <t>s440021</t>
  </si>
  <si>
    <t>EPDM Secure Tape 3"x100'</t>
  </si>
  <si>
    <t>s130007</t>
  </si>
  <si>
    <t>s4510049</t>
  </si>
  <si>
    <t>26 GA 4x10</t>
  </si>
  <si>
    <t>s240020</t>
  </si>
  <si>
    <t>Paradiene 30FR TG Cap Sheet</t>
  </si>
  <si>
    <t>s2600065</t>
  </si>
  <si>
    <t>10'' Cone &amp; Collar</t>
  </si>
  <si>
    <t>Luke Gable</t>
  </si>
  <si>
    <t>s4510038</t>
  </si>
  <si>
    <t>22 Ga 4x8 Galvanized</t>
  </si>
  <si>
    <t>s240030</t>
  </si>
  <si>
    <t>Siplast Paraflex PF531</t>
  </si>
  <si>
    <t>s340020</t>
  </si>
  <si>
    <t>Sopralene Flam 250 Gr 1x8</t>
  </si>
  <si>
    <t>s4520041</t>
  </si>
  <si>
    <t>Duraflo 3in Roof Flashing</t>
  </si>
  <si>
    <t>s2840034</t>
  </si>
  <si>
    <t>Cable Roof 60'</t>
  </si>
  <si>
    <t>s3510023</t>
  </si>
  <si>
    <t>PT Green 4x4x8</t>
  </si>
  <si>
    <t>s4520046</t>
  </si>
  <si>
    <t>JTrim 26Ga 5"</t>
  </si>
  <si>
    <t>s2810072</t>
  </si>
  <si>
    <t>#14 - 6''</t>
  </si>
  <si>
    <t>s2700020</t>
  </si>
  <si>
    <t>s3510014</t>
  </si>
  <si>
    <t>PLY SPR STD 5/8x4x8</t>
  </si>
  <si>
    <t>s2700022</t>
  </si>
  <si>
    <t>s2700062</t>
  </si>
  <si>
    <t>Drain Retro Aluminum Flat 2.75''</t>
  </si>
  <si>
    <t>s2810067</t>
  </si>
  <si>
    <t>Tapcon Anchors</t>
  </si>
  <si>
    <t>s2320161</t>
  </si>
  <si>
    <t>Broomstick</t>
  </si>
  <si>
    <t>s2330041</t>
  </si>
  <si>
    <t>Wheel Cut-Off 14x3/32x1 DNU</t>
  </si>
  <si>
    <t>s2330164</t>
  </si>
  <si>
    <t>Wheelbarrow</t>
  </si>
  <si>
    <t>Sopralene 180 SP 3.5mm 1Mx10M</t>
  </si>
  <si>
    <t>s2320089</t>
  </si>
  <si>
    <t>Brush Scrub Safety Handle</t>
  </si>
  <si>
    <t>s2320108</t>
  </si>
  <si>
    <t>Rake Fan</t>
  </si>
  <si>
    <t>s2810027</t>
  </si>
  <si>
    <t>#15 - 10''</t>
  </si>
  <si>
    <t>s2600088</t>
  </si>
  <si>
    <t>Primex 4in Snap-In Adapter</t>
  </si>
  <si>
    <t>s440042</t>
  </si>
  <si>
    <t>PS Cover Strip - 6'' X 50</t>
  </si>
  <si>
    <t>s360020</t>
  </si>
  <si>
    <t>Sopramastic  10L</t>
  </si>
  <si>
    <t>s140006</t>
  </si>
  <si>
    <t>TP-180 Cap Black 8m 4.0mm</t>
  </si>
  <si>
    <t>s160012</t>
  </si>
  <si>
    <t>IKO Standard Asphalt Primer  18.93L</t>
  </si>
  <si>
    <t>s2330113</t>
  </si>
  <si>
    <t>Hole Saw Blades various</t>
  </si>
  <si>
    <t>s360014</t>
  </si>
  <si>
    <t>Elastocol Stick Aerosol 350G</t>
  </si>
  <si>
    <t>s4510058</t>
  </si>
  <si>
    <t>26Ga Diamond Rib Charcoal</t>
  </si>
  <si>
    <t>s330007</t>
  </si>
  <si>
    <t>Soprasmart Board 180 (3/16'')</t>
  </si>
  <si>
    <t>sheet</t>
  </si>
  <si>
    <t>s740039</t>
  </si>
  <si>
    <t>VersiPly® 40</t>
  </si>
  <si>
    <t>s120042</t>
  </si>
  <si>
    <t>IKOTherm Tapered Type Q-0.5in-2.5in-4x4</t>
  </si>
  <si>
    <t>s2810094</t>
  </si>
  <si>
    <t>Fastener HP 3''</t>
  </si>
  <si>
    <t>s2400012</t>
  </si>
  <si>
    <t>PVC membrane cleaner</t>
  </si>
  <si>
    <t>s2700088</t>
  </si>
  <si>
    <t>ABS Coupling 4"</t>
  </si>
  <si>
    <t>s2330152</t>
  </si>
  <si>
    <t>Insulating Foam Sealant</t>
  </si>
  <si>
    <t>s2810079</t>
  </si>
  <si>
    <t>Joist Hanger</t>
  </si>
  <si>
    <t>s340106</t>
  </si>
  <si>
    <t>SOPRAFIX BASE 635</t>
  </si>
  <si>
    <t>s440035</t>
  </si>
  <si>
    <t>TPO outside corners</t>
  </si>
  <si>
    <t>s740027</t>
  </si>
  <si>
    <t>RST400 Tape SA 4x50</t>
  </si>
  <si>
    <t>s4510007</t>
  </si>
  <si>
    <t>24GA Prepaint Metro Br/Makin Wh 48</t>
  </si>
  <si>
    <t>s360024</t>
  </si>
  <si>
    <t>SIMPLEX MELT PAC ASPHALT 3</t>
  </si>
  <si>
    <t>s4510076</t>
  </si>
  <si>
    <t>24 GA BLACK/CHARCOAL</t>
  </si>
  <si>
    <t>s710012</t>
  </si>
  <si>
    <t>BP Perforated Felt</t>
  </si>
  <si>
    <t>s440065</t>
  </si>
  <si>
    <t>EPDM P/S CURED COVER STP SS 9inX100</t>
  </si>
  <si>
    <t>s420006</t>
  </si>
  <si>
    <t>RGD ISO HP-H 1.5 4x8</t>
  </si>
  <si>
    <t>Elastophene PS</t>
  </si>
  <si>
    <t>s2840059</t>
  </si>
  <si>
    <t>Sopradrain ECO Vent 48inx100</t>
  </si>
  <si>
    <t>s740014</t>
  </si>
  <si>
    <t>MasterSeal M 200 SLV 5 gal</t>
  </si>
  <si>
    <t>s740015</t>
  </si>
  <si>
    <t>MasterSeal TC 225 HT</t>
  </si>
  <si>
    <t>s760017</t>
  </si>
  <si>
    <t>MasterSeal NP1</t>
  </si>
  <si>
    <t>s4510047</t>
  </si>
  <si>
    <t>24Ga Royal Blue</t>
  </si>
  <si>
    <t>s960006</t>
  </si>
  <si>
    <t>Bakor Quick Dry Primer Aerosol 482g</t>
  </si>
  <si>
    <t>s2320079</t>
  </si>
  <si>
    <t>Wrecking Bar</t>
  </si>
  <si>
    <t>s240003</t>
  </si>
  <si>
    <t>Siplast Paradiene 20 (1.5sq)</t>
  </si>
  <si>
    <t>Oakmont Consulting Group Inc.</t>
  </si>
  <si>
    <t>s720026</t>
  </si>
  <si>
    <t>Type 2 Roof Insulation - 2"x4'x8'</t>
  </si>
  <si>
    <t>s540104</t>
  </si>
  <si>
    <t>Firestone 060 EPDM 40ft x 100ft</t>
  </si>
  <si>
    <t>s2600077</t>
  </si>
  <si>
    <t>12" Vent Cap</t>
  </si>
  <si>
    <t>Ecco Heating Products Ltd</t>
  </si>
  <si>
    <t>s2600102</t>
  </si>
  <si>
    <t>10'' Vent Cap</t>
  </si>
  <si>
    <t>s2700074</t>
  </si>
  <si>
    <t>Downpipe Small Square</t>
  </si>
  <si>
    <t>s2700080</t>
  </si>
  <si>
    <t>Pipe Strap</t>
  </si>
  <si>
    <t>s2860009</t>
  </si>
  <si>
    <t>Velux Skylight FCM 2246 Comfort -2 x 4</t>
  </si>
  <si>
    <t>s3510013</t>
  </si>
  <si>
    <t>SPF 1x4x10</t>
  </si>
  <si>
    <t>Cornforth, Ryan</t>
  </si>
  <si>
    <t>s860009</t>
  </si>
  <si>
    <t>Adam Johnson</t>
  </si>
  <si>
    <t>s2310047</t>
  </si>
  <si>
    <t>Heat Gun</t>
  </si>
  <si>
    <t>Amazon</t>
  </si>
  <si>
    <t>s240011</t>
  </si>
  <si>
    <t>Siplast Paradiene 20 TG (1sq)</t>
  </si>
  <si>
    <t>s2210007</t>
  </si>
  <si>
    <t>Clip Wire Rope various</t>
  </si>
  <si>
    <t>s940003</t>
  </si>
  <si>
    <t>Bakor Yellow Jacket</t>
  </si>
  <si>
    <t>s440034</t>
  </si>
  <si>
    <t>TPO inside corners</t>
  </si>
  <si>
    <t>Pce</t>
  </si>
  <si>
    <t>s740005</t>
  </si>
  <si>
    <t>RC-2000 Roof coating 5 gallon</t>
  </si>
  <si>
    <t>Siplast Paradiene 20 SA (1sq)</t>
  </si>
  <si>
    <t>s740030</t>
  </si>
  <si>
    <t>RC-2000 Roof coating 1 gallon</t>
  </si>
  <si>
    <t>s440039</t>
  </si>
  <si>
    <t>TPO molded pipe boots     3/4'' - 8''</t>
  </si>
  <si>
    <t>s760025</t>
  </si>
  <si>
    <t>Rust-Go Primer</t>
  </si>
  <si>
    <t>s2810040</t>
  </si>
  <si>
    <t>Plate Prong Mend 2x4</t>
  </si>
  <si>
    <t>s440037</t>
  </si>
  <si>
    <t>TPO Pressure sensitive RUSS Strip</t>
  </si>
  <si>
    <t>s240008</t>
  </si>
  <si>
    <t>Siplast Paradiene 20 TG F (1sq)</t>
  </si>
  <si>
    <t>s540031</t>
  </si>
  <si>
    <t>Firestone QuickSeam FormFlash 9in</t>
  </si>
  <si>
    <t>s4510079</t>
  </si>
  <si>
    <t>26 GA MELCHERS GREEN/CHARCOAL</t>
  </si>
  <si>
    <t>s150006</t>
  </si>
  <si>
    <t>Cambridge Dual Grey</t>
  </si>
  <si>
    <t>s740009</t>
  </si>
  <si>
    <t>Blueskin SA 36x75</t>
  </si>
  <si>
    <t>s340092</t>
  </si>
  <si>
    <t>SOPRAFLASH STICK 40 SUMMER 1MX15M</t>
  </si>
  <si>
    <t>s420001</t>
  </si>
  <si>
    <t>RGD ISO Sloped HP-HX</t>
  </si>
  <si>
    <t>s4510078</t>
  </si>
  <si>
    <t>24 GA REGENT GREY/CAMBRIDGE WHITE</t>
  </si>
  <si>
    <t>s4510080</t>
  </si>
  <si>
    <t>24Ga Charcoal</t>
  </si>
  <si>
    <t>s120012</t>
  </si>
  <si>
    <t>IKOTherm 1.5 Inch  4ft x 8ft</t>
  </si>
  <si>
    <t>s2330069</t>
  </si>
  <si>
    <t>Hose Clamp various</t>
  </si>
  <si>
    <t>s460007</t>
  </si>
  <si>
    <t>s960011</t>
  </si>
  <si>
    <t>Adhesive Roof 830-05 5gal</t>
  </si>
  <si>
    <t>s2820016</t>
  </si>
  <si>
    <t>YELLOW Teflon Tape</t>
  </si>
  <si>
    <t>s160005</t>
  </si>
  <si>
    <t>IKO SAM Adhesive 3.5L</t>
  </si>
  <si>
    <t>s720015</t>
  </si>
  <si>
    <t>Dow Roofmate 1in x 2ft x 8ft Butt Edge</t>
  </si>
  <si>
    <t>s3520002</t>
  </si>
  <si>
    <t>T&amp;G Fir S4S Decking 2x6 12'</t>
  </si>
  <si>
    <t>Windsor Plywood</t>
  </si>
  <si>
    <t>s2840006</t>
  </si>
  <si>
    <t>Drain Mat 6x50</t>
  </si>
  <si>
    <t>s240036</t>
  </si>
  <si>
    <t>Paratech 180 Cap TG Brown A-6</t>
  </si>
  <si>
    <t>Siplast Canada Inc</t>
  </si>
  <si>
    <t>s2810097</t>
  </si>
  <si>
    <t>Pin Cotter</t>
  </si>
  <si>
    <t>s710002</t>
  </si>
  <si>
    <t>Hal #15 Asphalt Felt, Plain</t>
  </si>
  <si>
    <t>s2860005</t>
  </si>
  <si>
    <t>Rigid Tubing 6'</t>
  </si>
  <si>
    <t>s3510037</t>
  </si>
  <si>
    <t>AK Board FSK 1x24x48</t>
  </si>
  <si>
    <t>s2330082</t>
  </si>
  <si>
    <t>Firestone QuickScrubber Kit</t>
  </si>
  <si>
    <t>s560010</t>
  </si>
  <si>
    <t>Firestone QuickPrime Plus 3 Gallon -EPDM</t>
  </si>
  <si>
    <t>s2840023</t>
  </si>
  <si>
    <t>Hardware Cloth</t>
  </si>
  <si>
    <t>s4520039</t>
  </si>
  <si>
    <t>26GA CORRUGATED - TRIMET 3/4" RIB 26ga Galvalume</t>
  </si>
  <si>
    <t>s4510055</t>
  </si>
  <si>
    <t>24Ga Ant Linen</t>
  </si>
  <si>
    <t>SOPRA-ISO 2.5inX4 X4</t>
  </si>
  <si>
    <t>s340114</t>
  </si>
  <si>
    <t>Colphene Stick Lap 33cmx10m</t>
  </si>
  <si>
    <t>s3520001</t>
  </si>
  <si>
    <t>PLY FIR STD (25)1X4X8</t>
  </si>
  <si>
    <t>s3510030</t>
  </si>
  <si>
    <t>PANEL HARDBOARD STD 4.8MMX4X8</t>
  </si>
  <si>
    <t>s2700040</t>
  </si>
  <si>
    <t>RD-29-RR ECON. RETRO-ALUM 2.75</t>
  </si>
  <si>
    <t>s540018</t>
  </si>
  <si>
    <t>Firestone QuickSeam Batten Cover 6in</t>
  </si>
  <si>
    <t>s560003</t>
  </si>
  <si>
    <t>Firestone Lap Sealant-HS Tube</t>
  </si>
  <si>
    <t>s360025</t>
  </si>
  <si>
    <t>COLPLY ADH BRSH/SPRY GRADE 19L</t>
  </si>
  <si>
    <t>s560017</t>
  </si>
  <si>
    <t>Firestone Splice Wash SW100 5 Gallon</t>
  </si>
  <si>
    <t>s860006</t>
  </si>
  <si>
    <t>Roofcraft Lap Cement 18.93L</t>
  </si>
  <si>
    <t>s3510011</t>
  </si>
  <si>
    <t>SPF 2x10x10</t>
  </si>
  <si>
    <t>s640011</t>
  </si>
  <si>
    <t>VR HydraPanel 0.40FF 3'x100'</t>
  </si>
  <si>
    <t>s540002</t>
  </si>
  <si>
    <t>Firestone QuickSeam Universal Pipe Flash</t>
  </si>
  <si>
    <t>s540009</t>
  </si>
  <si>
    <t>Firestone QuickSeam Splice Tape 3in</t>
  </si>
  <si>
    <t>s540028</t>
  </si>
  <si>
    <t>Firestone QuickSeam RPF Strip 6in EPDM</t>
  </si>
  <si>
    <t>s2700072</t>
  </si>
  <si>
    <t>Thaler Super Seal-EPDM Ring 2 in</t>
  </si>
  <si>
    <t>s2700132</t>
  </si>
  <si>
    <t>RD-29A-RR Alum 1.75</t>
  </si>
  <si>
    <t>s340113</t>
  </si>
  <si>
    <t>ELASTOFLEX S6G HP250 CAP</t>
  </si>
  <si>
    <t>s4510032</t>
  </si>
  <si>
    <t>26GA Stone Grey/Briarwood Tan</t>
  </si>
  <si>
    <t>s4530003</t>
  </si>
  <si>
    <t>Wall cladding</t>
  </si>
  <si>
    <t>s3510034</t>
  </si>
  <si>
    <t>PT Green 4x4x12</t>
  </si>
  <si>
    <t>s540076</t>
  </si>
  <si>
    <t>Firestone 060 EPDM 10ft x 100ft</t>
  </si>
  <si>
    <t>s760015</t>
  </si>
  <si>
    <t>Sealant Firestop 295 ml</t>
  </si>
  <si>
    <t>s2600085</t>
  </si>
  <si>
    <t>8x8 Gooseneck Vents</t>
  </si>
  <si>
    <t>s660010</t>
  </si>
  <si>
    <t>Burmastic 5 US Gal</t>
  </si>
  <si>
    <t>s720002</t>
  </si>
  <si>
    <t>Dow Roofmate 3in x 2ft x 8ft Shiplap</t>
  </si>
  <si>
    <t>s540023</t>
  </si>
  <si>
    <t>Firestone QuickSeam Curb Flashng 18in</t>
  </si>
  <si>
    <t>s540030</t>
  </si>
  <si>
    <t>Firestone QuickSeam Corner Flashing</t>
  </si>
  <si>
    <t>s560009</t>
  </si>
  <si>
    <t>Firestone QuickPrime Plus 1 Gallon</t>
  </si>
  <si>
    <t>s560012</t>
  </si>
  <si>
    <t>Firestone EPDM Bonding Adhesive 5 Gallon</t>
  </si>
  <si>
    <t>s560018</t>
  </si>
  <si>
    <t>Firestone U WaterBlock Seal S20 Cartridg</t>
  </si>
  <si>
    <t>s2210005</t>
  </si>
  <si>
    <t>Carabiner 3/4''</t>
  </si>
  <si>
    <t>s2820004</t>
  </si>
  <si>
    <t>Eternabond Roofseal 4x50</t>
  </si>
  <si>
    <t>s640003</t>
  </si>
  <si>
    <t>Elastomeric SHTG 36/100</t>
  </si>
  <si>
    <t>s4520036</t>
  </si>
  <si>
    <t>Soffit Louvered Aluminum 8'</t>
  </si>
  <si>
    <t>s760024</t>
  </si>
  <si>
    <t>Garla-Brite</t>
  </si>
  <si>
    <t>s2330053</t>
  </si>
  <si>
    <t>Rust Paint</t>
  </si>
  <si>
    <t>s2600086</t>
  </si>
  <si>
    <t>Max Vent #303</t>
  </si>
  <si>
    <t>s2320076</t>
  </si>
  <si>
    <t>Ripper Bar</t>
  </si>
  <si>
    <t>s340112</t>
  </si>
  <si>
    <t>Elastoflex SA V Plus Base</t>
  </si>
  <si>
    <t>s730021</t>
  </si>
  <si>
    <t>POLYBOARD W 4.5MM 1MX2M RELEASE / SANDED</t>
  </si>
  <si>
    <t>s760031</t>
  </si>
  <si>
    <t>POLYGLASS POLYTACK ADHESIVE 5GAL</t>
  </si>
  <si>
    <t>s3510036</t>
  </si>
  <si>
    <t>SPF 2x10x12</t>
  </si>
  <si>
    <t>s960012</t>
  </si>
  <si>
    <t>CEMENT PLAST 810-21</t>
  </si>
  <si>
    <t>s2600016</t>
  </si>
  <si>
    <t>6'' Vent Cap</t>
  </si>
  <si>
    <t>s2700056</t>
  </si>
  <si>
    <t>3x3 Elbows</t>
  </si>
  <si>
    <t>s2840040</t>
  </si>
  <si>
    <t>POLYCARBONATE BASE PLATE C/W ROLLER</t>
  </si>
  <si>
    <t>s440061</t>
  </si>
  <si>
    <t>PVC .060 5x100</t>
  </si>
  <si>
    <t>s4510041</t>
  </si>
  <si>
    <t>26GA Antique Linen/Forest Green</t>
  </si>
  <si>
    <t>s2330060</t>
  </si>
  <si>
    <t>Bit SDS 1/4 - 2 - 4 DNU</t>
  </si>
  <si>
    <t>s2810134</t>
  </si>
  <si>
    <t>Pin Bolt Zamac DNU</t>
  </si>
  <si>
    <t>s260007</t>
  </si>
  <si>
    <t>Siplast TA-325 Primer</t>
  </si>
  <si>
    <t>s130001</t>
  </si>
  <si>
    <t>Protectoboard 1/4in (6mm) 4 X 8</t>
  </si>
  <si>
    <t>s2330114</t>
  </si>
  <si>
    <t>Cord Extension 40' DNU</t>
  </si>
  <si>
    <t>s440001</t>
  </si>
  <si>
    <t>EPDM Nr .045 10x100</t>
  </si>
  <si>
    <t>s2810116</t>
  </si>
  <si>
    <t>Nail Coil Spiral 3.25'' DNU</t>
  </si>
  <si>
    <t>s4510023</t>
  </si>
  <si>
    <t>26GA Grey/Red</t>
  </si>
  <si>
    <t>s760009</t>
  </si>
  <si>
    <t>BLUESKIN PRIMER/ADHESIVE 3.78L 180/PLT</t>
  </si>
  <si>
    <t>s2320117</t>
  </si>
  <si>
    <t>Prime Hand Seamer 6 Inch Rubber Grip</t>
  </si>
  <si>
    <t>s2330165</t>
  </si>
  <si>
    <t>Chalk Refill 5LB</t>
  </si>
  <si>
    <t>Tub</t>
  </si>
  <si>
    <t>s440055</t>
  </si>
  <si>
    <t>EPDM .045 10x100 Damaged</t>
  </si>
  <si>
    <t>s2320118</t>
  </si>
  <si>
    <t>Pipe Wrench various</t>
  </si>
  <si>
    <t>s2330014</t>
  </si>
  <si>
    <t>Brush Chip 2'' Wooden Handle DNU</t>
  </si>
  <si>
    <t>s2330015</t>
  </si>
  <si>
    <t>Brush Chip 4'' Wooden Handle DNU</t>
  </si>
  <si>
    <t>s2330122</t>
  </si>
  <si>
    <t>Brush Chip 3" Wooden Handle DNU</t>
  </si>
  <si>
    <t>s2600056</t>
  </si>
  <si>
    <t>4'' Vent Hood for Exhhaust</t>
  </si>
  <si>
    <t>s4510062</t>
  </si>
  <si>
    <t>24Ga Iron Ore/Charcoal</t>
  </si>
  <si>
    <t>s720019</t>
  </si>
  <si>
    <t>Insulation cvrck 2"</t>
  </si>
  <si>
    <t>s740008</t>
  </si>
  <si>
    <t>BLUE SKIN 36 X 50</t>
  </si>
  <si>
    <t>s2330094</t>
  </si>
  <si>
    <t>Rope 3/8x100 Twisted DNU</t>
  </si>
  <si>
    <t>s4510024</t>
  </si>
  <si>
    <t>WF-DURACLAD PANEL Fiberglass</t>
  </si>
  <si>
    <t>s2840002</t>
  </si>
  <si>
    <t>Granules - Pail Brown 15 kg IKO</t>
  </si>
  <si>
    <t>s360010</t>
  </si>
  <si>
    <t>Elastocol 500 Aerosol 350g</t>
  </si>
  <si>
    <t>984</t>
  </si>
  <si>
    <t>s3510027</t>
  </si>
  <si>
    <t>PT Green 4x4x10</t>
  </si>
  <si>
    <t>s440053</t>
  </si>
  <si>
    <t>inside PVC corners</t>
  </si>
  <si>
    <t>s460002</t>
  </si>
  <si>
    <t>Low VOC Bonding Adhesive  5 gallon</t>
  </si>
  <si>
    <t>s2840007</t>
  </si>
  <si>
    <t>Slab Patio Concrete 24x24</t>
  </si>
  <si>
    <t>s340110</t>
  </si>
  <si>
    <t>Elastoflex SA V Base</t>
  </si>
  <si>
    <t>Monarch Metal Systems Inc</t>
  </si>
  <si>
    <t>s340111</t>
  </si>
  <si>
    <t>Elastoflex SA V Sand</t>
  </si>
  <si>
    <t>s460008</t>
  </si>
  <si>
    <t>TPO Bonding Adhesive</t>
  </si>
  <si>
    <t>s4510070</t>
  </si>
  <si>
    <t>24GA WF-HF-12 PANEL w/ rib</t>
  </si>
  <si>
    <t>s860007</t>
  </si>
  <si>
    <t>s2220006</t>
  </si>
  <si>
    <t>T-TOP DELINEATOR 10LB RUBBER BASE</t>
  </si>
  <si>
    <t>s360004</t>
  </si>
  <si>
    <t>Alsan Flashing 19L</t>
  </si>
  <si>
    <t>s740021</t>
  </si>
  <si>
    <t>Inland Polyester Mesh</t>
  </si>
  <si>
    <t>s2600138</t>
  </si>
  <si>
    <t>MEFAE2 FLEXIBLE CONDUIT FLASHING-1in</t>
  </si>
  <si>
    <t>s3510025</t>
  </si>
  <si>
    <t>PT Green 2x2x8 Select</t>
  </si>
  <si>
    <t>s460003</t>
  </si>
  <si>
    <t>EP-95 Splice Adhesive</t>
  </si>
  <si>
    <t>s240000</t>
  </si>
  <si>
    <t>Pro Natural Quartz - 50-lb bag</t>
  </si>
  <si>
    <t>s4510033</t>
  </si>
  <si>
    <t>26GA Black/Charcoal</t>
  </si>
  <si>
    <t>s2840004</t>
  </si>
  <si>
    <t>Granules - Pail Black 15 kg IKO</t>
  </si>
  <si>
    <t>s140002</t>
  </si>
  <si>
    <t>MP-180 Cap Frostone Grey 10m 3.5mm</t>
  </si>
  <si>
    <t>s140053</t>
  </si>
  <si>
    <t>IKO InnoviTPO Uni. Corner</t>
  </si>
  <si>
    <t>s2600071</t>
  </si>
  <si>
    <t>MEF-4A Vent Flashing-Alum 4in</t>
  </si>
  <si>
    <t>s2810006</t>
  </si>
  <si>
    <t>#12 - 2 7/8''</t>
  </si>
  <si>
    <t>s3510022</t>
  </si>
  <si>
    <t>PT Green 6x6x16</t>
  </si>
  <si>
    <t>s540047</t>
  </si>
  <si>
    <t>Firestone TPO White 060 10ft x 100ft</t>
  </si>
  <si>
    <t>s540060</t>
  </si>
  <si>
    <t>Firestone Inside/Outside Molded Corner</t>
  </si>
  <si>
    <t>s440054</t>
  </si>
  <si>
    <t>outside PVC corners</t>
  </si>
  <si>
    <t>s3510029</t>
  </si>
  <si>
    <t>SPF 2x6x16</t>
  </si>
  <si>
    <t>s4510036</t>
  </si>
  <si>
    <t>26Ga Corrugated</t>
  </si>
  <si>
    <t>s2810043</t>
  </si>
  <si>
    <t>Fastener HP 5"</t>
  </si>
  <si>
    <t>s440057</t>
  </si>
  <si>
    <t>EPDM Sure-Seal Securtape 3'</t>
  </si>
  <si>
    <t>s2810048</t>
  </si>
  <si>
    <t>#14 - 1 1/4''</t>
  </si>
  <si>
    <t>s4510065</t>
  </si>
  <si>
    <t>22Ga Black/Charcoal</t>
  </si>
  <si>
    <t>s2810122</t>
  </si>
  <si>
    <t>#10  - 1''</t>
  </si>
  <si>
    <t>s4510066</t>
  </si>
  <si>
    <t>24Ga Champagne Metallic</t>
  </si>
  <si>
    <t>s860001</t>
  </si>
  <si>
    <t>Roofcraft Fast Dry Mod-Bit Primer 18.93L</t>
  </si>
  <si>
    <t>s710026</t>
  </si>
  <si>
    <t>Vapor Barrier 725TR</t>
  </si>
  <si>
    <t>s2810051</t>
  </si>
  <si>
    <t>#12 - 3''</t>
  </si>
  <si>
    <t>s2310032</t>
  </si>
  <si>
    <t>Hammer Drill VSR 1/2" DNU</t>
  </si>
  <si>
    <t>s4510043</t>
  </si>
  <si>
    <t>26Ga Deep Water Green 4x10'</t>
  </si>
  <si>
    <t>s2840056</t>
  </si>
  <si>
    <t>DEC-PATCH II</t>
  </si>
  <si>
    <t>s2810028</t>
  </si>
  <si>
    <t>#15 - 12''</t>
  </si>
  <si>
    <t>s4510046</t>
  </si>
  <si>
    <t>26Ga Royal Blue</t>
  </si>
  <si>
    <t>s140051</t>
  </si>
  <si>
    <t>ARMOURSTICK HD BASE 1X10M</t>
  </si>
  <si>
    <t>s140052</t>
  </si>
  <si>
    <t>ARMOURSTICK BLACK 1X8M</t>
  </si>
  <si>
    <t>s2600035</t>
  </si>
  <si>
    <t>4''x6" Gooseneck Vent</t>
  </si>
  <si>
    <t>s960005</t>
  </si>
  <si>
    <t>Bakor 930-18-''Quick dry'' primer</t>
  </si>
  <si>
    <t>s4510034</t>
  </si>
  <si>
    <t>26ga Galvalume 4x8</t>
  </si>
  <si>
    <t>s4520075</t>
  </si>
  <si>
    <t>24ga 1 1/2" Standing Seam</t>
  </si>
  <si>
    <t>s130008</t>
  </si>
  <si>
    <t>PROTECTO 990-31</t>
  </si>
  <si>
    <t>s340108</t>
  </si>
  <si>
    <t>COLPHENE 3000 FB WG</t>
  </si>
  <si>
    <t>s940006</t>
  </si>
  <si>
    <t>CM100 Waterproofing</t>
  </si>
  <si>
    <t>s4510039</t>
  </si>
  <si>
    <t>26GA Regent Grey 48x48</t>
  </si>
  <si>
    <t>s2700038</t>
  </si>
  <si>
    <t>RDX-30-RR ECON. RETRO-ALU 3.75</t>
  </si>
  <si>
    <t>s440029</t>
  </si>
  <si>
    <t>6'' PS Overlayment strip</t>
  </si>
  <si>
    <t>s330005</t>
  </si>
  <si>
    <t>Sopraboard (3/16'')</t>
  </si>
  <si>
    <t>55</t>
  </si>
  <si>
    <t>s4510077</t>
  </si>
  <si>
    <t>Galvanized 16Ga</t>
  </si>
  <si>
    <t>s4510081</t>
  </si>
  <si>
    <t>Galvanized 20Ga</t>
  </si>
  <si>
    <t>s130006</t>
  </si>
  <si>
    <t>Protectoboard  1/4 Inch 4 X 4</t>
  </si>
  <si>
    <t>s2220008</t>
  </si>
  <si>
    <t>Eyewash Station</t>
  </si>
  <si>
    <t>s440064</t>
  </si>
  <si>
    <t>EPDM P/S OVERLAYMENT STRIP 9inX100ft</t>
  </si>
  <si>
    <t>s4510011</t>
  </si>
  <si>
    <t>26GA Metro Brown/White White 48x96</t>
  </si>
  <si>
    <t>s760004</t>
  </si>
  <si>
    <t>BLUESKIN PRIMER/ADHESIVE 3.78L</t>
  </si>
  <si>
    <t>s220001</t>
  </si>
  <si>
    <t>Siplast Paratherm GF 2.0in 4ft x 4ft</t>
  </si>
  <si>
    <t>s4510051</t>
  </si>
  <si>
    <t>26Ga Slate Blue/Stone Grey</t>
  </si>
  <si>
    <t>s140027</t>
  </si>
  <si>
    <t>Fast-N-Stick 180 Base 1.5sq.  2.2mm x 15</t>
  </si>
  <si>
    <t>s2700137</t>
  </si>
  <si>
    <t>T7 Flow Control</t>
  </si>
  <si>
    <t>s130003</t>
  </si>
  <si>
    <t>s2810073</t>
  </si>
  <si>
    <t>#14 - 7''</t>
  </si>
  <si>
    <t>s120039</t>
  </si>
  <si>
    <t>IKOTherm Tapered Type A-1.0in-1.5in-4x4</t>
  </si>
  <si>
    <t>s120040</t>
  </si>
  <si>
    <t>IKOTherm Tapered Type B-1.5in-2.0in-4x4</t>
  </si>
  <si>
    <t>s340021</t>
  </si>
  <si>
    <t>Sopralene Flam 250 Gr 1x10</t>
  </si>
  <si>
    <t>s120014</t>
  </si>
  <si>
    <t>IKOTherm 2.0 Inch  4ft x 8ft</t>
  </si>
  <si>
    <t>s2830003</t>
  </si>
  <si>
    <t>TPO Cut Edge Sealant</t>
  </si>
  <si>
    <t>tube</t>
  </si>
  <si>
    <t>s440038</t>
  </si>
  <si>
    <t>TPO pressure sensitive 10'' RUSS Strip</t>
  </si>
  <si>
    <t>s210001</t>
  </si>
  <si>
    <t>Siplast SA Vapour Retarder</t>
  </si>
  <si>
    <t>s2840001</t>
  </si>
  <si>
    <t>Granules #9 Grey Siplast</t>
  </si>
  <si>
    <t>s720024</t>
  </si>
  <si>
    <t>EPS sloped from zero to 3/4"</t>
  </si>
  <si>
    <t>Dominion Distribution  Ltd</t>
  </si>
  <si>
    <t>s720025</t>
  </si>
  <si>
    <t>EPS B sloped from 3/4" to 1 1/2"</t>
  </si>
  <si>
    <t>s150015</t>
  </si>
  <si>
    <t>Ultra HP Ridge Cap 10in Dual Black</t>
  </si>
  <si>
    <t>s2700008</t>
  </si>
  <si>
    <t>PVC 90 DG Elbow BDS 4'' SOC</t>
  </si>
  <si>
    <t>s4520037</t>
  </si>
  <si>
    <t>Step Flash 9"</t>
  </si>
  <si>
    <t>s120044</t>
  </si>
  <si>
    <t>IKOTherm Tapered Type Y-1.5in-2.5in-4x4</t>
  </si>
  <si>
    <t>s2700028</t>
  </si>
  <si>
    <t>s2600002</t>
  </si>
  <si>
    <t>4x4 Gum Cup</t>
  </si>
  <si>
    <t>Flashings Plus Ltd</t>
  </si>
  <si>
    <t>s2600008</t>
  </si>
  <si>
    <t>15'' Cone &amp; Collar</t>
  </si>
  <si>
    <t>s2600025</t>
  </si>
  <si>
    <t>6x6 Gum Cup</t>
  </si>
  <si>
    <t>s2600026</t>
  </si>
  <si>
    <t>3'' Cone &amp; Collar</t>
  </si>
  <si>
    <t>s2600029</t>
  </si>
  <si>
    <t>8'' Cone &amp; Collar</t>
  </si>
  <si>
    <t>s2600030</t>
  </si>
  <si>
    <t>6'' Cone &amp; Collar</t>
  </si>
  <si>
    <t>s2600031</t>
  </si>
  <si>
    <t>4'' Cone &amp; Collar</t>
  </si>
  <si>
    <t>s2600032</t>
  </si>
  <si>
    <t>5'' Cone &amp; Collar</t>
  </si>
  <si>
    <t>s2600037</t>
  </si>
  <si>
    <t>12'' Cone &amp; Collar</t>
  </si>
  <si>
    <t>s2600038</t>
  </si>
  <si>
    <t>3x12 Drop Drains</t>
  </si>
  <si>
    <t>s2600055</t>
  </si>
  <si>
    <t>6x12 Gooseneck Vent</t>
  </si>
  <si>
    <t>s2600064</t>
  </si>
  <si>
    <t>6x16 Dog House Vent</t>
  </si>
  <si>
    <t>s2600067</t>
  </si>
  <si>
    <t>12'' Collar</t>
  </si>
  <si>
    <t>s2600068</t>
  </si>
  <si>
    <t>8x8 Gum Cup</t>
  </si>
  <si>
    <t>s2600069</t>
  </si>
  <si>
    <t>9" Cone and Collar</t>
  </si>
  <si>
    <t>s2600073</t>
  </si>
  <si>
    <t>7" Cone &amp; Collar</t>
  </si>
  <si>
    <t>s2600076</t>
  </si>
  <si>
    <t>9" Vent Cap</t>
  </si>
  <si>
    <t>s2600089</t>
  </si>
  <si>
    <t>6x6 Gooseneck Vent with Damper</t>
  </si>
  <si>
    <t>s2600090</t>
  </si>
  <si>
    <t>8x8 Gooseneck Vent with Damper</t>
  </si>
  <si>
    <t>s2600093</t>
  </si>
  <si>
    <t>11'' Cone &amp; Collar</t>
  </si>
  <si>
    <t>s2600094</t>
  </si>
  <si>
    <t>13'' Cone &amp;Collar</t>
  </si>
  <si>
    <t>Patch</t>
  </si>
  <si>
    <t>s2600095</t>
  </si>
  <si>
    <t>14'' Cone &amp; Collar</t>
  </si>
  <si>
    <t>s2600096</t>
  </si>
  <si>
    <t>16'' Cone &amp; Collar</t>
  </si>
  <si>
    <t>s2600098</t>
  </si>
  <si>
    <t>4'' Vent Cap</t>
  </si>
  <si>
    <t>s2600100</t>
  </si>
  <si>
    <t>7'' Vent Cap</t>
  </si>
  <si>
    <t>s2600103</t>
  </si>
  <si>
    <t>11'' Vent Cap</t>
  </si>
  <si>
    <t>s2600104</t>
  </si>
  <si>
    <t>13'' Vent Cap</t>
  </si>
  <si>
    <t>s2600105</t>
  </si>
  <si>
    <t>14'' Vent Cap</t>
  </si>
  <si>
    <t>s2600106</t>
  </si>
  <si>
    <t>15'' Vent Cap</t>
  </si>
  <si>
    <t>s2600107</t>
  </si>
  <si>
    <t>16'' Vent Cap</t>
  </si>
  <si>
    <t>s2600120</t>
  </si>
  <si>
    <t>6x18 Gooseneck Vent</t>
  </si>
  <si>
    <t>s2600121</t>
  </si>
  <si>
    <t>8x16 Gooseneck Vent</t>
  </si>
  <si>
    <t>s2600122</t>
  </si>
  <si>
    <t>6x20 Dog House Vent</t>
  </si>
  <si>
    <t>s2600123</t>
  </si>
  <si>
    <t>6x30 Dog House Vent</t>
  </si>
  <si>
    <t>s2600124</t>
  </si>
  <si>
    <t>8x8 Low Profile Vent</t>
  </si>
  <si>
    <t>s2600136</t>
  </si>
  <si>
    <t>6x24 Low Profile Vent</t>
  </si>
  <si>
    <t>s2600137</t>
  </si>
  <si>
    <t>6x32 Low Profile Vent</t>
  </si>
  <si>
    <t>s2700129</t>
  </si>
  <si>
    <t>RD-19-SS-RR 3.75</t>
  </si>
  <si>
    <t>s2700134</t>
  </si>
  <si>
    <t>3x16 Drop Drain</t>
  </si>
  <si>
    <t>s2700135</t>
  </si>
  <si>
    <t>3x20 Drop Drain</t>
  </si>
  <si>
    <t>s2700136</t>
  </si>
  <si>
    <t>3x24 Drop Drain</t>
  </si>
  <si>
    <t>s4510071</t>
  </si>
  <si>
    <t>Copper Round Bar</t>
  </si>
  <si>
    <t>s710021</t>
  </si>
  <si>
    <t>Vapour Barrier 96" (20SQ)</t>
  </si>
  <si>
    <t>s120008</t>
  </si>
  <si>
    <t>s510001</t>
  </si>
  <si>
    <t>Firestone V-Force Vapor Barrier Membrane</t>
  </si>
  <si>
    <t>s120065</t>
  </si>
  <si>
    <t>IKOTherm 2.75 Inch  4ft x 8ft</t>
  </si>
  <si>
    <t>s4520007</t>
  </si>
  <si>
    <t>Step Flash 4x4x9in 30ga</t>
  </si>
  <si>
    <t>s240007</t>
  </si>
  <si>
    <t>Siplast Parafor 50 TG BW</t>
  </si>
  <si>
    <t>s720014</t>
  </si>
  <si>
    <t>Plastispan HD Sloped/Pente A 1% slope</t>
  </si>
  <si>
    <t>s120002</t>
  </si>
  <si>
    <t>s720020</t>
  </si>
  <si>
    <t>AC FOAM III 3.5” 4x4</t>
  </si>
  <si>
    <t>s4510069</t>
  </si>
  <si>
    <t>24 Ga Tan/Bone White</t>
  </si>
  <si>
    <t>s420009</t>
  </si>
  <si>
    <t>RGD ISO SLOPED HP-H B</t>
  </si>
  <si>
    <t>s3510009</t>
  </si>
  <si>
    <t>SPF 1x2x4</t>
  </si>
  <si>
    <t>s310002</t>
  </si>
  <si>
    <t>CONSTOP VAPOR BLOC 96''</t>
  </si>
  <si>
    <t>s420010</t>
  </si>
  <si>
    <t>CAR ISO BLK 1.0X4X4 INSULBASE(HPH) 20PSI</t>
  </si>
  <si>
    <t>s2700013</t>
  </si>
  <si>
    <t>s4510005</t>
  </si>
  <si>
    <t>26GA B Red/H Blue 48x96</t>
  </si>
  <si>
    <t>s760007</t>
  </si>
  <si>
    <t>Eternaclean Spray 14OZ</t>
  </si>
  <si>
    <t>s240023</t>
  </si>
  <si>
    <t>Pro Fleece - 41" x 164' (Roll)</t>
  </si>
  <si>
    <t>s2840018</t>
  </si>
  <si>
    <t>WF-636</t>
  </si>
  <si>
    <t>s4510012</t>
  </si>
  <si>
    <t>26GA Metro Brown 4x4</t>
  </si>
  <si>
    <t>s740043</t>
  </si>
  <si>
    <t>Dec-Tec Guardian 60 mil</t>
  </si>
  <si>
    <t>s120001</t>
  </si>
  <si>
    <t>s140034</t>
  </si>
  <si>
    <t>s750006</t>
  </si>
  <si>
    <t>O/C Starter Strip 7x39</t>
  </si>
  <si>
    <t>s2600011</t>
  </si>
  <si>
    <t>8''  PS Penetration Pocket; Kit</t>
  </si>
  <si>
    <t>Kit</t>
  </si>
  <si>
    <t>s940001</t>
  </si>
  <si>
    <t>Polyfab 3x600</t>
  </si>
  <si>
    <t>s640010</t>
  </si>
  <si>
    <t>VULKEM 351NF TOP COAT</t>
  </si>
  <si>
    <t>s140031</t>
  </si>
  <si>
    <t>TF-95 FF Base 3.0mm</t>
  </si>
  <si>
    <t>s4510053</t>
  </si>
  <si>
    <t>24Ga Kynar Flashing Old Zinc Grey</t>
  </si>
  <si>
    <t>s4510037</t>
  </si>
  <si>
    <t>26Ga Pacific Turquoise/Tan</t>
  </si>
  <si>
    <t>s120024</t>
  </si>
  <si>
    <t>IKOTherm III 3.5 Inch 4ft x 8ft</t>
  </si>
  <si>
    <t>s340107</t>
  </si>
  <si>
    <t>SOPRALAST 50 TV ALUMINUM 8M(DISC)</t>
  </si>
  <si>
    <t>s2600070</t>
  </si>
  <si>
    <t>BOX CLAMP SCUPPER ALUMINUM 3in</t>
  </si>
  <si>
    <t>s2860010</t>
  </si>
  <si>
    <t>Velux Skylight FCM 4646 Comfort 4 x 4</t>
  </si>
  <si>
    <t>s2700083</t>
  </si>
  <si>
    <t>ABS Elbow 90 Deg 2"</t>
  </si>
  <si>
    <t>s2700106</t>
  </si>
  <si>
    <t>6x12 PVC DWV Pipe</t>
  </si>
  <si>
    <t>s2310042</t>
  </si>
  <si>
    <t>Orbital Sander</t>
  </si>
  <si>
    <t>s120041</t>
  </si>
  <si>
    <t>IKOTherm Tapered Type C-2.0in-2.5in-4x4</t>
  </si>
  <si>
    <t>s140016</t>
  </si>
  <si>
    <t>TP-250 Cap (5mm) 8m Charcoal Grey</t>
  </si>
  <si>
    <t>s740040</t>
  </si>
  <si>
    <t>VersiPly® Mineral</t>
  </si>
  <si>
    <t>s4530001</t>
  </si>
  <si>
    <t>Longboard VG 4in x 24ft</t>
  </si>
  <si>
    <t>s2220009</t>
  </si>
  <si>
    <t>Burnfree 10 Unit Burn Kit</t>
  </si>
  <si>
    <t>s140033</t>
  </si>
  <si>
    <t>TF-95-SF-BASE</t>
  </si>
  <si>
    <t>s2810075</t>
  </si>
  <si>
    <t>#14 - 9''</t>
  </si>
  <si>
    <t>s150023</t>
  </si>
  <si>
    <t>Hip and Ridge Plus</t>
  </si>
  <si>
    <t>s240014</t>
  </si>
  <si>
    <t>Siplast Veral Aluminum (1sq)</t>
  </si>
  <si>
    <t>s4520015</t>
  </si>
  <si>
    <t>Valley Flash 24in x 10ft Galvanized 30g</t>
  </si>
  <si>
    <t>s710017</t>
  </si>
  <si>
    <t>6 MIL UV POLY 240inX100 2000SF</t>
  </si>
  <si>
    <t>Home Building Centre</t>
  </si>
  <si>
    <t>s760027</t>
  </si>
  <si>
    <t>Weatherking® Flashing Adhesive</t>
  </si>
  <si>
    <t>s2810050</t>
  </si>
  <si>
    <t>#12 dekfast Screw - 2''</t>
  </si>
  <si>
    <t>s4510063</t>
  </si>
  <si>
    <t>26Ga Tan/Bone white</t>
  </si>
  <si>
    <t>s2600041</t>
  </si>
  <si>
    <t>SJ-26  Thaler Stack Jack  3''</t>
  </si>
  <si>
    <t>s2840025</t>
  </si>
  <si>
    <t>Roof Flashing 3"</t>
  </si>
  <si>
    <t>s3510028</t>
  </si>
  <si>
    <t>PT Brown D4S 2x4x10</t>
  </si>
  <si>
    <t>Rona Inc</t>
  </si>
  <si>
    <t>s740036</t>
  </si>
  <si>
    <t>LiquiTec</t>
  </si>
  <si>
    <t>s2810111</t>
  </si>
  <si>
    <t>2'' Barbed Plate</t>
  </si>
  <si>
    <t>Ctn</t>
  </si>
  <si>
    <t>s740035</t>
  </si>
  <si>
    <t>CPR Base Coating</t>
  </si>
  <si>
    <t>s730019</t>
  </si>
  <si>
    <t>Blue Ridge 1/2" 4x4 Ctd 6 sides</t>
  </si>
  <si>
    <t>s740019</t>
  </si>
  <si>
    <t>Blueskin TG 36x32.8</t>
  </si>
  <si>
    <t>s2840045</t>
  </si>
  <si>
    <t>Silica Abrasive 30-50 #4 Fine</t>
  </si>
  <si>
    <t>s4520050</t>
  </si>
  <si>
    <t>Stucco Panel</t>
  </si>
  <si>
    <t>s740017</t>
  </si>
  <si>
    <t>Fabric Tie Tex 4x180</t>
  </si>
  <si>
    <t>s3510039</t>
  </si>
  <si>
    <t>Smart Panel 3/8in 4x8 Primed-Non Grooved</t>
  </si>
  <si>
    <t>s540032</t>
  </si>
  <si>
    <t>Firestone QuickSeam FormFlash 12in</t>
  </si>
  <si>
    <t>s2330010</t>
  </si>
  <si>
    <t>Firestone QuickScrubber Pads 100/ctn</t>
  </si>
  <si>
    <t>s440041</t>
  </si>
  <si>
    <t>.060 Flashing - 12'' X 50' - White</t>
  </si>
  <si>
    <t>s4510075</t>
  </si>
  <si>
    <t>26Ga Dark Green/Regent Grey</t>
  </si>
  <si>
    <t>s740032</t>
  </si>
  <si>
    <t>Revitalizer Metal</t>
  </si>
  <si>
    <t>s120017</t>
  </si>
  <si>
    <t>IKOTherm 3.0 Inch  4ft x 8ft</t>
  </si>
  <si>
    <t>s2600063</t>
  </si>
  <si>
    <t>QS6 Penetration Pocket Kit</t>
  </si>
  <si>
    <t>s810002</t>
  </si>
  <si>
    <t>Roofcraft Underlayment T30</t>
  </si>
  <si>
    <t>s330010</t>
  </si>
  <si>
    <t>XPressBoard 1.5x3x16 Thermo HD</t>
  </si>
  <si>
    <t>s2700017</t>
  </si>
  <si>
    <t>s560035</t>
  </si>
  <si>
    <t>Firestone Splice Adhesive 1 Gallon</t>
  </si>
  <si>
    <t>s420003</t>
  </si>
  <si>
    <t>TARGET SUMP X CGF 0.5-1.5 8X8</t>
  </si>
  <si>
    <t>s4510074</t>
  </si>
  <si>
    <t>Copper Sheet</t>
  </si>
  <si>
    <t>s130004</t>
  </si>
  <si>
    <t>s230001</t>
  </si>
  <si>
    <t>BR FIBERBOARD 1/2 4X4:6 SIDE</t>
  </si>
  <si>
    <t>s260005</t>
  </si>
  <si>
    <t>Siplast PA-311 Adhesive</t>
  </si>
  <si>
    <t>s2700015</t>
  </si>
  <si>
    <t>s2810013</t>
  </si>
  <si>
    <t>#12 - 8''</t>
  </si>
  <si>
    <t>s730020</t>
  </si>
  <si>
    <t>Shiplap Fibreboard 2x4x1"</t>
  </si>
  <si>
    <t>s150027</t>
  </si>
  <si>
    <t>Hip and Ridge Plus Dual Grey</t>
  </si>
  <si>
    <t>s4520044</t>
  </si>
  <si>
    <t>Reversible Drip Edge 10'</t>
  </si>
  <si>
    <t>s2310040</t>
  </si>
  <si>
    <t>Power Tool Battery Lithium</t>
  </si>
  <si>
    <t>s2220018</t>
  </si>
  <si>
    <t>Guardrail Mount</t>
  </si>
  <si>
    <t>s120010</t>
  </si>
  <si>
    <t>s220002</t>
  </si>
  <si>
    <t>Siplast Paratherm W GF 3in 4ftx4ft</t>
  </si>
  <si>
    <t>s220003</t>
  </si>
  <si>
    <t>Siplast Paratherm K GF 3.0 4ft x 4ft</t>
  </si>
  <si>
    <t>s340103</t>
  </si>
  <si>
    <t>COLPHENE FLAM 180 1MX10M</t>
  </si>
  <si>
    <t>s2310020</t>
  </si>
  <si>
    <t>Radio Job Site</t>
  </si>
  <si>
    <t>s720010</t>
  </si>
  <si>
    <t>s260002</t>
  </si>
  <si>
    <t>Siplast Pro Prep</t>
  </si>
  <si>
    <t>CN</t>
  </si>
  <si>
    <t>s2700018</t>
  </si>
  <si>
    <t>s860008</t>
  </si>
  <si>
    <t>s120004</t>
  </si>
  <si>
    <t>s4510045</t>
  </si>
  <si>
    <t>26Ga Black 4x10/tile red</t>
  </si>
  <si>
    <t>s4520035</t>
  </si>
  <si>
    <t>26Ga Prepainted Flashing Custom</t>
  </si>
  <si>
    <t>s2700061</t>
  </si>
  <si>
    <t>Clamp Collar &amp; Gravel Guard B2-FLG</t>
  </si>
  <si>
    <t>Wolseley Canada Inc</t>
  </si>
  <si>
    <t>s710014</t>
  </si>
  <si>
    <t>Vapour Barrier 120x100x1000</t>
  </si>
  <si>
    <t>s120052</t>
  </si>
  <si>
    <t>s2810026</t>
  </si>
  <si>
    <t>#15 - 6''</t>
  </si>
  <si>
    <t>s2810100</t>
  </si>
  <si>
    <t>Anchor rod HAS-E various</t>
  </si>
  <si>
    <t>Zachary Farrar</t>
  </si>
  <si>
    <t>s2810125</t>
  </si>
  <si>
    <t>Sleeve HIT-SC 16x85</t>
  </si>
  <si>
    <t>s2700077</t>
  </si>
  <si>
    <t>Aluminum Clamptite 4''</t>
  </si>
  <si>
    <t>s240024</t>
  </si>
  <si>
    <t>Terapro VTS Resin - 10-kg can</t>
  </si>
  <si>
    <t>s2810144</t>
  </si>
  <si>
    <t>Common Nail</t>
  </si>
  <si>
    <t>s4510050</t>
  </si>
  <si>
    <t>26Ga Tile Red</t>
  </si>
  <si>
    <t>s260006</t>
  </si>
  <si>
    <t>Siplast PA-917 LS Asphalt Primer</t>
  </si>
  <si>
    <t>s2810052</t>
  </si>
  <si>
    <t>#12 - 4''</t>
  </si>
  <si>
    <t>Enercon Products Ltd</t>
  </si>
  <si>
    <t>s240027</t>
  </si>
  <si>
    <t>Pro Accent Chips (5-kg box)</t>
  </si>
  <si>
    <t>s240016</t>
  </si>
  <si>
    <t>Siplast Parapro 123 Flash Resin Winter</t>
  </si>
  <si>
    <t>s260014</t>
  </si>
  <si>
    <t>Siplast Para-Stik Insul Adhesive</t>
  </si>
  <si>
    <t>s260015</t>
  </si>
  <si>
    <t>Siplast PA-1021</t>
  </si>
  <si>
    <t>s710027</t>
  </si>
  <si>
    <t>FLEXTEX SILVER UNDRLY</t>
  </si>
  <si>
    <t>s540092</t>
  </si>
  <si>
    <t>Firestone 045 EPDM 45ft x 100ft</t>
  </si>
  <si>
    <t>s2310048</t>
  </si>
  <si>
    <t>Fan various</t>
  </si>
  <si>
    <t>Canadian Tire</t>
  </si>
  <si>
    <t>s2700117</t>
  </si>
  <si>
    <t>RUBBER SUPPORT W /THRD ROD &amp; 7/8" CHANNEL</t>
  </si>
  <si>
    <t>s2860002</t>
  </si>
  <si>
    <t>Acrylic Dome Sun Tunnel</t>
  </si>
  <si>
    <t>s120063</t>
  </si>
  <si>
    <t>s340102</t>
  </si>
  <si>
    <t>COLVENT 840</t>
  </si>
  <si>
    <t>s2830022</t>
  </si>
  <si>
    <t>14 OZ. PLASTI−PUTTI</t>
  </si>
  <si>
    <t>s340088</t>
  </si>
  <si>
    <t>Sopralene Stick HR 40 Low Temp 1x10</t>
  </si>
  <si>
    <t>s340093</t>
  </si>
  <si>
    <t>Sopralene Stick HR 20LT 10x1</t>
  </si>
  <si>
    <t>s2210034</t>
  </si>
  <si>
    <t>LIFELINE 5/8"x50' w/THIMBLE</t>
  </si>
  <si>
    <t>s2330098</t>
  </si>
  <si>
    <t>Blade Recip 9'' 8/14</t>
  </si>
  <si>
    <t>s2810039</t>
  </si>
  <si>
    <t>Screws 10-1 Woodgrip Zinc</t>
  </si>
  <si>
    <t>s120011</t>
  </si>
  <si>
    <t>IKOTherm 1.0 Inch 4ft x 8ft</t>
  </si>
  <si>
    <t>s2810003</t>
  </si>
  <si>
    <t>Flat Washer 3/8</t>
  </si>
  <si>
    <t>s2810015</t>
  </si>
  <si>
    <t>Screws 14-3 HWH Neo Z</t>
  </si>
  <si>
    <t>s2810129</t>
  </si>
  <si>
    <t>HEX. NUT #5/16 COARS.THREAD</t>
  </si>
  <si>
    <t>s2330149</t>
  </si>
  <si>
    <t>Tremclad Rust Paint</t>
  </si>
  <si>
    <t>s2330161</t>
  </si>
  <si>
    <t>Spray Paint 12oz</t>
  </si>
  <si>
    <t>s340079</t>
  </si>
  <si>
    <t>Soprafix Traffic Torch Cap 660</t>
  </si>
  <si>
    <t>s2320057</t>
  </si>
  <si>
    <t>Snip Aviation Red Left</t>
  </si>
  <si>
    <t>s2320074</t>
  </si>
  <si>
    <t>Snip Aviation Green Right</t>
  </si>
  <si>
    <t>s2210015</t>
  </si>
  <si>
    <t>Glove Work Split Economy 2'' Cuff</t>
  </si>
  <si>
    <t>s240034</t>
  </si>
  <si>
    <t>Siplast Irex 40</t>
  </si>
  <si>
    <t>s520027</t>
  </si>
  <si>
    <t>Firestone Polyiso 3.5in x 4ft x 4ft</t>
  </si>
  <si>
    <t>s710008</t>
  </si>
  <si>
    <t>Kraft Laminate 2000sf</t>
  </si>
  <si>
    <t>s760013</t>
  </si>
  <si>
    <t>Adhesive Roof 830-05</t>
  </si>
  <si>
    <t>s2840052</t>
  </si>
  <si>
    <t>Siplast Para-Stik Insul Ad Hose/Wand Kit</t>
  </si>
  <si>
    <t>s2210029</t>
  </si>
  <si>
    <t>Glove Goatskin W/Kevlar</t>
  </si>
  <si>
    <t>pair</t>
  </si>
  <si>
    <t>s2700066</t>
  </si>
  <si>
    <t>R24-SS-RR 2.75''</t>
  </si>
  <si>
    <t>s2810042</t>
  </si>
  <si>
    <t>Fastener HP 10"</t>
  </si>
  <si>
    <t>s2310035</t>
  </si>
  <si>
    <t>Battery Pack</t>
  </si>
  <si>
    <t>s2810038</t>
  </si>
  <si>
    <t>Washer Bonded #10-12</t>
  </si>
  <si>
    <t>s2810114</t>
  </si>
  <si>
    <t>Screws Multipurpose #8</t>
  </si>
  <si>
    <t>s2810136</t>
  </si>
  <si>
    <t>Screw Multipurpose 8x1.5'' (6500) ZN</t>
  </si>
  <si>
    <t>s240035</t>
  </si>
  <si>
    <t>Siplast Paradiene 30 Fr Tg Blk</t>
  </si>
  <si>
    <t>s2330052</t>
  </si>
  <si>
    <t>Bit Screw Sqr 2x2</t>
  </si>
  <si>
    <t>s2330064</t>
  </si>
  <si>
    <t>Blades Extra Heavy Duty</t>
  </si>
  <si>
    <t>s2330073</t>
  </si>
  <si>
    <t>Lock Brass 1 1/2</t>
  </si>
  <si>
    <t>s2330116</t>
  </si>
  <si>
    <t>Chalk-Rite</t>
  </si>
  <si>
    <t>s260008</t>
  </si>
  <si>
    <t>Siplast Pro Primer T 10kg</t>
  </si>
  <si>
    <t>s260012</t>
  </si>
  <si>
    <t>Siplast Liquid Catalyst</t>
  </si>
  <si>
    <t>s2810096</t>
  </si>
  <si>
    <t>Screws DP125 1-5/8''</t>
  </si>
  <si>
    <t>s2330072</t>
  </si>
  <si>
    <t>Bit Job 9/64 SST</t>
  </si>
  <si>
    <t>s560022</t>
  </si>
  <si>
    <t>Firestone V-Force Solvent Base Primer</t>
  </si>
  <si>
    <t>s2320012</t>
  </si>
  <si>
    <t>Squeegee 18''</t>
  </si>
  <si>
    <t>s2330115</t>
  </si>
  <si>
    <t>Mop Yarn Fiberglass 30''</t>
  </si>
  <si>
    <t>s2810061</t>
  </si>
  <si>
    <t>Hexagonal Bolt 1/4-20x1</t>
  </si>
  <si>
    <t>s4510073</t>
  </si>
  <si>
    <t>26Ga Bright White/White White</t>
  </si>
  <si>
    <t>Makin Metals Ltd</t>
  </si>
  <si>
    <t>s2810146</t>
  </si>
  <si>
    <t>Bolt Lag 38-2 ZN</t>
  </si>
  <si>
    <t>Blackfoot Industrial Supply Centre</t>
  </si>
  <si>
    <t>s4520049</t>
  </si>
  <si>
    <t>1/2" X 12' TYPE L HARD COPPER PIPE</t>
  </si>
  <si>
    <t>s240015</t>
  </si>
  <si>
    <t>Siplast Parapro 123 Flash Resin Summer</t>
  </si>
  <si>
    <t>s240032</t>
  </si>
  <si>
    <t>Siplast 315 Pro Fleece</t>
  </si>
  <si>
    <t>s2220013</t>
  </si>
  <si>
    <t>Tag Scaffold</t>
  </si>
  <si>
    <t>s760005</t>
  </si>
  <si>
    <t>Hybrid Adhesive HY 70</t>
  </si>
  <si>
    <t>Hilti (Canada) Corporation</t>
  </si>
  <si>
    <t>s2810099</t>
  </si>
  <si>
    <t>Sleeve HIT-SC 18X85 (1/2"x3-3/8")</t>
  </si>
  <si>
    <t>s2840037</t>
  </si>
  <si>
    <t>Bracket 2x10x60</t>
  </si>
  <si>
    <t>s2330047</t>
  </si>
  <si>
    <t>Elbow 2x90</t>
  </si>
  <si>
    <t>s2700091</t>
  </si>
  <si>
    <t>Pipe Clamp 2" Rigid</t>
  </si>
  <si>
    <t>s2810062</t>
  </si>
  <si>
    <t>Hexagonal Nut 1/4x Coarse Thread</t>
  </si>
  <si>
    <t>s2810140</t>
  </si>
  <si>
    <t>Rod Thread STL 5/16 - 18 x 36</t>
  </si>
  <si>
    <t>s2320016</t>
  </si>
  <si>
    <t>Trowel</t>
  </si>
  <si>
    <t>s710011</t>
  </si>
  <si>
    <t>Vapour Barrier Clear 120x150x1500</t>
  </si>
  <si>
    <t>Dillon Scheers</t>
  </si>
  <si>
    <t>s360012</t>
  </si>
  <si>
    <t>Elastocol Stick Zero</t>
  </si>
  <si>
    <t>s4510072</t>
  </si>
  <si>
    <t>Copper Flat Bar</t>
  </si>
  <si>
    <t>Metal Supermarkets</t>
  </si>
  <si>
    <t>s420002</t>
  </si>
  <si>
    <t>RGD Foamular 350 3"</t>
  </si>
  <si>
    <t>s340101</t>
  </si>
  <si>
    <t>Resisto Cap HR 7m Grey</t>
  </si>
  <si>
    <t>s640008</t>
  </si>
  <si>
    <t>Tremproof 250 GC</t>
  </si>
  <si>
    <t>s2320035</t>
  </si>
  <si>
    <t>KNIFE UTILITY XH-1</t>
  </si>
  <si>
    <t>s2810083</t>
  </si>
  <si>
    <t>Staples 3/8''</t>
  </si>
  <si>
    <t>s2320158</t>
  </si>
  <si>
    <t>Ladder Rollgliss Synthetic Rescue</t>
  </si>
  <si>
    <t>s2330097</t>
  </si>
  <si>
    <t>Blade Recip 6'' 8/10 TPI</t>
  </si>
  <si>
    <t>s2330134</t>
  </si>
  <si>
    <t>Blade Rec 9-5T</t>
  </si>
  <si>
    <t>s2330157</t>
  </si>
  <si>
    <t>Blade Rec 6-5T</t>
  </si>
  <si>
    <t>s360027</t>
  </si>
  <si>
    <t>Sopraseal Stick Primer 19L</t>
  </si>
  <si>
    <t>s2330112</t>
  </si>
  <si>
    <t>Hole Saw 3'</t>
  </si>
  <si>
    <t>s2840016</t>
  </si>
  <si>
    <t>Tile C.Gra-897Gren 1/2 x 2 x 4</t>
  </si>
  <si>
    <t>s2330027</t>
  </si>
  <si>
    <t>BLADE REC.SAW 12'' 5-8TPI CR/5</t>
  </si>
  <si>
    <t>s2330133</t>
  </si>
  <si>
    <t>Blade Rec 9-18T</t>
  </si>
  <si>
    <t>s960010</t>
  </si>
  <si>
    <t>BAKOR 570-05 POLYBITUME</t>
  </si>
  <si>
    <t>s2320081</t>
  </si>
  <si>
    <t>Pusher Snow Alpine 21''</t>
  </si>
  <si>
    <t>s2330042</t>
  </si>
  <si>
    <t>Roller 3 Simms 6 mm</t>
  </si>
  <si>
    <t>s2330101</t>
  </si>
  <si>
    <t>Roll Set 3 pcs</t>
  </si>
  <si>
    <t>s2810143</t>
  </si>
  <si>
    <t>Screw MA #1/4</t>
  </si>
  <si>
    <t>s740031</t>
  </si>
  <si>
    <t>Tradesman SBS Glass SA Base</t>
  </si>
  <si>
    <t>s2330081</t>
  </si>
  <si>
    <t>Hose Clamp 3x4x5</t>
  </si>
  <si>
    <t>s420008</t>
  </si>
  <si>
    <t>RGD Foamular 350 1.5"</t>
  </si>
  <si>
    <t>s2320107</t>
  </si>
  <si>
    <t>Hacksaw Lightweight 12"</t>
  </si>
  <si>
    <t>s2320036</t>
  </si>
  <si>
    <t>CUTTER SUPER HEAVY DUTY H-1</t>
  </si>
  <si>
    <t>s240033</t>
  </si>
  <si>
    <t>Siplast Teranap 1M</t>
  </si>
  <si>
    <t>s120064</t>
  </si>
  <si>
    <t>Enerfoil  2" 4x8</t>
  </si>
  <si>
    <t>s2320056</t>
  </si>
  <si>
    <t>Hammer Drywall</t>
  </si>
  <si>
    <t>s2320166</t>
  </si>
  <si>
    <t>Plier 12" T&amp;Groove</t>
  </si>
  <si>
    <t>s2330087</t>
  </si>
  <si>
    <t>Paint Prime Acrilyc</t>
  </si>
  <si>
    <t>s360019</t>
  </si>
  <si>
    <t>Sopramastic</t>
  </si>
  <si>
    <t>s4510068</t>
  </si>
  <si>
    <t>20Ga Aluminum Clear Anodized</t>
  </si>
  <si>
    <t>s940002</t>
  </si>
  <si>
    <t>Hot Rubber 790-11</t>
  </si>
  <si>
    <t>s940004</t>
  </si>
  <si>
    <t>Bakor 990-25 Flash</t>
  </si>
  <si>
    <t>s2330023</t>
  </si>
  <si>
    <t>Mop Yarn 24''</t>
  </si>
  <si>
    <t>Home Hardware</t>
  </si>
  <si>
    <t>s2330039</t>
  </si>
  <si>
    <t>SAWZALL BL ASST</t>
  </si>
  <si>
    <t>s2330078</t>
  </si>
  <si>
    <t>Mop Handle Wood W/Metal</t>
  </si>
  <si>
    <t>s2810095</t>
  </si>
  <si>
    <t>Fasteners HP 1 1/4''</t>
  </si>
  <si>
    <t>s340100</t>
  </si>
  <si>
    <t>Resisto Membrane Base BT 20m</t>
  </si>
  <si>
    <t>s2320163</t>
  </si>
  <si>
    <t>Hammer Dead Blow 21 OZ</t>
  </si>
  <si>
    <t>s4510061</t>
  </si>
  <si>
    <t>26Ga Tan 4x4</t>
  </si>
  <si>
    <t>s120030</t>
  </si>
  <si>
    <t>IKOTherm III 2.0 Inch 4ft x 8ft</t>
  </si>
  <si>
    <t>s2320072</t>
  </si>
  <si>
    <t>Pliers Pushlock</t>
  </si>
  <si>
    <t>s2330012</t>
  </si>
  <si>
    <t>Hand Wrap Ecogreen</t>
  </si>
  <si>
    <t>s2810091</t>
  </si>
  <si>
    <t>Insulation Fastening Plate</t>
  </si>
  <si>
    <t>s2840036</t>
  </si>
  <si>
    <t>Siplast Granules Special Order</t>
  </si>
  <si>
    <t>s2330155</t>
  </si>
  <si>
    <t>Dewalt Series 20 7A-1/4 18T</t>
  </si>
  <si>
    <t>s320014</t>
  </si>
  <si>
    <t>Sopra-Iso 3x4x4</t>
  </si>
  <si>
    <t>s4510067</t>
  </si>
  <si>
    <t>26Ga Coffee Brown 4x4</t>
  </si>
  <si>
    <t>s2330028</t>
  </si>
  <si>
    <t>BLADE RECIP.SAW 9'' 6TPI CR/5</t>
  </si>
  <si>
    <t>s2330044</t>
  </si>
  <si>
    <t>Brush Paint Set Poly PK3</t>
  </si>
  <si>
    <t>s2330131</t>
  </si>
  <si>
    <t>Handle 11/8-60 Metal</t>
  </si>
  <si>
    <t>s2330163</t>
  </si>
  <si>
    <t>Roof Tar Brush</t>
  </si>
  <si>
    <t>s260004</t>
  </si>
  <si>
    <t>Siplast TA-119 Primer</t>
  </si>
  <si>
    <t>s2330095</t>
  </si>
  <si>
    <t>U-Bolt for Aluminum Mop Bell</t>
  </si>
  <si>
    <t>s2210025</t>
  </si>
  <si>
    <t>Gloves Winter Grain Thinsulate</t>
  </si>
  <si>
    <t>s2600028</t>
  </si>
  <si>
    <t>24'' 1/2 Custom Cone &amp; Collar</t>
  </si>
  <si>
    <t>s2320092</t>
  </si>
  <si>
    <t>Scissors Straight</t>
  </si>
  <si>
    <t>s2330083</t>
  </si>
  <si>
    <t>Inverted Spray Paint</t>
  </si>
  <si>
    <t>s730005</t>
  </si>
  <si>
    <t>3 1/2'' Fibre Cant Strip</t>
  </si>
  <si>
    <t>s2320114</t>
  </si>
  <si>
    <t>COUNTERWEIGHT 15.5" X 5"</t>
  </si>
  <si>
    <t>Armour Equipment Sales &amp; Rentals</t>
  </si>
  <si>
    <t>s2840027</t>
  </si>
  <si>
    <t>Tile Fis. Econo 2x4 BVFIS</t>
  </si>
  <si>
    <t>s140050</t>
  </si>
  <si>
    <t>MP-180-SS 2.5mm</t>
  </si>
  <si>
    <t>s2810130</t>
  </si>
  <si>
    <t>Anchor Rod HAS-E 3/8 x 4-3/8</t>
  </si>
  <si>
    <t>s3510032</t>
  </si>
  <si>
    <t>PT Green 6x6x10</t>
  </si>
  <si>
    <t>s2330099</t>
  </si>
  <si>
    <t>Drill Bit SP7/32''</t>
  </si>
  <si>
    <t>s2330031</t>
  </si>
  <si>
    <t>Shovel Square Mouth</t>
  </si>
  <si>
    <t>s2330100</t>
  </si>
  <si>
    <t>Drill Bit SP 1/4''</t>
  </si>
  <si>
    <t>s240025</t>
  </si>
  <si>
    <t>Terapro VTS Filler Mixture - 50-lb bag</t>
  </si>
  <si>
    <t>s240026</t>
  </si>
  <si>
    <t>Pro Color Finish - 10-kg can</t>
  </si>
  <si>
    <t>s2210039</t>
  </si>
  <si>
    <t>Mask Half Resp</t>
  </si>
  <si>
    <t>s2320101</t>
  </si>
  <si>
    <t>Hammer Tacker Carbonfiber</t>
  </si>
  <si>
    <t>s2330085</t>
  </si>
  <si>
    <t>Flexible Coupling 4</t>
  </si>
  <si>
    <t>s2210036</t>
  </si>
  <si>
    <t>Respirator N95 Disposable</t>
  </si>
  <si>
    <t>s2330162</t>
  </si>
  <si>
    <t>Tarp Pre-Fab 50x100</t>
  </si>
  <si>
    <t>Canvas Mart (2002) Ltd</t>
  </si>
  <si>
    <t>s2330022</t>
  </si>
  <si>
    <t>ROPE POLY BRAIDED 5/32''X50</t>
  </si>
  <si>
    <t>s2600010</t>
  </si>
  <si>
    <t>6''  PS Penetration Pocket; Kit</t>
  </si>
  <si>
    <t>s760019</t>
  </si>
  <si>
    <t>AC Tech 2170 FC</t>
  </si>
  <si>
    <t>Allied Construction Technologies</t>
  </si>
  <si>
    <t>s2330058</t>
  </si>
  <si>
    <t>Rope 3/4 Yellow Poly</t>
  </si>
  <si>
    <t>Boettcher, Dale</t>
  </si>
  <si>
    <t>s2600040</t>
  </si>
  <si>
    <t>QS10 Penetration Pocket kit</t>
  </si>
  <si>
    <t>s740022</t>
  </si>
  <si>
    <t>Blueskin VP160 48x100</t>
  </si>
  <si>
    <t>s2600058</t>
  </si>
  <si>
    <t>11'' Collar</t>
  </si>
  <si>
    <t>s2810101</t>
  </si>
  <si>
    <t>Plate Mending 5x3 1/8"</t>
  </si>
  <si>
    <t>s960008</t>
  </si>
  <si>
    <t>Bakor Blueskin Primer Ultra Spray</t>
  </si>
  <si>
    <t>s2830020</t>
  </si>
  <si>
    <t>OSI Quad 758</t>
  </si>
  <si>
    <t>s4520048</t>
  </si>
  <si>
    <t>WF-Duraclad Panel 26Ga</t>
  </si>
  <si>
    <t>s2210019</t>
  </si>
  <si>
    <t>Gloves Demolition Series</t>
  </si>
  <si>
    <t>s2330143</t>
  </si>
  <si>
    <t>Squeegee 1/4x24 Blade</t>
  </si>
  <si>
    <t>s2810068</t>
  </si>
  <si>
    <t>Staples 5/16</t>
  </si>
  <si>
    <t>s2310025</t>
  </si>
  <si>
    <t>Circular Saw 7-1/4''</t>
  </si>
  <si>
    <t>s760010</t>
  </si>
  <si>
    <t>Adhesive Spray Low Mist 240OZ</t>
  </si>
  <si>
    <t>s420005</t>
  </si>
  <si>
    <t>RGD ISO HP-H 4x4x8</t>
  </si>
  <si>
    <t>s2600044</t>
  </si>
  <si>
    <t>Neoprene Roof Flashing 4 Inch</t>
  </si>
  <si>
    <t>s4520025</t>
  </si>
  <si>
    <t>Wall Flash 4x4-10ft Brown 30ga</t>
  </si>
  <si>
    <t>s2810074</t>
  </si>
  <si>
    <t>#14 - 8''</t>
  </si>
  <si>
    <t>s2820014</t>
  </si>
  <si>
    <t>Red Poly Stucco Tape</t>
  </si>
  <si>
    <t>Dunrite</t>
  </si>
  <si>
    <t>s420007</t>
  </si>
  <si>
    <t>RGD Foamular 3"</t>
  </si>
  <si>
    <t>s710013</t>
  </si>
  <si>
    <t>HEAVY POLY-CLR 120in 1000 SF</t>
  </si>
  <si>
    <t>s120062</t>
  </si>
  <si>
    <t>POSW00744-1</t>
  </si>
  <si>
    <t>s2320030</t>
  </si>
  <si>
    <t>Spud Bar Handle 7''</t>
  </si>
  <si>
    <t>s2310022</t>
  </si>
  <si>
    <t>Impact Driver 20V Tool Only</t>
  </si>
  <si>
    <t>s2810071</t>
  </si>
  <si>
    <t>#14 - 5''</t>
  </si>
  <si>
    <t>s2330062</t>
  </si>
  <si>
    <t>Bit Set 10 Pcs Sqr 2''</t>
  </si>
  <si>
    <t>s740026</t>
  </si>
  <si>
    <t>BLUESKIN SA 12" X 75' LO-TEMP</t>
  </si>
  <si>
    <t>s2810077</t>
  </si>
  <si>
    <t>Soffit Screw 9/16"</t>
  </si>
  <si>
    <t>s120016</t>
  </si>
  <si>
    <t>IKOTherm 2.5 Inch  4ft x 8ft</t>
  </si>
  <si>
    <t>s4510060</t>
  </si>
  <si>
    <t>24 Ga Copper Penny/Wash</t>
  </si>
  <si>
    <t>s140032</t>
  </si>
  <si>
    <t>TF-95 FF Base   2.2mm x 15M</t>
  </si>
  <si>
    <t>s760021</t>
  </si>
  <si>
    <t>Cement Flashing Cold Gold</t>
  </si>
  <si>
    <t>s2320066</t>
  </si>
  <si>
    <t>Shovel Roofers Notch Blade</t>
  </si>
  <si>
    <t>s2840051</t>
  </si>
  <si>
    <t>24x48 Aluminum Egg Crate</t>
  </si>
  <si>
    <t>s2320073</t>
  </si>
  <si>
    <t>Sling Lifting 3''x20'</t>
  </si>
  <si>
    <t>s960009</t>
  </si>
  <si>
    <t>BAKOR 930-38 TACK SHEET ADHESIVE</t>
  </si>
  <si>
    <t>s140003</t>
  </si>
  <si>
    <t>MP-180 Cap 10m Charcoal Grey  3.5mm</t>
  </si>
  <si>
    <t>s2810139</t>
  </si>
  <si>
    <t>Rivet 1/8-3/16</t>
  </si>
  <si>
    <t>s740023</t>
  </si>
  <si>
    <t>G100 SS</t>
  </si>
  <si>
    <t>s740025</t>
  </si>
  <si>
    <t>NP180 GT4</t>
  </si>
  <si>
    <t>s2320061</t>
  </si>
  <si>
    <t>Scaffold Pigtails</t>
  </si>
  <si>
    <t>s2600018</t>
  </si>
  <si>
    <t>Storm Collar 6' Galvanized</t>
  </si>
  <si>
    <t>s2330159</t>
  </si>
  <si>
    <t>Blade Rec 6-5/8T</t>
  </si>
  <si>
    <t>s2320068</t>
  </si>
  <si>
    <t>Hose HD 5/8'' 100''</t>
  </si>
  <si>
    <t>Green Line Hose &amp; Fittings Ltd</t>
  </si>
  <si>
    <t>s740024</t>
  </si>
  <si>
    <t>BLUESKIN TWF 12" X 75'</t>
  </si>
  <si>
    <t>s2210021</t>
  </si>
  <si>
    <t>Snap Safety 5/16''</t>
  </si>
  <si>
    <t>s2810002</t>
  </si>
  <si>
    <t>Eye Bolt 3/8x8</t>
  </si>
  <si>
    <t>s2810098</t>
  </si>
  <si>
    <t>Anchor Rod HAS-E 3/8x12</t>
  </si>
  <si>
    <t>s3510038</t>
  </si>
  <si>
    <t>ACQ TRT HEM 4X4</t>
  </si>
  <si>
    <t>s340041</t>
  </si>
  <si>
    <t>Sopralene Flam 180 FR Gr</t>
  </si>
  <si>
    <t>s2330050</t>
  </si>
  <si>
    <t>Luco Mop Yarn 30in Skeins</t>
  </si>
  <si>
    <t>s2330025</t>
  </si>
  <si>
    <t>9'' 10TPI SUPER SAWZALL BLADES</t>
  </si>
  <si>
    <t>s2320069</t>
  </si>
  <si>
    <t>Hose HV 5/8'' 60'</t>
  </si>
  <si>
    <t>s2330046</t>
  </si>
  <si>
    <t>Tape Duct Prem 48x55</t>
  </si>
  <si>
    <t>s2320155</t>
  </si>
  <si>
    <t>Square Recess 2</t>
  </si>
  <si>
    <t>s2810011</t>
  </si>
  <si>
    <t>#12 - 6''</t>
  </si>
  <si>
    <t>s4510030</t>
  </si>
  <si>
    <t>Galvanized 22 Ga 9.5x8</t>
  </si>
  <si>
    <t>s960004</t>
  </si>
  <si>
    <t>Bakor 910-01 primer</t>
  </si>
  <si>
    <t>s940005</t>
  </si>
  <si>
    <t>Henry Air Bloc 21.5 Gal</t>
  </si>
  <si>
    <t>s340095</t>
  </si>
  <si>
    <t>Elastoflex S6G WC40 180 Poly</t>
  </si>
  <si>
    <t>s2320096</t>
  </si>
  <si>
    <t>Torch TS3500KC</t>
  </si>
  <si>
    <t>s340096</t>
  </si>
  <si>
    <t>Elastoflex WC 30SBS Base Sheet Poly</t>
  </si>
  <si>
    <t>s2330132</t>
  </si>
  <si>
    <t>Tarp Insulated 12x20</t>
  </si>
  <si>
    <t>s4520040</t>
  </si>
  <si>
    <t>Fascia 6" Ribbed Black</t>
  </si>
  <si>
    <t>s140005</t>
  </si>
  <si>
    <t>Modiflex MP 250 Cap Charcoal Grey 10M</t>
  </si>
  <si>
    <t>s2810029</t>
  </si>
  <si>
    <t>#15 - 14''</t>
  </si>
  <si>
    <t>s2810036</t>
  </si>
  <si>
    <t>#14 - 2''</t>
  </si>
  <si>
    <t>s2840048</t>
  </si>
  <si>
    <t>3/8 COMP X 3/8 COMP X 60IN DISHWSH FLEX CONN W−3/8MIP ELB</t>
  </si>
  <si>
    <t>Bartle &amp; Gibson Co Ltd</t>
  </si>
  <si>
    <t>s2840049</t>
  </si>
  <si>
    <t>1/2 X 3/8 LEAD FREE BRASS COUPLING</t>
  </si>
  <si>
    <t>s2840050</t>
  </si>
  <si>
    <t>3/8 X 3/8 COMP/MIP ADAPTER</t>
  </si>
  <si>
    <t>s720016</t>
  </si>
  <si>
    <t>AT3 GEMINI DRN SUMP .5-1.5 4X4</t>
  </si>
  <si>
    <t>s2700125</t>
  </si>
  <si>
    <t>4"x45D PVC Elbow HXSP BDS</t>
  </si>
  <si>
    <t>s2700126</t>
  </si>
  <si>
    <t>4"x45D PVC Elbow HXH BDS</t>
  </si>
  <si>
    <t>s2700127</t>
  </si>
  <si>
    <t>4" PVC CPLG W/STOP HXH BDS</t>
  </si>
  <si>
    <t>s2700128</t>
  </si>
  <si>
    <t>4" PVC SOLID CSA S&amp;D PIPE</t>
  </si>
  <si>
    <t>s2310046</t>
  </si>
  <si>
    <t>LT91 SWIRL ADJ FLAME HAND TORCH Worthington</t>
  </si>
  <si>
    <t>s2330145</t>
  </si>
  <si>
    <t>1/2 PT SOLDER FLUX PASTE</t>
  </si>
  <si>
    <t>s2700119</t>
  </si>
  <si>
    <t>4 W/PLUG ABS DWV CLEANOUT FTG 3in</t>
  </si>
  <si>
    <t>s2700122</t>
  </si>
  <si>
    <t>3X3 CIXPLASTIC CPLG FERNCO</t>
  </si>
  <si>
    <t>s2700123</t>
  </si>
  <si>
    <t>4 X 4 CIXPLASTIC CPLG FERNCO</t>
  </si>
  <si>
    <t>s2700124</t>
  </si>
  <si>
    <t>4 X 3 CIXPLASTIC CPLG FERNCO</t>
  </si>
  <si>
    <t>s2830021</t>
  </si>
  <si>
    <t>PRO−DOPE W/ TEFLON MASTERS</t>
  </si>
  <si>
    <t>s2810049</t>
  </si>
  <si>
    <t>#12 - 1 1/4''</t>
  </si>
  <si>
    <t>s440006</t>
  </si>
  <si>
    <t>Carlilse Sure-Seal  45 mil Reinforced  EPDM 10'</t>
  </si>
  <si>
    <t>s4510048</t>
  </si>
  <si>
    <t>26GA Pebblestone/Varsteel White</t>
  </si>
  <si>
    <t>s150005</t>
  </si>
  <si>
    <t>Cambridge Weatherwood</t>
  </si>
  <si>
    <t>s150026</t>
  </si>
  <si>
    <t>Hip and Ridge Plus Weatherwood</t>
  </si>
  <si>
    <t>s4510054</t>
  </si>
  <si>
    <t>24Ga Tile Red</t>
  </si>
  <si>
    <t>s2840047</t>
  </si>
  <si>
    <t>Forged D-Ring with Bracket</t>
  </si>
  <si>
    <t>Gregg Distributors</t>
  </si>
  <si>
    <t>s440051</t>
  </si>
  <si>
    <t>Overlayment PVC strip</t>
  </si>
  <si>
    <t>s2700089</t>
  </si>
  <si>
    <t>ABS Adapter  w/ PLug 4"</t>
  </si>
  <si>
    <t>s2700093</t>
  </si>
  <si>
    <t>2 ABS DWV TEE</t>
  </si>
  <si>
    <t>s2700094</t>
  </si>
  <si>
    <t>2in AIR ADMITTANCE VALVE</t>
  </si>
  <si>
    <t>s640004</t>
  </si>
  <si>
    <t>AlphaGuard Bio Basecoat A&amp;B</t>
  </si>
  <si>
    <t>s2320039</t>
  </si>
  <si>
    <t>Hammer drill bit TE-CX 5/8''-6''</t>
  </si>
  <si>
    <t>s2810085</t>
  </si>
  <si>
    <t>#8 - 1 1/4in 500/box</t>
  </si>
  <si>
    <t>s2840043</t>
  </si>
  <si>
    <t>Injectable Mortar HIT-HY 270</t>
  </si>
  <si>
    <t>s420004</t>
  </si>
  <si>
    <t>RGD ISO HP-H 3" 4x8</t>
  </si>
  <si>
    <t>s640005</t>
  </si>
  <si>
    <t>AlphaGuard Bio Topcoat</t>
  </si>
  <si>
    <t>s4520018</t>
  </si>
  <si>
    <t>W Valley Flash 24in x 10ft Black 26ga</t>
  </si>
  <si>
    <t>s640007</t>
  </si>
  <si>
    <t>SolarGard Seam Sealer 5 Gal</t>
  </si>
  <si>
    <t>s2840044</t>
  </si>
  <si>
    <t>Planibond EBA Kit</t>
  </si>
  <si>
    <t>National Concrete Accessories Canada Inc</t>
  </si>
  <si>
    <t>s2320165</t>
  </si>
  <si>
    <t>Plier 6 1/2 T&amp;Groove</t>
  </si>
  <si>
    <t>s2810021</t>
  </si>
  <si>
    <t>Screws 6x1 1/4"</t>
  </si>
  <si>
    <t>s2600084</t>
  </si>
  <si>
    <t>10" Collar</t>
  </si>
  <si>
    <t>s4520020</t>
  </si>
  <si>
    <t>W Valley Flash 24in x 10ft Brown 30ga</t>
  </si>
  <si>
    <t>s2310043</t>
  </si>
  <si>
    <t>Camera Micro Instn CA-150</t>
  </si>
  <si>
    <t>s2310044</t>
  </si>
  <si>
    <t>Drain Cleaner K45</t>
  </si>
  <si>
    <t>s2310045</t>
  </si>
  <si>
    <t>Cable See Snake 6'</t>
  </si>
  <si>
    <t>s2810063</t>
  </si>
  <si>
    <t>Anchor Roof Reusable Hinged c/w Nails</t>
  </si>
  <si>
    <t>s730017</t>
  </si>
  <si>
    <t>MSL Fiberboard Std.Ctd 1/2in 2 x 4</t>
  </si>
  <si>
    <t>s2330102</t>
  </si>
  <si>
    <t>Paint Spray</t>
  </si>
  <si>
    <t>s2700116</t>
  </si>
  <si>
    <t>s2310041</t>
  </si>
  <si>
    <t>Power Tex Texture Sprayer</t>
  </si>
  <si>
    <t>s2810007</t>
  </si>
  <si>
    <t>#12 - 3 1/4''</t>
  </si>
  <si>
    <t>s4520002</t>
  </si>
  <si>
    <t>Backpan 5ft. 6in X 18in</t>
  </si>
  <si>
    <t>s660004</t>
  </si>
  <si>
    <t>Onestep Roof Sealer</t>
  </si>
  <si>
    <t>s260013</t>
  </si>
  <si>
    <t>Siplast SFT Adhesive</t>
  </si>
  <si>
    <t>s2330156</t>
  </si>
  <si>
    <t>Blade Rec 9-6T</t>
  </si>
  <si>
    <t>s4510003</t>
  </si>
  <si>
    <t>FLAT LEAD SHEET 36'' X 36''</t>
  </si>
  <si>
    <t>s2320009</t>
  </si>
  <si>
    <t>Neophrene membrane roller 12''</t>
  </si>
  <si>
    <t>s2810128</t>
  </si>
  <si>
    <t>HEXAGONAL BOLT 5/16-18X1''XEA</t>
  </si>
  <si>
    <t>s660007</t>
  </si>
  <si>
    <t>805 SP Primer 5 Gal</t>
  </si>
  <si>
    <t>s2840041</t>
  </si>
  <si>
    <t>Dricore R +Insulated Panel</t>
  </si>
  <si>
    <t>s3510017</t>
  </si>
  <si>
    <t>SPF Select 2x4x14</t>
  </si>
  <si>
    <t>s140020</t>
  </si>
  <si>
    <t>Prevent TP 250 Frostone Grey 5mm</t>
  </si>
  <si>
    <t>s2210028</t>
  </si>
  <si>
    <t>Glove Ninja X4</t>
  </si>
  <si>
    <t>s2330154</t>
  </si>
  <si>
    <t>DW 7-1/4 40T Precision Finish</t>
  </si>
  <si>
    <t>s4510052</t>
  </si>
  <si>
    <t>26Ga Tile Red 4x4</t>
  </si>
  <si>
    <t>s2320103</t>
  </si>
  <si>
    <t>Aluminum telescopic Ext Ladder 12.5 Ft</t>
  </si>
  <si>
    <t>Cote, Justin</t>
  </si>
  <si>
    <t>s240022</t>
  </si>
  <si>
    <t>Terapro Base Resin (Base &amp; Top Coat) - 10-kg can</t>
  </si>
  <si>
    <t>s240028</t>
  </si>
  <si>
    <t>Pro Catalyst Powder -Box of Ten 0.1 kg bags</t>
  </si>
  <si>
    <t>s240029</t>
  </si>
  <si>
    <t>Terapro Flashing Resin - 10-kg can</t>
  </si>
  <si>
    <t>s2700037</t>
  </si>
  <si>
    <t>RDX-30-RR ECON. RETRO-ALU 2.75</t>
  </si>
  <si>
    <t>s2840038</t>
  </si>
  <si>
    <t>330 Steel Shot</t>
  </si>
  <si>
    <t>s4520001</t>
  </si>
  <si>
    <t>Backpan 3ft. 6in X 18in</t>
  </si>
  <si>
    <t>s2820013</t>
  </si>
  <si>
    <t>WMP PATCH TAPE 1537CW</t>
  </si>
  <si>
    <t>Total-R</t>
  </si>
  <si>
    <t>s740020</t>
  </si>
  <si>
    <t>EPX-AQU-VAPTIGHT-SG4</t>
  </si>
  <si>
    <t>Quadro Coatings Inc.</t>
  </si>
  <si>
    <t>s4520016</t>
  </si>
  <si>
    <t>Valley Flash 24in x 10ft White 30ga</t>
  </si>
  <si>
    <t>s2700039</t>
  </si>
  <si>
    <t>RDX-30-RR ECON. RETRO-ALU 5.75</t>
  </si>
  <si>
    <t>s760002</t>
  </si>
  <si>
    <t>Type 3 - Asphalt</t>
  </si>
  <si>
    <t>s2330084</t>
  </si>
  <si>
    <t>Olfa Blade HBB-20B</t>
  </si>
  <si>
    <t>s2220014</t>
  </si>
  <si>
    <t>Fire Extinguisher Amerex 20LB</t>
  </si>
  <si>
    <t>Sprouse Fire &amp; Safety</t>
  </si>
  <si>
    <t>s2700110</t>
  </si>
  <si>
    <t>6 PVC DWV Coupling</t>
  </si>
  <si>
    <t>s4510001</t>
  </si>
  <si>
    <t>FLAT LEAD SHEET 24'' X 24''</t>
  </si>
  <si>
    <t>s2700113</t>
  </si>
  <si>
    <t>6 PVC DWV WYE Double</t>
  </si>
  <si>
    <t>s2810151</t>
  </si>
  <si>
    <t>1/2 Q Deck Clip Anchortek QD 12</t>
  </si>
  <si>
    <t>s4510044</t>
  </si>
  <si>
    <t>4x10 Old Zinc Grey</t>
  </si>
  <si>
    <t>s2810127</t>
  </si>
  <si>
    <t>Roofing Nail 1-1/2in</t>
  </si>
  <si>
    <t>s2320080</t>
  </si>
  <si>
    <t>Leister Wide Slated Nozzle</t>
  </si>
  <si>
    <t>s4510042</t>
  </si>
  <si>
    <t>26Ga Dp Water Green 4x5'4"</t>
  </si>
  <si>
    <t>s2330125</t>
  </si>
  <si>
    <t>Torch Roll Puller</t>
  </si>
  <si>
    <t>s2330150</t>
  </si>
  <si>
    <t>One Step Cement System 15</t>
  </si>
  <si>
    <t>s2330151</t>
  </si>
  <si>
    <t>Glue Primer</t>
  </si>
  <si>
    <t>s2700107</t>
  </si>
  <si>
    <t>6 PVC DWV Elbow 45</t>
  </si>
  <si>
    <t>s2700108</t>
  </si>
  <si>
    <t>6 STD Plated Hanger Clevis Taylor 24Z</t>
  </si>
  <si>
    <t>s2700109</t>
  </si>
  <si>
    <t>1/2" Plated Hanger Beam Clamp Taylor 406Z</t>
  </si>
  <si>
    <t>s2700111</t>
  </si>
  <si>
    <t>6" STD Plated Hanger Riser Taylor 82Z</t>
  </si>
  <si>
    <t>s2330146</t>
  </si>
  <si>
    <t>Hose Clamp 1 1/16 x 1 x 1 1/2</t>
  </si>
  <si>
    <t>s2330147</t>
  </si>
  <si>
    <t>Hose Clamp 9/16 x 3/4 x 1 1/4</t>
  </si>
  <si>
    <t>s2330148</t>
  </si>
  <si>
    <t>Hose Clamp 1 1/16 x 1 1/2 x2</t>
  </si>
  <si>
    <t>s2320115</t>
  </si>
  <si>
    <t>Prime EPDM Scissors 10"</t>
  </si>
  <si>
    <t>s2320001</t>
  </si>
  <si>
    <t>Prime Round Trowel 2in x 5.5in</t>
  </si>
  <si>
    <t>s2810132</t>
  </si>
  <si>
    <t>Hexagonal Bolt 3/8 16x2 1/2 XEA</t>
  </si>
  <si>
    <t>s4520014</t>
  </si>
  <si>
    <t>Valley Flash 24in x 10ft Brown 26ga</t>
  </si>
  <si>
    <t>s750007</t>
  </si>
  <si>
    <t>Supreme Brownwood</t>
  </si>
  <si>
    <t>s2310038</t>
  </si>
  <si>
    <t>Oscillating Tool</t>
  </si>
  <si>
    <t>KMS Tools &amp; Equipment</t>
  </si>
  <si>
    <t>s960003</t>
  </si>
  <si>
    <t>Bakor Blueskin Primer</t>
  </si>
  <si>
    <t>s2320111</t>
  </si>
  <si>
    <t>Econo-Flex Hose Assy 2x5</t>
  </si>
  <si>
    <t>s2320112</t>
  </si>
  <si>
    <t>Econo-Flex-Hose Assy 2x3</t>
  </si>
  <si>
    <t>s2320113</t>
  </si>
  <si>
    <t>3"TRUF REC'SED INSLTN PLATE MPR3000 1000</t>
  </si>
  <si>
    <t>s2810118</t>
  </si>
  <si>
    <t>ARDOX NAIL SPIRAL 3 1/2''</t>
  </si>
  <si>
    <t>s760016</t>
  </si>
  <si>
    <t>MasterSeal P 173</t>
  </si>
  <si>
    <t>s2310036</t>
  </si>
  <si>
    <t>Drill Bosch Concrete 5/8</t>
  </si>
  <si>
    <t>s2810147</t>
  </si>
  <si>
    <t>Goof Screws 17x1.5"</t>
  </si>
  <si>
    <t>s2330018</t>
  </si>
  <si>
    <t>Mop Staple</t>
  </si>
  <si>
    <t>s2860028</t>
  </si>
  <si>
    <t>Daylight Controller ZTP 22"</t>
  </si>
  <si>
    <t>s2310026</t>
  </si>
  <si>
    <t>Reciprocal Saw 15A</t>
  </si>
  <si>
    <t>s2330070</t>
  </si>
  <si>
    <t>Blade Reciprocal Saw 8'' 8-12TPI</t>
  </si>
  <si>
    <t>s2810145</t>
  </si>
  <si>
    <t>Bolt Lag 516-3 ZN</t>
  </si>
  <si>
    <t>s2330051</t>
  </si>
  <si>
    <t>Key Blank Single</t>
  </si>
  <si>
    <t>s2400010</t>
  </si>
  <si>
    <t>Cleeaner All-Purpose Trigger</t>
  </si>
  <si>
    <t>s740016</t>
  </si>
  <si>
    <t>MasterSeal 914 AAccelerator for TC225</t>
  </si>
  <si>
    <t>s140048</t>
  </si>
  <si>
    <t>Armourcool Granular Cap 4x8</t>
  </si>
  <si>
    <t>s2400009</t>
  </si>
  <si>
    <t>Cleaner</t>
  </si>
  <si>
    <t>s2810012</t>
  </si>
  <si>
    <t>#12 - 7''</t>
  </si>
  <si>
    <t>s2700087</t>
  </si>
  <si>
    <t>ABS Reducing Y 4x4x2</t>
  </si>
  <si>
    <t>s2310033</t>
  </si>
  <si>
    <t>Power Spin</t>
  </si>
  <si>
    <t>s2310028</t>
  </si>
  <si>
    <t>Nailer Roofing Coil 1 3/4</t>
  </si>
  <si>
    <t>s2810008</t>
  </si>
  <si>
    <t>#12 - 3 3/4''</t>
  </si>
  <si>
    <t>s320009</t>
  </si>
  <si>
    <t>1/8inSOP-ISO TAP-AA 0.5-1.0 4X4</t>
  </si>
  <si>
    <t>s320010</t>
  </si>
  <si>
    <t>1/8inSOP-ISO TAP-A 1.0-1.5 4X4</t>
  </si>
  <si>
    <t>s2210010</t>
  </si>
  <si>
    <t>Jacket Force Extremes</t>
  </si>
  <si>
    <t>s2330137</t>
  </si>
  <si>
    <t>Pro Mixing Paddle 2.5 Gallon</t>
  </si>
  <si>
    <t>s2330138</t>
  </si>
  <si>
    <t>Pro Mixing Pail 5QT</t>
  </si>
  <si>
    <t>s2330139</t>
  </si>
  <si>
    <t>Pro Stub Roller Base Coat Blue</t>
  </si>
  <si>
    <t>s2330140</t>
  </si>
  <si>
    <t>Pro Stub Roller VTS 18" Red</t>
  </si>
  <si>
    <t>s2330141</t>
  </si>
  <si>
    <t>Spike Roller 18"</t>
  </si>
  <si>
    <t>s2330142</t>
  </si>
  <si>
    <t>Stub/Spike Frame 18"</t>
  </si>
  <si>
    <t>s240021</t>
  </si>
  <si>
    <t>Pro Primer T (Concrete) - 10-kg can</t>
  </si>
  <si>
    <t>s2820010</t>
  </si>
  <si>
    <t>Pro Grout Tape 0.5"</t>
  </si>
  <si>
    <t>s2820011</t>
  </si>
  <si>
    <t>Pro Grout Tape 1"</t>
  </si>
  <si>
    <t>s2330066</t>
  </si>
  <si>
    <t>Ties Multi Purpose</t>
  </si>
  <si>
    <t>s2700101</t>
  </si>
  <si>
    <t>6"x45 PVC Elbow HXH BDS</t>
  </si>
  <si>
    <t>s2700102</t>
  </si>
  <si>
    <t>6" PVC Coupling w/ Stop HXH BDS</t>
  </si>
  <si>
    <t>s2700103</t>
  </si>
  <si>
    <t>6" PVC Solid CSA S&amp;D Pipe</t>
  </si>
  <si>
    <t>s2840022</t>
  </si>
  <si>
    <t>s4510040</t>
  </si>
  <si>
    <t>26GA Bright White/White White</t>
  </si>
  <si>
    <t>s2310023</t>
  </si>
  <si>
    <t>Regulator</t>
  </si>
  <si>
    <t>s2810133</t>
  </si>
  <si>
    <t>Lock Nut 3/8 x 16 XBX</t>
  </si>
  <si>
    <t>s2330123</t>
  </si>
  <si>
    <t>ABS Reducing Coupling 4x3</t>
  </si>
  <si>
    <t>s2320003</t>
  </si>
  <si>
    <t>Prime Magnet Broom 20in</t>
  </si>
  <si>
    <t>s2700100</t>
  </si>
  <si>
    <t>ABS Elbow 60 Deg</t>
  </si>
  <si>
    <t>s2210002</t>
  </si>
  <si>
    <t>Atoka Safety Glasses</t>
  </si>
  <si>
    <t>Acure Safety</t>
  </si>
  <si>
    <t>s330003</t>
  </si>
  <si>
    <t>Sopraboard (1/4'')</t>
  </si>
  <si>
    <t>60</t>
  </si>
  <si>
    <t>s2320105</t>
  </si>
  <si>
    <t>File 10" Flat Bastard</t>
  </si>
  <si>
    <t>s2320106</t>
  </si>
  <si>
    <t>File 8" Handy</t>
  </si>
  <si>
    <t>s2320104</t>
  </si>
  <si>
    <t>Aluminum Gravel Pusher Blade</t>
  </si>
  <si>
    <t>s440026</t>
  </si>
  <si>
    <t>6'' x 100'   pressure sensitive flashing</t>
  </si>
  <si>
    <t>s3510031</t>
  </si>
  <si>
    <t>PT Green 6x6x8</t>
  </si>
  <si>
    <t>s2600072</t>
  </si>
  <si>
    <t>MEF-4A Vent Flashing-Alum 5in</t>
  </si>
  <si>
    <t>s2310030</t>
  </si>
  <si>
    <t>ADCO Battery</t>
  </si>
  <si>
    <t>s2310031</t>
  </si>
  <si>
    <t>ADCO Battery Charger</t>
  </si>
  <si>
    <t>s2860017</t>
  </si>
  <si>
    <t>24" Extension ZTR 14"</t>
  </si>
  <si>
    <t>s2860018</t>
  </si>
  <si>
    <t>24" Extension ZTR 22"</t>
  </si>
  <si>
    <t>s2860032</t>
  </si>
  <si>
    <t>ZTF 12' 022</t>
  </si>
  <si>
    <t>s750004</t>
  </si>
  <si>
    <t>Beaumont Shake Woodlands Brown</t>
  </si>
  <si>
    <t>G.E.M. Inc</t>
  </si>
  <si>
    <t>s2310029</t>
  </si>
  <si>
    <t>Hammer SDS Plus 1" 8 Amps</t>
  </si>
  <si>
    <t>s340052</t>
  </si>
  <si>
    <t>Sopralene Flam Stick winter</t>
  </si>
  <si>
    <t>s2330129</t>
  </si>
  <si>
    <t>Outside Corner Bead</t>
  </si>
  <si>
    <t>Cote, Roger</t>
  </si>
  <si>
    <t>s2860014</t>
  </si>
  <si>
    <t>22" Tunnel Kit</t>
  </si>
  <si>
    <t>s4510021</t>
  </si>
  <si>
    <t>Galvanized 22GA</t>
  </si>
  <si>
    <t>s3510012</t>
  </si>
  <si>
    <t>SPF Common 2x2x8</t>
  </si>
  <si>
    <t>s2330126</t>
  </si>
  <si>
    <t>Sandscreen Drywall</t>
  </si>
  <si>
    <t>s2810076</t>
  </si>
  <si>
    <t>Soffit Screw 1.5"</t>
  </si>
  <si>
    <t>s2830017</t>
  </si>
  <si>
    <t>JT Compound Dust Away</t>
  </si>
  <si>
    <t>s2320153</t>
  </si>
  <si>
    <t>Cord Ext 100' 12/3 Triple</t>
  </si>
  <si>
    <t>s2330124</t>
  </si>
  <si>
    <t>Striker Modi</t>
  </si>
  <si>
    <t>s760006</t>
  </si>
  <si>
    <t>Innovative Fast Dry Spray Primer 510g</t>
  </si>
  <si>
    <t>s4510014</t>
  </si>
  <si>
    <t>Prepaint 26GA  Surf White assorted</t>
  </si>
  <si>
    <t>s2310027</t>
  </si>
  <si>
    <t>Power Supply ZZZ 233</t>
  </si>
  <si>
    <t>s2320100</t>
  </si>
  <si>
    <t>Painter's Tool Ergo-Grip</t>
  </si>
  <si>
    <t>s2330127</t>
  </si>
  <si>
    <t>ABS HXH Coupling</t>
  </si>
  <si>
    <t>s140007</t>
  </si>
  <si>
    <t>TP-180 Cap 8m Brown  4.0mm</t>
  </si>
  <si>
    <t>s2840030</t>
  </si>
  <si>
    <t>Suspended Ceiling Comp TTC 22"</t>
  </si>
  <si>
    <t>s2840031</t>
  </si>
  <si>
    <t>Hard Ceiling Comp THC 22"</t>
  </si>
  <si>
    <t>s2860013</t>
  </si>
  <si>
    <t>14" Tunnel Kit</t>
  </si>
  <si>
    <t>s2860015</t>
  </si>
  <si>
    <t>12" Elbows ZTE 14"</t>
  </si>
  <si>
    <t>s2860016</t>
  </si>
  <si>
    <t>16" Elbows ZTE 22"</t>
  </si>
  <si>
    <t>s2860019</t>
  </si>
  <si>
    <t>Exterior Fire Band ZZZ 192 22"</t>
  </si>
  <si>
    <t>s2860020</t>
  </si>
  <si>
    <t>Thermal Break ZTC 14"</t>
  </si>
  <si>
    <t>s2860021</t>
  </si>
  <si>
    <t>Thermal Break ZTC 22"</t>
  </si>
  <si>
    <t>s2860022</t>
  </si>
  <si>
    <t>Maximum Security Kit ZTQ 14"</t>
  </si>
  <si>
    <t>s2860023</t>
  </si>
  <si>
    <t>Maximum Security Kit ZTQ 22"</t>
  </si>
  <si>
    <t>s2860024</t>
  </si>
  <si>
    <t>Turret Extender ZTA 14"</t>
  </si>
  <si>
    <t>s2860025</t>
  </si>
  <si>
    <t>Turret Extender ZTA 22"</t>
  </si>
  <si>
    <t>s2860026</t>
  </si>
  <si>
    <t>Rotating Coupler ZTZ 211 14"</t>
  </si>
  <si>
    <t>s2860027</t>
  </si>
  <si>
    <t>Rotating Coupler ZTZ 211 22"</t>
  </si>
  <si>
    <t>s2860029</t>
  </si>
  <si>
    <t>Daylight Controller ZTP 14"</t>
  </si>
  <si>
    <t>s2860030</t>
  </si>
  <si>
    <t>s2860031</t>
  </si>
  <si>
    <t>s710019</t>
  </si>
  <si>
    <t>Vapour Barrier ZTY 14"</t>
  </si>
  <si>
    <t>s710020</t>
  </si>
  <si>
    <t>Vapour Barrier ZTY 22"</t>
  </si>
  <si>
    <t>s2860011</t>
  </si>
  <si>
    <t>Columbia Skylite Dome VCM Triple Glaze 25.5x49.5</t>
  </si>
  <si>
    <t>s2860012</t>
  </si>
  <si>
    <t>Columbia Skylite Dome VCM Triple Glaze 49.5x49.5</t>
  </si>
  <si>
    <t>s2320062</t>
  </si>
  <si>
    <t>Grinder Wrench Universal</t>
  </si>
  <si>
    <t>s2320094</t>
  </si>
  <si>
    <t>Strap Ratch 1x10 1200LB</t>
  </si>
  <si>
    <t>s2330059</t>
  </si>
  <si>
    <t>Blade 4 1/2</t>
  </si>
  <si>
    <t>s240009</t>
  </si>
  <si>
    <t>Siplast Paradiene 20 HT TG (1sq)</t>
  </si>
  <si>
    <t>s2810087</t>
  </si>
  <si>
    <t>#8 - 1 3/4in 5000/box</t>
  </si>
  <si>
    <t>s140029</t>
  </si>
  <si>
    <t>MP-180 SS Base  2.2mm x 15M</t>
  </si>
  <si>
    <t>s2320042</t>
  </si>
  <si>
    <t>CHISEL LONG COLD W/GUARD 1''</t>
  </si>
  <si>
    <t>s2330121</t>
  </si>
  <si>
    <t>Tarp Mesh 8x12</t>
  </si>
  <si>
    <t>s2840028</t>
  </si>
  <si>
    <t>Base Steel 4x4</t>
  </si>
  <si>
    <t>s240019</t>
  </si>
  <si>
    <t>Siplast Paradiene 20 TS SA</t>
  </si>
  <si>
    <t>s2810081</t>
  </si>
  <si>
    <t>Coil Nails 1-3/4in</t>
  </si>
  <si>
    <t>s4520038</t>
  </si>
  <si>
    <t>Wall TM 30Ga 9"</t>
  </si>
  <si>
    <t>s240004</t>
  </si>
  <si>
    <t>Siplast Paradiene 20 HT TG F (1sq)</t>
  </si>
  <si>
    <t>s440032</t>
  </si>
  <si>
    <t>.060 mil Sure-weld TPO Membrane 10'</t>
  </si>
  <si>
    <t>SqFt</t>
  </si>
  <si>
    <t>s540066</t>
  </si>
  <si>
    <t>Firestone Premium Walkway Pad</t>
  </si>
  <si>
    <t>s2330119</t>
  </si>
  <si>
    <t>Super Sawzall BL 10T 12LG</t>
  </si>
  <si>
    <t>s2320095</t>
  </si>
  <si>
    <t>Strap Retract 1x10 1200 LB</t>
  </si>
  <si>
    <t>s2330117</t>
  </si>
  <si>
    <t>Cax Sawzall Blade 12"</t>
  </si>
  <si>
    <t>s2330118</t>
  </si>
  <si>
    <t>Super Sawzall Bl 14T 12LG T</t>
  </si>
  <si>
    <t>s140036</t>
  </si>
  <si>
    <t>Torchflex HD-FF Base  3.0mm x 10M</t>
  </si>
  <si>
    <t>s720013</t>
  </si>
  <si>
    <t>Safe N Sound Wood</t>
  </si>
  <si>
    <t>s2840024</t>
  </si>
  <si>
    <t>Mortar Pro Monotop 623</t>
  </si>
  <si>
    <t>s2600066</t>
  </si>
  <si>
    <t>19'' Collar</t>
  </si>
  <si>
    <t>s2600059</t>
  </si>
  <si>
    <t>17'' Collar</t>
  </si>
  <si>
    <t>s2600057</t>
  </si>
  <si>
    <t>s160002</t>
  </si>
  <si>
    <t>Easy Melt 200-IKO</t>
  </si>
  <si>
    <t>Puck</t>
  </si>
  <si>
    <t>s2330110</t>
  </si>
  <si>
    <t>Roller Double Fork 2''</t>
  </si>
  <si>
    <t>s440056</t>
  </si>
  <si>
    <t>MP-180 Frostne 3.5 1x10 Damaged</t>
  </si>
  <si>
    <t>s2700078</t>
  </si>
  <si>
    <t>RD-24 Vandalproof Roof Drain Alum 7.75''</t>
  </si>
  <si>
    <t>s4510029</t>
  </si>
  <si>
    <t>Prepaint 26Ga Surf White 5x4</t>
  </si>
  <si>
    <t>s4520034</t>
  </si>
  <si>
    <t>WF-ALLCLAD PANEL 24GA Tan</t>
  </si>
  <si>
    <t>s2310010</t>
  </si>
  <si>
    <t>Reciprocal Saw 12A</t>
  </si>
  <si>
    <t>s2860003</t>
  </si>
  <si>
    <t>Tall Turret Extender 36''</t>
  </si>
  <si>
    <t>s2860004</t>
  </si>
  <si>
    <t>Standard Kit</t>
  </si>
  <si>
    <t>s2860006</t>
  </si>
  <si>
    <t>Suspension Wire Kit</t>
  </si>
  <si>
    <t>s2860007</t>
  </si>
  <si>
    <t>Commercial Thermal Break</t>
  </si>
  <si>
    <t>s2860008</t>
  </si>
  <si>
    <t>Suspended Ceiling Assembly</t>
  </si>
  <si>
    <t>s4510026</t>
  </si>
  <si>
    <t>26GA Metal Sheets Int Orange 4x10</t>
  </si>
  <si>
    <t>s4510027</t>
  </si>
  <si>
    <t>Prepaint 26Ga Surf White 36.25x5</t>
  </si>
  <si>
    <t>s4510028</t>
  </si>
  <si>
    <t>Prepaint 26Ga Surf White 35.75x5</t>
  </si>
  <si>
    <t>s140049</t>
  </si>
  <si>
    <t>Roof-Fast Fiberglass</t>
  </si>
  <si>
    <t>s2330109</t>
  </si>
  <si>
    <t>Blade Recip 6 6/12 TPI Wood</t>
  </si>
  <si>
    <t>s720011</t>
  </si>
  <si>
    <t>Roofmate 1.5x2x8</t>
  </si>
  <si>
    <t>s2320083</t>
  </si>
  <si>
    <t>Shovel Snow 26''</t>
  </si>
  <si>
    <t>s750005</t>
  </si>
  <si>
    <t>Beaumont Shake Starter Strip</t>
  </si>
  <si>
    <t>s160010</t>
  </si>
  <si>
    <t>IKO Cold Gold Flashing Adhesive</t>
  </si>
  <si>
    <t>s2330105</t>
  </si>
  <si>
    <t>Antifreeze Celsius Extended</t>
  </si>
  <si>
    <t>Automotive Village Forest Lawn</t>
  </si>
  <si>
    <t>s2330107</t>
  </si>
  <si>
    <t>Wiper Blade</t>
  </si>
  <si>
    <t>s140042</t>
  </si>
  <si>
    <t>Roof-Fast 95 Base</t>
  </si>
  <si>
    <t>s2210031</t>
  </si>
  <si>
    <t>Glasses I/O Virtua CCS</t>
  </si>
  <si>
    <t>s240002</t>
  </si>
  <si>
    <t>Siplast Paracoat White 90210 (20kg)</t>
  </si>
  <si>
    <t>s4510009</t>
  </si>
  <si>
    <t>Prepaint 26Ga Safire Blue/Surf Wh</t>
  </si>
  <si>
    <t>s2810019</t>
  </si>
  <si>
    <t>#14-2.5'' Plated MG</t>
  </si>
  <si>
    <t>s2810020</t>
  </si>
  <si>
    <t>#14-3'' Plated MG</t>
  </si>
  <si>
    <t>s4520033</t>
  </si>
  <si>
    <t>WF-636 Roof Deck 18GA Galv</t>
  </si>
  <si>
    <t>s260003</t>
  </si>
  <si>
    <t>Siplast Pro Catalyst (10 bags / box)</t>
  </si>
  <si>
    <t>s2330104</t>
  </si>
  <si>
    <t>End Brush Wire 1'' Crimped</t>
  </si>
  <si>
    <t>s2400008</t>
  </si>
  <si>
    <t>Ultimate Protectant Spray</t>
  </si>
  <si>
    <t>Paul Abreu</t>
  </si>
  <si>
    <t>s720009</t>
  </si>
  <si>
    <t>Cladmate Insulation 1x2x8</t>
  </si>
  <si>
    <t>s2320077</t>
  </si>
  <si>
    <t>Jack Floor 3 tons</t>
  </si>
  <si>
    <t>s2330096</t>
  </si>
  <si>
    <t>Drill B. Concrete SDS</t>
  </si>
  <si>
    <t>s360017</t>
  </si>
  <si>
    <t>MODIFIED PITCH PAN FILLER 10L</t>
  </si>
  <si>
    <t>s730003</t>
  </si>
  <si>
    <t>Bildrite 1/2 2x4 RoofRite</t>
  </si>
  <si>
    <t>s2210004</t>
  </si>
  <si>
    <t>Degil Roof Bracket Flat Reusable with D</t>
  </si>
  <si>
    <t>s2600034</t>
  </si>
  <si>
    <t>Gum Cup 26GA Custom</t>
  </si>
  <si>
    <t>s2810014</t>
  </si>
  <si>
    <t>Fasteners Special Order</t>
  </si>
  <si>
    <t>s2700007</t>
  </si>
  <si>
    <t>Drain Line PVC 4''x10'</t>
  </si>
  <si>
    <t>s340055</t>
  </si>
  <si>
    <t>0.1 KG Catalyst 34% LO Odor</t>
  </si>
  <si>
    <t>s2600027</t>
  </si>
  <si>
    <t>17'' Cone &amp; Collar</t>
  </si>
  <si>
    <t>s260010</t>
  </si>
  <si>
    <t>Siplast Pro Primer R 10 kg</t>
  </si>
  <si>
    <t>s2810142</t>
  </si>
  <si>
    <t>Fasteners #14x2 Surf White</t>
  </si>
  <si>
    <t>s4510013</t>
  </si>
  <si>
    <t>Prepaint 26GA Surf White 30.5x5</t>
  </si>
  <si>
    <t>s4510015</t>
  </si>
  <si>
    <t>Prepaint 26GA Surf White 32.5x5</t>
  </si>
  <si>
    <t>s4510016</t>
  </si>
  <si>
    <t>Prepaint 26GA Surf White 32.75x5</t>
  </si>
  <si>
    <t>s4510017</t>
  </si>
  <si>
    <t>Prepaint 26GA Surf White 30.75x5</t>
  </si>
  <si>
    <t>s4510018</t>
  </si>
  <si>
    <t>Prepaint 26GA Surf White 26.5x5</t>
  </si>
  <si>
    <t>s4510019</t>
  </si>
  <si>
    <t>Prepaint 26GA Surf White 25.75x5</t>
  </si>
  <si>
    <t>s4510020</t>
  </si>
  <si>
    <t>Prepaint 26GA Surf White 28.5x5</t>
  </si>
  <si>
    <t>s140009</t>
  </si>
  <si>
    <t>TP-180 Cap 8m Charcoal Grey  4.0mm</t>
  </si>
  <si>
    <t>s2840003</t>
  </si>
  <si>
    <t>Granules - Pail Charcoal Grey 15 kg IKO</t>
  </si>
  <si>
    <t>s2840021</t>
  </si>
  <si>
    <t>Smart Panel II 4x8</t>
  </si>
  <si>
    <t>s2810066</t>
  </si>
  <si>
    <t>Finishing Nails</t>
  </si>
  <si>
    <t>s2840020</t>
  </si>
  <si>
    <t>s2320159</t>
  </si>
  <si>
    <t>Angle Meter Dual Scale</t>
  </si>
  <si>
    <t>s2210024</t>
  </si>
  <si>
    <t>Sling Cable 4Ft w/ O-Ring and Locking Snap Hook</t>
  </si>
  <si>
    <t>s2320157</t>
  </si>
  <si>
    <t>21'' Multitask Ladder</t>
  </si>
  <si>
    <t>s2210008</t>
  </si>
  <si>
    <t>Watson Flextime Glove</t>
  </si>
  <si>
    <t>s440002</t>
  </si>
  <si>
    <t>Carlisle Sure-Seal  45 mil non-reinforced EPDM 20'</t>
  </si>
  <si>
    <t>s440003</t>
  </si>
  <si>
    <t>Carlisle Sure-Seal  45 mil non-reinforced EPDM 30'</t>
  </si>
  <si>
    <t>s2320154</t>
  </si>
  <si>
    <t>Connect Kit for Propane</t>
  </si>
  <si>
    <t>s2330021</t>
  </si>
  <si>
    <t>Steel Padlock</t>
  </si>
  <si>
    <t>s2700019</t>
  </si>
  <si>
    <t>s2320151</t>
  </si>
  <si>
    <t>8PC Ice Hardened Hole Saw Kit</t>
  </si>
  <si>
    <t>s2320152</t>
  </si>
  <si>
    <t>1A-7/8 Ice Hardened Hole Saw</t>
  </si>
  <si>
    <t>s2330036</t>
  </si>
  <si>
    <t>HOSE CLAMP 2 9/16X3X3 1/2''</t>
  </si>
  <si>
    <t>s3510016</t>
  </si>
  <si>
    <t>3/4 Chamfer Strip</t>
  </si>
  <si>
    <t>s2320150</t>
  </si>
  <si>
    <t>Lifting Mechanism</t>
  </si>
  <si>
    <t>s2320071</t>
  </si>
  <si>
    <t>Folding Chair</t>
  </si>
  <si>
    <t>s2600006</t>
  </si>
  <si>
    <t>Lomanco LOR30 Omni LPRO</t>
  </si>
  <si>
    <t>s4520010</t>
  </si>
  <si>
    <t>Valley Flash 24in x 10ft Black 26ga</t>
  </si>
  <si>
    <t>s2310016</t>
  </si>
  <si>
    <t>Drum Fan</t>
  </si>
  <si>
    <t>s2310017</t>
  </si>
  <si>
    <t>AC/DC Inflator</t>
  </si>
  <si>
    <t>s2810126</t>
  </si>
  <si>
    <t>Anchor rod HAS-E 3/8x5-1/8</t>
  </si>
  <si>
    <t>s710015</t>
  </si>
  <si>
    <t>HDX HVY 500</t>
  </si>
  <si>
    <t>s2840019</t>
  </si>
  <si>
    <t>WF-636 SMALL TAB FOAM CLOSURE</t>
  </si>
  <si>
    <t>s2600017</t>
  </si>
  <si>
    <t>B-Vent 6'' Pitched 6.75'' Opening</t>
  </si>
  <si>
    <t>s4520032</t>
  </si>
  <si>
    <t>Drip Cap 2.5'' White 10 ft</t>
  </si>
  <si>
    <t>s4530002</t>
  </si>
  <si>
    <t>Longboard J Track 12 ft</t>
  </si>
  <si>
    <t>s120061</t>
  </si>
  <si>
    <t>Posi-Slope Special Order St Clement</t>
  </si>
  <si>
    <t>s2320065</t>
  </si>
  <si>
    <t>Shovel Roofers D-Top Serr</t>
  </si>
  <si>
    <t>s340008</t>
  </si>
  <si>
    <t>Sopralene 250 Gr</t>
  </si>
  <si>
    <t>s2320022</t>
  </si>
  <si>
    <t>50' propane hose</t>
  </si>
  <si>
    <t>s2330089</t>
  </si>
  <si>
    <t>Straight Valve 5/8x3/8</t>
  </si>
  <si>
    <t>s740011</t>
  </si>
  <si>
    <t>Liquid Membrane D. Green</t>
  </si>
  <si>
    <t>s2310014</t>
  </si>
  <si>
    <t>Cordless Vacuum M18</t>
  </si>
  <si>
    <t>s2320060</t>
  </si>
  <si>
    <t>Lopper Shear</t>
  </si>
  <si>
    <t>s720004</t>
  </si>
  <si>
    <t>HUNTER TAPER-X 0.5-1.5 4X4</t>
  </si>
  <si>
    <t>s720005</t>
  </si>
  <si>
    <t>HUNTER TAPER-Y 1.5-2.5 4X4</t>
  </si>
  <si>
    <t>s740007</t>
  </si>
  <si>
    <t>RC-2200 Seam compound trowel grade 5 gallon</t>
  </si>
  <si>
    <t>s2330079</t>
  </si>
  <si>
    <t>Mop 16 OZ Wide Band Wet</t>
  </si>
  <si>
    <t>s2700067</t>
  </si>
  <si>
    <t>T-12-SS BAllast Guard 10''</t>
  </si>
  <si>
    <t>s2700068</t>
  </si>
  <si>
    <t>T-5-SS Sediment Collar</t>
  </si>
  <si>
    <t>s4520031</t>
  </si>
  <si>
    <t>#6 EPDM 5''-9'' Square</t>
  </si>
  <si>
    <t>s2330067</t>
  </si>
  <si>
    <t>Varat. Stain</t>
  </si>
  <si>
    <t>s2600019</t>
  </si>
  <si>
    <t>AT1-1224-S</t>
  </si>
  <si>
    <t>s2220010</t>
  </si>
  <si>
    <t>Tag Danger Do Not Operate</t>
  </si>
  <si>
    <t>s2220011</t>
  </si>
  <si>
    <t>Label No Smoking</t>
  </si>
  <si>
    <t>s2220012</t>
  </si>
  <si>
    <t>Decal Hard Hat First Aid Trained</t>
  </si>
  <si>
    <t>s2320064</t>
  </si>
  <si>
    <t>Saw Jig 11/16 Stroke</t>
  </si>
  <si>
    <t>s2330074</t>
  </si>
  <si>
    <t>Blade Jig 3-24T Metal</t>
  </si>
  <si>
    <t>s2330075</t>
  </si>
  <si>
    <t>Blade Jig 4-10T Wood</t>
  </si>
  <si>
    <t>s2330077</t>
  </si>
  <si>
    <t>Blade Jig 4 5/8 8T Tape</t>
  </si>
  <si>
    <t>s2810135</t>
  </si>
  <si>
    <t>U-Bolt ZP5/16x411/16x1.5</t>
  </si>
  <si>
    <t>s2330071</t>
  </si>
  <si>
    <t>Blade Saw Metal 10-100T Non-Ferrous 5/8 Arbor</t>
  </si>
  <si>
    <t>s4510002</t>
  </si>
  <si>
    <t>FLAT LEAD SHEET 30'' X 30''</t>
  </si>
  <si>
    <t>s2700057</t>
  </si>
  <si>
    <t>Steel Sump Receiver 24x24</t>
  </si>
  <si>
    <t>s2320038</t>
  </si>
  <si>
    <t>Roof Containment Netting 50x60</t>
  </si>
  <si>
    <t>Airdrie Canvas Inc</t>
  </si>
  <si>
    <t>s2330056</t>
  </si>
  <si>
    <t>Bits Scr Set for Wood</t>
  </si>
  <si>
    <t>s2330057</t>
  </si>
  <si>
    <t>Extractor Screw Spiral</t>
  </si>
  <si>
    <t>s740010</t>
  </si>
  <si>
    <t>18'' Butyl</t>
  </si>
  <si>
    <t>s2330061</t>
  </si>
  <si>
    <t>Chalk 4lb Bottle</t>
  </si>
  <si>
    <t>s2310011</t>
  </si>
  <si>
    <t>Jack Hi-Lift 48''</t>
  </si>
  <si>
    <t>s2320058</t>
  </si>
  <si>
    <t>Box Jobsite 36x17x21</t>
  </si>
  <si>
    <t>s2700052</t>
  </si>
  <si>
    <t>Endcaps</t>
  </si>
  <si>
    <t>Big 5 Exteriors</t>
  </si>
  <si>
    <t>s2310008</t>
  </si>
  <si>
    <t>Lite Lift Wheel</t>
  </si>
  <si>
    <t>s2320048</t>
  </si>
  <si>
    <t>Vapour Hose 1/4 25</t>
  </si>
  <si>
    <t>s2320049</t>
  </si>
  <si>
    <t>vapour Hose 1/4x50</t>
  </si>
  <si>
    <t>s2330045</t>
  </si>
  <si>
    <t>Opener Can Paint</t>
  </si>
  <si>
    <t>s2330048</t>
  </si>
  <si>
    <t>Thin Wall Tubing 2x20</t>
  </si>
  <si>
    <t>s2700058</t>
  </si>
  <si>
    <t>T-5 Sediment Collar</t>
  </si>
  <si>
    <t>s2700059</t>
  </si>
  <si>
    <t>T-12 Ballast Guard 12''</t>
  </si>
  <si>
    <t>s2320050</t>
  </si>
  <si>
    <t>s2320051</t>
  </si>
  <si>
    <t>Seam Roller Ergonomic</t>
  </si>
  <si>
    <t>s560005</t>
  </si>
  <si>
    <t>Firestone Lap Sealant-HS Quart Tube</t>
  </si>
  <si>
    <t>s2320045</t>
  </si>
  <si>
    <t>PLUG ROUND/CLAMP</t>
  </si>
  <si>
    <t>s2320044</t>
  </si>
  <si>
    <t>Bulldog Short D-Handle Serrated Shovel</t>
  </si>
  <si>
    <t>s2330033</t>
  </si>
  <si>
    <t>Bell Head Drilled</t>
  </si>
  <si>
    <t>s520008</t>
  </si>
  <si>
    <t>Firestone Polyiso 1.5in x 4ft x 4ft</t>
  </si>
  <si>
    <t>s2310006</t>
  </si>
  <si>
    <t>Drywall screwgun VSR 6.5AM</t>
  </si>
  <si>
    <t>s2330035</t>
  </si>
  <si>
    <t>Wasp and Hornet Repellant</t>
  </si>
  <si>
    <t>s310014</t>
  </si>
  <si>
    <t>Sopravap'R</t>
  </si>
  <si>
    <t>s2210011</t>
  </si>
  <si>
    <t>Suspension Trauma Straps</t>
  </si>
  <si>
    <t>s2210014</t>
  </si>
  <si>
    <t>Headgear Heavy Duty</t>
  </si>
  <si>
    <t>s2320040</t>
  </si>
  <si>
    <t>Black cartridge HIT-CB 500</t>
  </si>
  <si>
    <t>s2320041</t>
  </si>
  <si>
    <t>Bolt Cutter 30'' Standard</t>
  </si>
  <si>
    <t>s2320055</t>
  </si>
  <si>
    <t>Caster 5 x 1 1/2</t>
  </si>
  <si>
    <t>s2810120</t>
  </si>
  <si>
    <t>Frame Nail 28D 2 3/8</t>
  </si>
  <si>
    <t>s2310009</t>
  </si>
  <si>
    <t>Framing Stick Nailer</t>
  </si>
  <si>
    <t>s2320053</t>
  </si>
  <si>
    <t>Air Fittings Kit</t>
  </si>
  <si>
    <t>s2320054</t>
  </si>
  <si>
    <t>Box Jobsite 60x24x28</t>
  </si>
  <si>
    <t>s2700050</t>
  </si>
  <si>
    <t>Hot Rolled Flat Bar 0.125x1.5</t>
  </si>
  <si>
    <t>s4510008</t>
  </si>
  <si>
    <t>22Ga Black 1'' Rib x21.25''</t>
  </si>
  <si>
    <t>s2330032</t>
  </si>
  <si>
    <t>Bit Stub #30</t>
  </si>
  <si>
    <t>s2810123</t>
  </si>
  <si>
    <t>Rivet 1/8-1/4</t>
  </si>
  <si>
    <t>s2310007</t>
  </si>
  <si>
    <t>Metal Chop Saw 14''</t>
  </si>
  <si>
    <t>s2330026</t>
  </si>
  <si>
    <t>9'' 8TPI SUPER SAWZALL BLADES</t>
  </si>
  <si>
    <t>s2810117</t>
  </si>
  <si>
    <t>ARDOX NAIL SPIRAL 2 1/2''</t>
  </si>
  <si>
    <t>s2810119</t>
  </si>
  <si>
    <t>TEK 12-112 HWH Traxx #2</t>
  </si>
  <si>
    <t>s2310005</t>
  </si>
  <si>
    <t>s2700009</t>
  </si>
  <si>
    <t>PVC 90DG Elbow BDS Short 4'' F</t>
  </si>
  <si>
    <t>s2810090</t>
  </si>
  <si>
    <t>#8 1.5''</t>
  </si>
  <si>
    <t>s540005</t>
  </si>
  <si>
    <t>Firestone EPDM FormFlash .060 12inx100ft</t>
  </si>
  <si>
    <t>s2330019</t>
  </si>
  <si>
    <t>Bolt Ring 6''</t>
  </si>
  <si>
    <t>s2320033</t>
  </si>
  <si>
    <t>Sledge Hammer 8 lbs</t>
  </si>
  <si>
    <t>s2820001</t>
  </si>
  <si>
    <t>Sopragarde Tape Cut 5</t>
  </si>
  <si>
    <t>125</t>
  </si>
  <si>
    <t>s2330016</t>
  </si>
  <si>
    <t>9 1/2'' Roller Sleeve Refill</t>
  </si>
  <si>
    <t>s2810113</t>
  </si>
  <si>
    <t>Roof Clip 3/8'' Galv Steel</t>
  </si>
  <si>
    <t>s2860001</t>
  </si>
  <si>
    <t>Lasko Fiberglass Panel</t>
  </si>
  <si>
    <t>s140043</t>
  </si>
  <si>
    <t>Roof-Fast Base MA</t>
  </si>
  <si>
    <t>s2220005</t>
  </si>
  <si>
    <t>Aluminum Ladder Stand Off</t>
  </si>
  <si>
    <t>s710009</t>
  </si>
  <si>
    <t>Malarkey SecureStart Synthetic Underlay</t>
  </si>
  <si>
    <t>s2330011</t>
  </si>
  <si>
    <t>Prime Air Tool Oil 1 Litre</t>
  </si>
  <si>
    <t>litre</t>
  </si>
  <si>
    <t>s2600003</t>
  </si>
  <si>
    <t>Closed Gum Cup 6x6</t>
  </si>
  <si>
    <t>s660003</t>
  </si>
  <si>
    <t>Onestep Clean &amp; Prime</t>
  </si>
  <si>
    <t>s160009</t>
  </si>
  <si>
    <t>IKO Cold Gold Adhesive</t>
  </si>
  <si>
    <t>s2320028</t>
  </si>
  <si>
    <t>Lawn Rake 24 Steel Tine</t>
  </si>
  <si>
    <t>s2600001</t>
  </si>
  <si>
    <t>Flexi Flash 4'' 20x20 Apron</t>
  </si>
  <si>
    <t>s2810112</t>
  </si>
  <si>
    <t>Drywall Screws #6 1 1/4</t>
  </si>
  <si>
    <t>s2810115</t>
  </si>
  <si>
    <t>Nail Strip 34D</t>
  </si>
  <si>
    <t>s710010</t>
  </si>
  <si>
    <t>Malarkey Arctic Seal</t>
  </si>
  <si>
    <t>s750001</t>
  </si>
  <si>
    <t>Smart Start</t>
  </si>
  <si>
    <t>s2320025</t>
  </si>
  <si>
    <t>Gang Slitter Blades</t>
  </si>
  <si>
    <t>s2310003</t>
  </si>
  <si>
    <t>Lith. Battery 18V</t>
  </si>
  <si>
    <t>s2600052</t>
  </si>
  <si>
    <t>Duraflo 50 Roof Vent Brown</t>
  </si>
  <si>
    <t>t004154U503</t>
  </si>
  <si>
    <t>BURMESH 4" X 300'</t>
  </si>
  <si>
    <t>Tremco 2022</t>
  </si>
  <si>
    <t>t005XK05503</t>
  </si>
  <si>
    <t>POLYTAPE 4" x 50' ROLL</t>
  </si>
  <si>
    <t>t005XK06503</t>
  </si>
  <si>
    <t>POLYFOIL  4" X 50' ROLL</t>
  </si>
  <si>
    <t>t008241UW805</t>
  </si>
  <si>
    <t>POWERPLY GRANULES ULTRA-WHITE 50 LB</t>
  </si>
  <si>
    <t>t008241W805</t>
  </si>
  <si>
    <t>POWERPLY GRANULES WHITE 50 LB</t>
  </si>
  <si>
    <t>t009PTWP501</t>
  </si>
  <si>
    <t>PEBBLE TREAD WALKPAD 3' X 4' X 3/4"</t>
  </si>
  <si>
    <t>t014118 503M</t>
  </si>
  <si>
    <t>THERMGLASS TYPE IV</t>
  </si>
  <si>
    <t>t014120 503M</t>
  </si>
  <si>
    <t>t036250FR601M</t>
  </si>
  <si>
    <t>POWERPLY 250 FR</t>
  </si>
  <si>
    <t>t036250SM601M</t>
  </si>
  <si>
    <t>POWERPLY 250 SMOOTH</t>
  </si>
  <si>
    <t>t0362PM601</t>
  </si>
  <si>
    <t>POWERPLY 2PM</t>
  </si>
  <si>
    <t>t036300FR601A</t>
  </si>
  <si>
    <t>POWERPLY 300 FR - WHITE GRANULE</t>
  </si>
  <si>
    <t>t036300FSM601A</t>
  </si>
  <si>
    <t>POWERPLY 300 SMOOTH</t>
  </si>
  <si>
    <t>t036AVCMAX601M</t>
  </si>
  <si>
    <t>TREMCO AVC MAX 39-3/8” x 105’</t>
  </si>
  <si>
    <t>t036BASHW 601</t>
  </si>
  <si>
    <t>POWERPLY SBS BASE HW</t>
  </si>
  <si>
    <t>t036BSTDFR601</t>
  </si>
  <si>
    <t>POWERPLY STANDARD FR - BLACK GRANULE</t>
  </si>
  <si>
    <t>t036DXHW 601</t>
  </si>
  <si>
    <t>POWERPLY SBS DELUXE HW</t>
  </si>
  <si>
    <t>t036E100FR601</t>
  </si>
  <si>
    <t>POWERply ENDURE 100 FR</t>
  </si>
  <si>
    <t>t036E100SM601</t>
  </si>
  <si>
    <t>POWERply ENDURE 100 SMOOTH</t>
  </si>
  <si>
    <t>t036E200FR601</t>
  </si>
  <si>
    <t>POWERply ENDURE 200 FR</t>
  </si>
  <si>
    <t>t036E200SM601</t>
  </si>
  <si>
    <t>POWERply ENDURE 200 SMOOTH</t>
  </si>
  <si>
    <t>t036E300FR601</t>
  </si>
  <si>
    <t>POWERply ENDURE 300 FR</t>
  </si>
  <si>
    <t>t036E300SM601</t>
  </si>
  <si>
    <t>POWERply ENDURE 300 SMOOTH</t>
  </si>
  <si>
    <t>t036E320FR601</t>
  </si>
  <si>
    <t>POWERply ENDURE 320 FR</t>
  </si>
  <si>
    <t>t036E320SM601</t>
  </si>
  <si>
    <t>POWERply ENDURE 320 SMOOTH</t>
  </si>
  <si>
    <t>t036HDSM601A</t>
  </si>
  <si>
    <t>POWERPLY HEAVY DUTY BASE</t>
  </si>
  <si>
    <t>t036PLHTFR601A</t>
  </si>
  <si>
    <t>POWERPLY PLUS HT FR - WHITE GRANULE</t>
  </si>
  <si>
    <t>t036PRFR601A</t>
  </si>
  <si>
    <t>POWERPLY PREMIUM FR - WHITE GRANULE</t>
  </si>
  <si>
    <t>t036PRSM601A</t>
  </si>
  <si>
    <t>POWERPLY PREMIUM SMOOTH</t>
  </si>
  <si>
    <t>t036STD601</t>
  </si>
  <si>
    <t>POWERPLY STANDARD - WHITE GRANULE</t>
  </si>
  <si>
    <t>t036STDFR601</t>
  </si>
  <si>
    <t>POWERPLY STANDARD FR - WHITE GRANULE</t>
  </si>
  <si>
    <t>t036STDFRHW601M</t>
  </si>
  <si>
    <t>POWERPLY STANDARD FR HW</t>
  </si>
  <si>
    <t>t036STDGT24601M</t>
  </si>
  <si>
    <t>POWERPLY STANDARD FR GT24W</t>
  </si>
  <si>
    <t>t036STDGT24HW60</t>
  </si>
  <si>
    <t>POWERPLY STANDARD FR GT24 HW</t>
  </si>
  <si>
    <t>t036STSM601</t>
  </si>
  <si>
    <t>POWERPLY STANDARD SMOOTH</t>
  </si>
  <si>
    <t>t036STSMHW601M</t>
  </si>
  <si>
    <t>POWERPLY STANDARD SMOOTH HW</t>
  </si>
  <si>
    <t>t036TSTDFR601</t>
  </si>
  <si>
    <t>POWERPLY STANDARD FR - TAN GRANULE</t>
  </si>
  <si>
    <t>t0690553EU06</t>
  </si>
  <si>
    <t>EPDM FLASHING UNCURED TAPE 6"X100' 2/CS</t>
  </si>
  <si>
    <t>t0690553EU09</t>
  </si>
  <si>
    <t>EPDM FLASHING UNCURED TAPE 9"X50' 2/CS</t>
  </si>
  <si>
    <t>t0690553EU12</t>
  </si>
  <si>
    <t>EPDM FLASHING UNCURED TAPE 12"X50'</t>
  </si>
  <si>
    <t>t0690911EU06</t>
  </si>
  <si>
    <t>EPDM SEMI-CURED COVER TAPE 6"X100' 2/CS</t>
  </si>
  <si>
    <t>t0690911EU09</t>
  </si>
  <si>
    <t>EPDM SEMI-CURED COVER TAPE 9"X100'</t>
  </si>
  <si>
    <t>t0690911EU12</t>
  </si>
  <si>
    <t>EPDM SEMI-CURED COVER TAPE 12"X50'</t>
  </si>
  <si>
    <t>t10106503</t>
  </si>
  <si>
    <t>POLYTHERM FLASHING 6" X  318'</t>
  </si>
  <si>
    <t>t10113503</t>
  </si>
  <si>
    <t>POLYTHERM FLASHING 13" X 318'</t>
  </si>
  <si>
    <t>t10120503</t>
  </si>
  <si>
    <t>POLYTHERM FLASHING  20" X 318'</t>
  </si>
  <si>
    <t>t108165601</t>
  </si>
  <si>
    <t>BURMASTIC COMPOSITE PLY PREMIUM</t>
  </si>
  <si>
    <t>t108800601</t>
  </si>
  <si>
    <t>t108850601</t>
  </si>
  <si>
    <t>BURMASTIC COMPOSITE PLY HT GREEN</t>
  </si>
  <si>
    <t>t110001C</t>
  </si>
  <si>
    <t>SOLARGARD ACRYLIC SEALER 1 GL</t>
  </si>
  <si>
    <t>1 GL</t>
  </si>
  <si>
    <t>t110005P</t>
  </si>
  <si>
    <t>SOLARGARD ACRYLIC SEALER 5 GL</t>
  </si>
  <si>
    <t>5 GL</t>
  </si>
  <si>
    <t>t110705</t>
  </si>
  <si>
    <t>SKYLIGHT COATING CLEAR 5 GL</t>
  </si>
  <si>
    <t>t1110700001</t>
  </si>
  <si>
    <t>SOLARGARD MASONRY PRIMER WHITE 1 GL</t>
  </si>
  <si>
    <t>t1110700005</t>
  </si>
  <si>
    <t>SOLARGARD MASONRY PRIMER WHITE 5 GL</t>
  </si>
  <si>
    <t>t1120041705P</t>
  </si>
  <si>
    <t>SOLARGARD 6083 SCC DARK BRONZE 5 GL</t>
  </si>
  <si>
    <t>t1120041753D</t>
  </si>
  <si>
    <t>SOLARGARD 6083 SCC DARK BRONZE 53 GL</t>
  </si>
  <si>
    <t>53 GL Lined</t>
  </si>
  <si>
    <t>t1120042105P</t>
  </si>
  <si>
    <t>SOLARGARD 6083 SCC ADOBE ACCENT 5 GL</t>
  </si>
  <si>
    <t>t1120042153D</t>
  </si>
  <si>
    <t>SOLARGARD 6083 SCC ADOBE ACCENT 53 GL</t>
  </si>
  <si>
    <t>t1120042205P</t>
  </si>
  <si>
    <t>SOLARGARD 6083 SCC PEARL ASH 5 GL</t>
  </si>
  <si>
    <t>t1120042253D</t>
  </si>
  <si>
    <t>SOLARGARD 6083 SCC PEARL ASH 53 GL</t>
  </si>
  <si>
    <t>t1120042305P</t>
  </si>
  <si>
    <t>SOLARGARD 6083 SCC SURREY BEIGE 5 GL</t>
  </si>
  <si>
    <t>t1120042353D</t>
  </si>
  <si>
    <t>SOLARGARD 6083 SCC SURREY BEIGE 53 GL</t>
  </si>
  <si>
    <t>t1120042405P</t>
  </si>
  <si>
    <t>SOLARGARD 6083 SCC SOUTHERN TAN 5 GL</t>
  </si>
  <si>
    <t>t1120042453D</t>
  </si>
  <si>
    <t>SOLARGARD 6083 SCC SOUTHERN TAN 53 GL</t>
  </si>
  <si>
    <t>t1120042505P</t>
  </si>
  <si>
    <t>SOLARGARD 6083 SCC COLONIAL TAN 5 GL</t>
  </si>
  <si>
    <t>t1120042553D</t>
  </si>
  <si>
    <t>SOLARGARD 6083 SCC COLONIAL TAN 53 GL</t>
  </si>
  <si>
    <t>t1120042605P</t>
  </si>
  <si>
    <t>SOLARGARD 6083 SCC MEDIUM BRONZE 5 GL</t>
  </si>
  <si>
    <t>t1120042653D</t>
  </si>
  <si>
    <t>SOLARGARD 6083 SCC MEDIUM BRONZE 53 GL</t>
  </si>
  <si>
    <t>t1120042805P</t>
  </si>
  <si>
    <t>SOLARGARD 6083 SCC HONEY TWIST 5 GL</t>
  </si>
  <si>
    <t>t1120042853D</t>
  </si>
  <si>
    <t>SOLARGARD 6083 SCC HONEY TWIST 53 GL</t>
  </si>
  <si>
    <t>t1120113105P</t>
  </si>
  <si>
    <t>SOLARGARD 6083 SCC BEACH 5 GL</t>
  </si>
  <si>
    <t>t1120113153D</t>
  </si>
  <si>
    <t>SOLARGARD 6083 SCC BEACH 53 GL</t>
  </si>
  <si>
    <t>t1120113205P</t>
  </si>
  <si>
    <t>SOLARGARD 6083 SCC COLONIAL RED 5 GL</t>
  </si>
  <si>
    <t>t1120113253D</t>
  </si>
  <si>
    <t>SOLARGARD 6083 SCC COLONIAL RED 53 GL</t>
  </si>
  <si>
    <t>t1120307205P</t>
  </si>
  <si>
    <t>SOLARGARD 6083 SCC SANDLEWOOD BEIGE 5 GL</t>
  </si>
  <si>
    <t>t1120307253D</t>
  </si>
  <si>
    <t>SOLARGARD 6083 SCC SANDLEWOOD BEIGE 53 GL</t>
  </si>
  <si>
    <t>t1120309005P</t>
  </si>
  <si>
    <t>SOLARGARD 6083 SCC AMARILLO WHITE 5 GL</t>
  </si>
  <si>
    <t>t1120309053D</t>
  </si>
  <si>
    <t>SOLARGARD 6083 SCC AMARILLO WHITE 53 GL</t>
  </si>
  <si>
    <t>t1120309105P</t>
  </si>
  <si>
    <t>SOLARGARD 6083 SCC MANOR WHITE 5 GL</t>
  </si>
  <si>
    <t>t1120309153D</t>
  </si>
  <si>
    <t>SOLARGARD 6083 SCC MANOR WHITE 53 GL</t>
  </si>
  <si>
    <t>t1120309205P</t>
  </si>
  <si>
    <t>SOLARGARD 6083 SCC OYSTER SHELL 5 GL</t>
  </si>
  <si>
    <t>t1120309253D</t>
  </si>
  <si>
    <t>SOLARGARD 6083 SCC OYSTER SHELL 53 GL</t>
  </si>
  <si>
    <t>t1120309305P</t>
  </si>
  <si>
    <t>SOLARGARD 6083 SCC SUNSET YELLOW 5 GL</t>
  </si>
  <si>
    <t>t1120309353D</t>
  </si>
  <si>
    <t>SOLARGARD 6083 SCC SUNSET YELLOW 53 GL</t>
  </si>
  <si>
    <t>t1120309405P</t>
  </si>
  <si>
    <t>SOLARGARD 6083 SCC CANVAS 5 GL</t>
  </si>
  <si>
    <t>t1120309453D</t>
  </si>
  <si>
    <t>SOLARGARD 6083 SCC CANVAS 53 GL</t>
  </si>
  <si>
    <t>t1120415505P</t>
  </si>
  <si>
    <t>SOLARGARD 6083 SCC EVERGREEN 5 GL</t>
  </si>
  <si>
    <t>t1120415553D</t>
  </si>
  <si>
    <t>SOLARGARD 6083 SCC EVERGREEN 53 GL</t>
  </si>
  <si>
    <t>t1120415605P</t>
  </si>
  <si>
    <t>SOLARGARD 6083 SCC PATINA GREEN 5 GL</t>
  </si>
  <si>
    <t>t1120415653D</t>
  </si>
  <si>
    <t>SOLARGARD 6083 SCC PATINA GREEN 53 GL</t>
  </si>
  <si>
    <t>t1120415705P</t>
  </si>
  <si>
    <t>SOLARGARD 6083 SCC HARTFORD GREEN 5 GL</t>
  </si>
  <si>
    <t>t1120415753D</t>
  </si>
  <si>
    <t>SOLARGARD 6083 SCC HARTFORD GREEN 53 GL</t>
  </si>
  <si>
    <t>t1120509205P</t>
  </si>
  <si>
    <t>SOLARGARD 6083 SCC ROMAN BLUE 5 GL</t>
  </si>
  <si>
    <t>t1120509253D</t>
  </si>
  <si>
    <t>SOLARGARD 6083 SCC ROMAN BLUE 53 GL</t>
  </si>
  <si>
    <t>t1120509405P</t>
  </si>
  <si>
    <t>SOLARGARD 6083 SCC REGAL BLUE 5 GL</t>
  </si>
  <si>
    <t>t1120509453D</t>
  </si>
  <si>
    <t>SOLARGARD 6083 SCC REGAL BLUE 53 GL</t>
  </si>
  <si>
    <t>t1120614205P</t>
  </si>
  <si>
    <t>SOLARGARD 6083 SCC DRIFTWOOD 5 GL</t>
  </si>
  <si>
    <t>t1120614253D</t>
  </si>
  <si>
    <t>SOLARGARD 6083 SCC DRIFTWOOD 53 GL</t>
  </si>
  <si>
    <t>t1120614405P</t>
  </si>
  <si>
    <t>SOLARGARD 6083 SCC STONE GRAY 5 GL</t>
  </si>
  <si>
    <t>t1120614453D</t>
  </si>
  <si>
    <t>SOLARGARD 6083 SCC STONE GRAY 53 GL</t>
  </si>
  <si>
    <t>t1120615205P</t>
  </si>
  <si>
    <t>SOLARGARD 6083 SCC SMOKE SIGNAL 5 GL</t>
  </si>
  <si>
    <t>t1120615253D</t>
  </si>
  <si>
    <t>SOLARGARD 6083 SCC SMOKE SIGNAL 53 GL</t>
  </si>
  <si>
    <t>t1120615305P</t>
  </si>
  <si>
    <t>SOLARGARD 6083 SCC ASH GRAY 5 GL</t>
  </si>
  <si>
    <t>t1120615353D</t>
  </si>
  <si>
    <t>SOLARGARD 6083 SCC ASH GRAY 53 GL</t>
  </si>
  <si>
    <t>t1120615405P</t>
  </si>
  <si>
    <t>SOLARGARD 6083 SCC GULL GRAY 5 GL</t>
  </si>
  <si>
    <t>t1120615453D</t>
  </si>
  <si>
    <t>SOLARGARD 6083 SCC GULL GRAY 53 GL</t>
  </si>
  <si>
    <t>t1120700005P</t>
  </si>
  <si>
    <t>SOLARGARD 6083 FINISH COAT WHITE 5 GL</t>
  </si>
  <si>
    <t>t1120700053D</t>
  </si>
  <si>
    <t>SOLARGARD 6083 FINISH COAT WHITE 53 GL</t>
  </si>
  <si>
    <t>t1121700005P</t>
  </si>
  <si>
    <t>SOLARGARD 6083 BASE COAT 5 GL</t>
  </si>
  <si>
    <t>t1121700053D</t>
  </si>
  <si>
    <t>SOLARGARD 6083 BASE COAT 53 GL</t>
  </si>
  <si>
    <t>t1130K01C</t>
  </si>
  <si>
    <t>SOLARGARD FLUORO-PRIME 1 GL</t>
  </si>
  <si>
    <t>t1130K05P</t>
  </si>
  <si>
    <t>SOLARGARD FLUORO-PRIME 4 GL</t>
  </si>
  <si>
    <t>4 GL</t>
  </si>
  <si>
    <t>t1410041705P</t>
  </si>
  <si>
    <t>SG ACRYTHANE SCC DARK BRONZE 5 GL</t>
  </si>
  <si>
    <t>t1410042105P</t>
  </si>
  <si>
    <t>SG ACRYTHANE SCC ADOBE ACCENT 5 GL</t>
  </si>
  <si>
    <t>t1410042205P</t>
  </si>
  <si>
    <t>SG ACRYTHANE SCC PEARL ASH 5 GL</t>
  </si>
  <si>
    <t>t1410042305P</t>
  </si>
  <si>
    <t>SG ACRYTHANE SCC SURREY BEIGE 5 GL</t>
  </si>
  <si>
    <t>t1410042405P</t>
  </si>
  <si>
    <t>SG ACRYTHANE SCC SOUTHERN TAN 5 GL</t>
  </si>
  <si>
    <t>t1410042505P</t>
  </si>
  <si>
    <t>SG ACRYTHANE SCC COLONIAL TAN 5 GL</t>
  </si>
  <si>
    <t>t1410042605P</t>
  </si>
  <si>
    <t>SG ACRYTHANE SCC MEDIUM BRONZE 5 GL</t>
  </si>
  <si>
    <t>t1410042805P</t>
  </si>
  <si>
    <t>SG ACRYTHANE SCC HONEY TWIST 5 GL PL</t>
  </si>
  <si>
    <t>t1410113105P</t>
  </si>
  <si>
    <t>SG ACRYTHANE SCC BEACH 5 GL PL</t>
  </si>
  <si>
    <t>t1410113205P</t>
  </si>
  <si>
    <t>SG ACRYTHANE SCC COLONIAL RED 5 GL</t>
  </si>
  <si>
    <t>t1410307205P</t>
  </si>
  <si>
    <t>SG ACRYTHANE SCC SANDLEWOOD BEIGE 5 GL</t>
  </si>
  <si>
    <t>t1410309005P</t>
  </si>
  <si>
    <t>SG ACRYTHANE SCC AMARILLO WHITE 5 GL</t>
  </si>
  <si>
    <t>t1410309105P</t>
  </si>
  <si>
    <t>SG ACRYTHANE SCC MANOR WHITE 5 GL</t>
  </si>
  <si>
    <t>t1410309205P</t>
  </si>
  <si>
    <t>SG ACRYTHANE SCC OYSTER SHELL 5 GL</t>
  </si>
  <si>
    <t>t1410309305P</t>
  </si>
  <si>
    <t>SG ACRYTHANE SCC SUNSET YELLOW 5 GL</t>
  </si>
  <si>
    <t>t1410309405P</t>
  </si>
  <si>
    <t>SG ACRYTHANE SCC CANVAS 5 GL PL</t>
  </si>
  <si>
    <t>t1410415505P</t>
  </si>
  <si>
    <t>SG ACRYTHANE SCC EVERGREEN 5 GL</t>
  </si>
  <si>
    <t>t1410415605P</t>
  </si>
  <si>
    <t>SG ACRYTHANE SCC PATINA GREEN 5 GL</t>
  </si>
  <si>
    <t>t1410415705P</t>
  </si>
  <si>
    <t>SG ACRYTHANE SCC HARTFORD GREEN 5 GL</t>
  </si>
  <si>
    <t>t1410509205P</t>
  </si>
  <si>
    <t>SG ACRYTHANE SCC ROMAN BLUE 5 GL</t>
  </si>
  <si>
    <t>t1410509405P</t>
  </si>
  <si>
    <t>SG ACRYTHANE SCC REGL BLUE 5 GL</t>
  </si>
  <si>
    <t>t1410614205P</t>
  </si>
  <si>
    <t>SG ACRYTHANE SCC DRIFTWOOD 5 GL PL</t>
  </si>
  <si>
    <t>t1410614405P</t>
  </si>
  <si>
    <t>SG ACRYTHANE SCC STONE GRAY 5 GL</t>
  </si>
  <si>
    <t>t1410615205P</t>
  </si>
  <si>
    <t>SG ACRYTHANE SCC SMOKE SIGNAL 5 GL</t>
  </si>
  <si>
    <t>t1410615305P</t>
  </si>
  <si>
    <t>SG ACRYTHANE SCC ASH GRAY 5 GL</t>
  </si>
  <si>
    <t>t1410615405P</t>
  </si>
  <si>
    <t>SG ACRYTHANE SCC GULL GRAY 5GL PAIL</t>
  </si>
  <si>
    <t>t1410700001C</t>
  </si>
  <si>
    <t>SG ACRYTHANE WHITE 1 GL</t>
  </si>
  <si>
    <t>t1410700005P</t>
  </si>
  <si>
    <t>SG ACRYTHANE WHITE 5 GL</t>
  </si>
  <si>
    <t>t151102C</t>
  </si>
  <si>
    <t>SOLARGARD SEAM SEALER 2 GL</t>
  </si>
  <si>
    <t>2 GL</t>
  </si>
  <si>
    <t>t151105P</t>
  </si>
  <si>
    <t>SOLARGARD SEAM SEALER 5 GL</t>
  </si>
  <si>
    <t>t1511R333</t>
  </si>
  <si>
    <t>SOLARGARD SEAM SEALER 850mL TUBES 12/CS</t>
  </si>
  <si>
    <t>t1512041705P</t>
  </si>
  <si>
    <t>SOLARGARD H.B. SCC DARK BRONZE 5 GL</t>
  </si>
  <si>
    <t>t1512041753D</t>
  </si>
  <si>
    <t>SOLARGARD H.B. SCC DARK BRONZE 53 GL</t>
  </si>
  <si>
    <t>t1512042105P</t>
  </si>
  <si>
    <t>SOLARGARD H.B. SCC ADOBE ACCENT 5 GL</t>
  </si>
  <si>
    <t>t1512042153D</t>
  </si>
  <si>
    <t>SOLARGARD H.B. SCC ADOBE ACCENT 53 GL</t>
  </si>
  <si>
    <t>t1512042205P</t>
  </si>
  <si>
    <t>SOLARGARD H.B. SCC PEARL ASH 5 GL</t>
  </si>
  <si>
    <t>t1512042253D</t>
  </si>
  <si>
    <t>SOLARGARD H.B. SCC PEARL ASH 53 GL</t>
  </si>
  <si>
    <t>t1512042305P</t>
  </si>
  <si>
    <t>SOLARGARD H.B. SCC SURREY BEIGE 5 GL</t>
  </si>
  <si>
    <t>t1512042353D</t>
  </si>
  <si>
    <t>SOLARGARD H.B. SCC SURREY BEIGE 53 GL</t>
  </si>
  <si>
    <t>t1512042405P</t>
  </si>
  <si>
    <t>SOLARGARD H.B. SCC SOUTHERN TAN 5 GL</t>
  </si>
  <si>
    <t>t1512042453D</t>
  </si>
  <si>
    <t>SOLARGARD H.B. SCC SOUTHERN TAN 53 GL</t>
  </si>
  <si>
    <t>t1512042505P</t>
  </si>
  <si>
    <t>SOLARGARD H.B. SCC COLONIAL TAN 5 GL</t>
  </si>
  <si>
    <t>t1512042553D</t>
  </si>
  <si>
    <t>SOLARGARD H.B. SCC COLONIAL TAN 53 GL</t>
  </si>
  <si>
    <t>t1512042605P</t>
  </si>
  <si>
    <t>SOLARGARD H.B. SCC MEDIUM BRONZE 5 GL</t>
  </si>
  <si>
    <t>t1512042653D</t>
  </si>
  <si>
    <t>SOLARGARD H.B. SCC MEDIUM BRONZE 53 GL</t>
  </si>
  <si>
    <t>t1512042805P</t>
  </si>
  <si>
    <t>SOLARGARD H.B. SCC HONEY TWIST 5 GL</t>
  </si>
  <si>
    <t>t1512042853D</t>
  </si>
  <si>
    <t>SOLARGARD H.B. SCC HONEY TWIST 53 GL</t>
  </si>
  <si>
    <t>t1512113105P</t>
  </si>
  <si>
    <t>SOLARGARD H.B. SCC BEACH 5 GL</t>
  </si>
  <si>
    <t>t1512113153D</t>
  </si>
  <si>
    <t>SOLARGARD H.B. SCC BEACH 53 GL</t>
  </si>
  <si>
    <t>t1512113205P</t>
  </si>
  <si>
    <t>SOLARGARD H.B. SCC COLONIAL RED 5 GL</t>
  </si>
  <si>
    <t>t1512113253D</t>
  </si>
  <si>
    <t>SOLARGARD H.B. SCC COLONIAL RED 53 GL</t>
  </si>
  <si>
    <t>t1512307205P</t>
  </si>
  <si>
    <t>SOLARGARD H.B. SCC SANDLEWOOD BEIGE 5 GL</t>
  </si>
  <si>
    <t>t1512307253D</t>
  </si>
  <si>
    <t>SOLARGARD H.B. SCC SANDLEWOOD BEIGE 53 GL</t>
  </si>
  <si>
    <t>t1512309005P</t>
  </si>
  <si>
    <t>SOLARGARD H.B. SCC AMARILLO WHITE 5 GL</t>
  </si>
  <si>
    <t>t1512309053D</t>
  </si>
  <si>
    <t>SOLARGARD H.B. SCC AMARILLO WHITE 53 GL</t>
  </si>
  <si>
    <t>t1512309105P</t>
  </si>
  <si>
    <t>SOLARGARD H.B. SCC MANOR WHITE 5 GL</t>
  </si>
  <si>
    <t>t1512309153D</t>
  </si>
  <si>
    <t>SOLARGARD H.B. SCC MANOR WHITE 53 GL</t>
  </si>
  <si>
    <t>t1512309205P</t>
  </si>
  <si>
    <t>SOLARGARD H.B. SCC OYSTER SHELL 5 GL</t>
  </si>
  <si>
    <t>t1512309253D</t>
  </si>
  <si>
    <t>SOLARGARD H.B. SCC OYSTER SHELL 53 GL</t>
  </si>
  <si>
    <t>t1512309305P</t>
  </si>
  <si>
    <t>SOLARGARD H.B. SCC SUNSET YELLOW 5 GL</t>
  </si>
  <si>
    <t>t1512309353D</t>
  </si>
  <si>
    <t>SOLARGARD H.B. SCC SUNSET YELLOW 53 GL</t>
  </si>
  <si>
    <t>t1512309405P</t>
  </si>
  <si>
    <t>SOLARGARD H.B. SCC CANVAS 5 GL</t>
  </si>
  <si>
    <t>t1512309453D</t>
  </si>
  <si>
    <t>SOLARGARD H.B. SCC CANVAS 53 GL</t>
  </si>
  <si>
    <t>t1512415505P</t>
  </si>
  <si>
    <t>SOLARGARD H.B. SCC EVERGREEN 5 GL</t>
  </si>
  <si>
    <t>t1512415553D</t>
  </si>
  <si>
    <t>SOLARGARD H.B. SCC EVERGREEN 53 GL</t>
  </si>
  <si>
    <t>t1512415605P</t>
  </si>
  <si>
    <t>SOLARGARD H.B. SCC PATINA GREEN 5 GL</t>
  </si>
  <si>
    <t>t1512415653D</t>
  </si>
  <si>
    <t>SOLARGARD H.B. SCC PATINA GREEN 53 GL</t>
  </si>
  <si>
    <t>t1512415705P</t>
  </si>
  <si>
    <t>SOLARGARD H.B. SCC HARTFORD GREEN 5 GL</t>
  </si>
  <si>
    <t>t1512415753D</t>
  </si>
  <si>
    <t>SOLARGARD H.B. SCC HARTFORD GREEN 53 GL</t>
  </si>
  <si>
    <t>t1512509205P</t>
  </si>
  <si>
    <t>SOLARGARD H.B. SCC ROMAN BLUE 5 GL</t>
  </si>
  <si>
    <t>t1512509253D</t>
  </si>
  <si>
    <t>SOLARGARD H.B. SCC ROMAN BLUE 53 GL</t>
  </si>
  <si>
    <t>t1512509405P</t>
  </si>
  <si>
    <t>SOLARGARD H.B. SCC REGAL BLUE 5 GL</t>
  </si>
  <si>
    <t>t1512509453D</t>
  </si>
  <si>
    <t>SOLARGARD H.B. SCC REGAL BLUE 53 GL</t>
  </si>
  <si>
    <t>t1512614205P</t>
  </si>
  <si>
    <t>SOLARGARD H.B. SCC DRIFTWOOD 5 GL</t>
  </si>
  <si>
    <t>t1512614253D</t>
  </si>
  <si>
    <t>SOLARGARD H.B. SCC DRIFTWOOD 53 GL</t>
  </si>
  <si>
    <t>t1512614405P</t>
  </si>
  <si>
    <t>SOLARGARD H.B. SCC STONE GRAY 5 GL</t>
  </si>
  <si>
    <t>t1512614453D</t>
  </si>
  <si>
    <t>SOLARGARD H.B. SCC STONE GRAY 53 GL</t>
  </si>
  <si>
    <t>t1512615205P</t>
  </si>
  <si>
    <t>SOLARGARD H.B. SCC SMOKE SIGNAL 5 GL</t>
  </si>
  <si>
    <t>t1512615253D</t>
  </si>
  <si>
    <t>SOLARGARD H.B. SCC SMOKE SIGNAL 53 GL</t>
  </si>
  <si>
    <t>t1512615305P</t>
  </si>
  <si>
    <t>SOLARGARD H.B. SCC ASH GRAY 5 GL</t>
  </si>
  <si>
    <t>t1512615353D</t>
  </si>
  <si>
    <t>SOLARGARD H.B. SCC ASH GRAY 53 GL</t>
  </si>
  <si>
    <t>t1512615405P</t>
  </si>
  <si>
    <t>SOLARGARD H.B. SCC GULL GRAY 5 GL</t>
  </si>
  <si>
    <t>t1512615453D</t>
  </si>
  <si>
    <t>SOLARGARD H.B. SCC GULL GRAY 53 GL</t>
  </si>
  <si>
    <t>t1512700005P</t>
  </si>
  <si>
    <t>SOLARGARD HY-BUILD WHITE 5 GL</t>
  </si>
  <si>
    <t>t1512700053D</t>
  </si>
  <si>
    <t>SOLARGARD HY-BUILD WHITE 53 GL</t>
  </si>
  <si>
    <t>t22005805</t>
  </si>
  <si>
    <t>TREMCO AVC PRIMER WB 5 GL</t>
  </si>
  <si>
    <t>t22006805</t>
  </si>
  <si>
    <t>TREMCO AVC MEMBRANE PRIMER 5 GL</t>
  </si>
  <si>
    <t>t22048805</t>
  </si>
  <si>
    <t>TREMPRIME LV 5 GL PL</t>
  </si>
  <si>
    <t>t22054801</t>
  </si>
  <si>
    <t>TREMPRIME WB 1 GL</t>
  </si>
  <si>
    <t>t22054805</t>
  </si>
  <si>
    <t>TREMPRIME WB 5 GL</t>
  </si>
  <si>
    <t>t22054853</t>
  </si>
  <si>
    <t>TREMPRIME WB 53 GL LINED</t>
  </si>
  <si>
    <t>t22180801</t>
  </si>
  <si>
    <t>SP PRIMER 1 GL</t>
  </si>
  <si>
    <t>t22180805</t>
  </si>
  <si>
    <t>SP PRIMER 5 GL</t>
  </si>
  <si>
    <t>t22180853</t>
  </si>
  <si>
    <t>SP PRIMER 53 GL</t>
  </si>
  <si>
    <t>53 GL</t>
  </si>
  <si>
    <t>t230004R</t>
  </si>
  <si>
    <t>PERMAFAB 4" X 300' ROLL</t>
  </si>
  <si>
    <t>t230006R</t>
  </si>
  <si>
    <t>PERMAFAB 6" X 300' ROLL</t>
  </si>
  <si>
    <t>t230012R</t>
  </si>
  <si>
    <t>PERMAFAB 12" X 300' ROLL</t>
  </si>
  <si>
    <t>t2400700005P</t>
  </si>
  <si>
    <t>TREMCO T24 COATING WHITE  5 GL</t>
  </si>
  <si>
    <t>t2400700053D</t>
  </si>
  <si>
    <t>TREMCO T24 COATING WHITE  53 GL</t>
  </si>
  <si>
    <t>t290400</t>
  </si>
  <si>
    <t>PERMAFAB 40" X 324' ROLL</t>
  </si>
  <si>
    <t>t301050A</t>
  </si>
  <si>
    <t>ALUMANATION 301 5 GL</t>
  </si>
  <si>
    <t>t301530A</t>
  </si>
  <si>
    <t>ALUMANATION 301 53 GL LINED</t>
  </si>
  <si>
    <t>t301550A</t>
  </si>
  <si>
    <t>ALUMANATION 301 55 GL</t>
  </si>
  <si>
    <t>55 GL</t>
  </si>
  <si>
    <t>t34447000805</t>
  </si>
  <si>
    <t>ICE COATING WHITE 5 GL</t>
  </si>
  <si>
    <t>t34447000853</t>
  </si>
  <si>
    <t>ICE COATING WHITE 53 GL LINED</t>
  </si>
  <si>
    <t>t344620M805</t>
  </si>
  <si>
    <t>TREMLASTIC S 5 GL</t>
  </si>
  <si>
    <t>t344620M853</t>
  </si>
  <si>
    <t>TREMLASTIC S 53 GL LINED</t>
  </si>
  <si>
    <t>t346102805</t>
  </si>
  <si>
    <t>POLARCOTE FR WHITE  5 GL</t>
  </si>
  <si>
    <t>t346102853</t>
  </si>
  <si>
    <t>POLARCOTE FR WHITE 53 GL LINED</t>
  </si>
  <si>
    <t>t346310S 805</t>
  </si>
  <si>
    <t>SOLARGARD RUST PRIMER WB 5 GL</t>
  </si>
  <si>
    <t>t347028601</t>
  </si>
  <si>
    <t>BURMASTIC GLASS PLY 28 LB</t>
  </si>
  <si>
    <t>t350715803</t>
  </si>
  <si>
    <t>TREMFIX 3 GL</t>
  </si>
  <si>
    <t>3 GL</t>
  </si>
  <si>
    <t>t351211SK810</t>
  </si>
  <si>
    <t>ALPHAGUARD Si PRIMER A &amp; B 10 GL/Kit</t>
  </si>
  <si>
    <t>10 GL/KIT</t>
  </si>
  <si>
    <t>t351220S805</t>
  </si>
  <si>
    <t>ALPHAGUARD Si 70 SILICONE WHITE 5 GL</t>
  </si>
  <si>
    <t>t351220S850</t>
  </si>
  <si>
    <t>ALPHAGUARD Si 70 SILICONE WHITE 50 GL</t>
  </si>
  <si>
    <t>50 GL</t>
  </si>
  <si>
    <t>t351222S805</t>
  </si>
  <si>
    <t>ALPHAGUARD Si 70 SILICONE LT GREY 5 GL</t>
  </si>
  <si>
    <t>t351222S850</t>
  </si>
  <si>
    <t>ALPHAGUARD Si 70 SILICONE LT GREY 50 GL</t>
  </si>
  <si>
    <t>t351224S805</t>
  </si>
  <si>
    <t>ALPHAGUARD Si 70 SILICONE DK GREY 5 GL</t>
  </si>
  <si>
    <t>t351224S850</t>
  </si>
  <si>
    <t>ALPHAGUARD Si 70 SILICONE DK GREY 50 GL</t>
  </si>
  <si>
    <t>t351226S805</t>
  </si>
  <si>
    <t>ALPHAGUARD Si 70 SILICONE TAN 5 GL</t>
  </si>
  <si>
    <t>t351226S850</t>
  </si>
  <si>
    <t>ALPHAGUARD Si 70 SILICONE TAN 50 GL</t>
  </si>
  <si>
    <t>t351230S805</t>
  </si>
  <si>
    <t>ALPHAGUARD Si PREP CLEANER 5 GL</t>
  </si>
  <si>
    <t>t351240S805</t>
  </si>
  <si>
    <t>ALPHAGUARD Si POLY FIL 5 GL</t>
  </si>
  <si>
    <t>t351250SC805</t>
  </si>
  <si>
    <t>ALPHAGUARD Si 100 SILICONE WHITE 5 GL</t>
  </si>
  <si>
    <t>t351250SC850</t>
  </si>
  <si>
    <t>ALPHAGUARD Si 100 SILICONE WHITE 50 GL</t>
  </si>
  <si>
    <t>t351252SC805</t>
  </si>
  <si>
    <t>ALPHAGUARD Si 100 SILICONE LT GREY 5 GL</t>
  </si>
  <si>
    <t>t351252SC850</t>
  </si>
  <si>
    <t>ALPHAGUARD Si 100 SILICONE LT GREY 50 GL</t>
  </si>
  <si>
    <t>t351254SC805</t>
  </si>
  <si>
    <t>ALPHAGUARD Si 100 SILICONE DK GREY 5 GL</t>
  </si>
  <si>
    <t>t351254SC850</t>
  </si>
  <si>
    <t>ALPHAGUARD Si 100 SILICONE DK GREY 50 GL</t>
  </si>
  <si>
    <t>t351256SC805</t>
  </si>
  <si>
    <t>ALPHAGUARD Si 100 SILICONE TAN 5 GL</t>
  </si>
  <si>
    <t>t351256SC850</t>
  </si>
  <si>
    <t>ALPHAGUARD Si 100 SILICONE TAN 50 GL</t>
  </si>
  <si>
    <t>t351258SC805</t>
  </si>
  <si>
    <t>ALPHAGUARD Si 100 TERRA COTTA 5 GL</t>
  </si>
  <si>
    <t>t351258SC850</t>
  </si>
  <si>
    <t>ALPHAGUARD Si 100 TERRA COTTA 50 GL</t>
  </si>
  <si>
    <t>t351506805</t>
  </si>
  <si>
    <t>TREM-LAR LRM - H 5 GL</t>
  </si>
  <si>
    <t>t351507803</t>
  </si>
  <si>
    <t>TREM-LAR LRM - V 3 GL</t>
  </si>
  <si>
    <t>t351602S802</t>
  </si>
  <si>
    <t>ALPHAGUARD MTS BASE COAT GRAY 2 GL</t>
  </si>
  <si>
    <t>t351602S805</t>
  </si>
  <si>
    <t>ALPHAGUARD MTS BASE COAT GRAY 5 GL</t>
  </si>
  <si>
    <t>t351610S802</t>
  </si>
  <si>
    <t>ALPHAGUARD MTS TOP COAT WHITE 2 GL</t>
  </si>
  <si>
    <t>t351610S805</t>
  </si>
  <si>
    <t>ALPHAGUARD MTS TOP COAT WHITE 5 GL</t>
  </si>
  <si>
    <t>t351611805</t>
  </si>
  <si>
    <t>ALPHAGUARD MT TOP COAT BLACK 5 GL</t>
  </si>
  <si>
    <t>t351612805</t>
  </si>
  <si>
    <t>ALPHAGUARD MT TOP COAT LT GRAY 5 GL</t>
  </si>
  <si>
    <t>t351613805</t>
  </si>
  <si>
    <t>ALPHAGUARD MT TOP COAT MEDIUM GRAY 5 GL</t>
  </si>
  <si>
    <t>t351614805</t>
  </si>
  <si>
    <t>ALPHAGUARD MT TOP COAT DARK GRAY  5 GL</t>
  </si>
  <si>
    <t>t351615805</t>
  </si>
  <si>
    <t>ALPHAGUARD MT TOP COAT GARNET 5 GL</t>
  </si>
  <si>
    <t>t351616805</t>
  </si>
  <si>
    <t>ALPHAGUARD MT TOP COAT SAND 5 GL</t>
  </si>
  <si>
    <t>t351617805</t>
  </si>
  <si>
    <t>ALPHAGUARD MT TOP COAT BEIGE 5 GL</t>
  </si>
  <si>
    <t>t351618805</t>
  </si>
  <si>
    <t>ALPHAGUARD MT TOP COAT PATINA GREEN 5 GL</t>
  </si>
  <si>
    <t>t351619805</t>
  </si>
  <si>
    <t>ALPHAGUARD MT TOP COAT SAFETY YELLOW 5GL</t>
  </si>
  <si>
    <t>t351672C501</t>
  </si>
  <si>
    <t>ALPHAGUARD GLASS MAT  50" X 299'</t>
  </si>
  <si>
    <t>t351673C501</t>
  </si>
  <si>
    <t>ALPHAGUARD GLASS MAT  25" X 299'</t>
  </si>
  <si>
    <t>t351675801</t>
  </si>
  <si>
    <t>ALPHAGUARD WB PRIMER  1 GL</t>
  </si>
  <si>
    <t>t351675805</t>
  </si>
  <si>
    <t>ALPHAGUARD WB PRIMER  5 GL</t>
  </si>
  <si>
    <t>t351680817</t>
  </si>
  <si>
    <t>1 QT</t>
  </si>
  <si>
    <t>t351681801</t>
  </si>
  <si>
    <t>ALPHAGUARD M-PRIME - 1 GL</t>
  </si>
  <si>
    <t>t351695804</t>
  </si>
  <si>
    <t>ALPHAGUARD C-PRIME 1:1 4 GL CASE</t>
  </si>
  <si>
    <t>4 GL CS</t>
  </si>
  <si>
    <t>t351695810</t>
  </si>
  <si>
    <t>ALPHAGUARD C-PRIME 1:1 10 GL KIT</t>
  </si>
  <si>
    <t>t351695A805</t>
  </si>
  <si>
    <t>ALPHAGUARD C-PRIME 1:1 PART A 5 GL</t>
  </si>
  <si>
    <t>5 GL Part A</t>
  </si>
  <si>
    <t>t351695B805</t>
  </si>
  <si>
    <t>ALPHAGUARD C-PRIME 1:1 PART B 5 GL</t>
  </si>
  <si>
    <t>5 GL Part B</t>
  </si>
  <si>
    <t>t351700800</t>
  </si>
  <si>
    <t>ALPHAGUARD BIO BASE COAT A &amp; B  4 GL KIT</t>
  </si>
  <si>
    <t>4 GL/KIT</t>
  </si>
  <si>
    <t>t3517008250</t>
  </si>
  <si>
    <t>ALPHAGUARD BIO BASE COAT A &amp; B 250 GL KIT</t>
  </si>
  <si>
    <t>250 GL/KIT</t>
  </si>
  <si>
    <t>t351710T800</t>
  </si>
  <si>
    <t>ALPHAGUARD BIO TOP COAT - WHITE 3.1 GL KIT</t>
  </si>
  <si>
    <t>3.1 GL/KIT</t>
  </si>
  <si>
    <t>t351710T8140</t>
  </si>
  <si>
    <t>ALPHAGUARD BIO TOP COAT WHITE 140 GL KIT</t>
  </si>
  <si>
    <t>140 GL/KIT</t>
  </si>
  <si>
    <t>t351712T800</t>
  </si>
  <si>
    <t>ALPHAGUARD BIO TOP COAT LIGHT GRAY KIT</t>
  </si>
  <si>
    <t>t351713T800</t>
  </si>
  <si>
    <t>ALPHAGUARD BIO TOP COAT MEDIUM GRAY KIT</t>
  </si>
  <si>
    <t>t351714T800</t>
  </si>
  <si>
    <t>ALPHAGUARD BIO TOP COAT DARK GRAY KIT</t>
  </si>
  <si>
    <t>t351716T800</t>
  </si>
  <si>
    <t>ALPHAGUARD BIO TOP COAT SAND A &amp; B KIT</t>
  </si>
  <si>
    <t>t351717T800</t>
  </si>
  <si>
    <t>ALPHAGUARD BIO TOP COAT BEIGE A &amp; B KIT</t>
  </si>
  <si>
    <t>t351719T800</t>
  </si>
  <si>
    <t>ALPHAGUARD BIO TOP COAT SAFETY YELLOW KIT</t>
  </si>
  <si>
    <t>t351900802</t>
  </si>
  <si>
    <t>ALPHAGUARD PUMA BASE COAT 2 GL</t>
  </si>
  <si>
    <t>t351900806</t>
  </si>
  <si>
    <t>ALPHAGUARD PUMA BASE COAT 6 GL</t>
  </si>
  <si>
    <t>6 GL</t>
  </si>
  <si>
    <t>t351910802</t>
  </si>
  <si>
    <t>ALPHAGUARD PUMA TOP COAT WHITE 2 GL</t>
  </si>
  <si>
    <t>t351910806</t>
  </si>
  <si>
    <t>ALPHAGUARD PUMA TOP COAT WHITE 6 GL</t>
  </si>
  <si>
    <t>t351911806</t>
  </si>
  <si>
    <t>ALPHAGUARD PUMA TOPCOAT UNPIGMENT 6 GL</t>
  </si>
  <si>
    <t>t351913L802</t>
  </si>
  <si>
    <t>ALPHAGUARD PUMA TOP COAT LIGHT GRAY 2 GL</t>
  </si>
  <si>
    <t>t351913L806</t>
  </si>
  <si>
    <t>ALPHAGUARD PUMA TOP COAT LIGHT GRAY 6 GL</t>
  </si>
  <si>
    <t>t351920FC111</t>
  </si>
  <si>
    <t>ALPHAGUARD FC CATALYST 11 LB CASE</t>
  </si>
  <si>
    <t>1 CS</t>
  </si>
  <si>
    <t>t351920FC555</t>
  </si>
  <si>
    <t>ALPHAGUARD FC CATALYST 55 LB</t>
  </si>
  <si>
    <t>t351930806</t>
  </si>
  <si>
    <t>ALPHAGUARD PUMA CLEANER 6 GL</t>
  </si>
  <si>
    <t>t351935801</t>
  </si>
  <si>
    <t>ALPHAGUARD PUMA COLDWEATHER  CATALYST 1 GL</t>
  </si>
  <si>
    <t>t351940806</t>
  </si>
  <si>
    <t>ALPHAGUARD PUMA THIX 6 GL</t>
  </si>
  <si>
    <t>t351950802</t>
  </si>
  <si>
    <t>ALPHAGUARD PUMA QUICK FLASH  2 GL</t>
  </si>
  <si>
    <t>t351950806</t>
  </si>
  <si>
    <t>ALPHAGUARD PUMA QUICK FLASH  6 GL</t>
  </si>
  <si>
    <t>t351960806</t>
  </si>
  <si>
    <t>ALPHAGUARD PUMA PRIMER - 107   6 GL</t>
  </si>
  <si>
    <t>t355520800</t>
  </si>
  <si>
    <t>ALPHAGRADE - 5.5 GL KIT</t>
  </si>
  <si>
    <t>5.5 GL/Kit</t>
  </si>
  <si>
    <t>t3555208550</t>
  </si>
  <si>
    <t>ALPHAGRADE - 550 GL KIT</t>
  </si>
  <si>
    <t>550 GL/Kit</t>
  </si>
  <si>
    <t>t355600800</t>
  </si>
  <si>
    <t>ALPHAGRADE BASE COAT - 3.75 GL KIT</t>
  </si>
  <si>
    <t>3.75 GL/Kit</t>
  </si>
  <si>
    <t>t3556008375</t>
  </si>
  <si>
    <t>ALPHAGRADE BASE COAT - 375 GL KIT</t>
  </si>
  <si>
    <t>375 gal kit</t>
  </si>
  <si>
    <t>t355700800</t>
  </si>
  <si>
    <t>ALPHAGRADE TOP COAT - 2.5 GL KIT</t>
  </si>
  <si>
    <t>2.5 gal kit</t>
  </si>
  <si>
    <t>t3557008250</t>
  </si>
  <si>
    <t>ALPHAGRADE TOP COAT - 250 GL KIT</t>
  </si>
  <si>
    <t>250 gal kit</t>
  </si>
  <si>
    <t>t360570805</t>
  </si>
  <si>
    <t>ECOMASTIC 5 U.S. GALLON PAIL</t>
  </si>
  <si>
    <t>t360620802</t>
  </si>
  <si>
    <t>ELS  2 GL</t>
  </si>
  <si>
    <t>t360620805</t>
  </si>
  <si>
    <t>ELS  5 GL</t>
  </si>
  <si>
    <t>t360623802</t>
  </si>
  <si>
    <t>ELS WINTER GRADE 2 GL</t>
  </si>
  <si>
    <t>t360623805</t>
  </si>
  <si>
    <t>ELS WINTER GRADE 5 GL</t>
  </si>
  <si>
    <t>t360650803</t>
  </si>
  <si>
    <t>BRUSH GRADE MASTIC 3 GL</t>
  </si>
  <si>
    <t>t360700803</t>
  </si>
  <si>
    <t>ALUMINUM MASTIC 3 GL</t>
  </si>
  <si>
    <t>t361582803</t>
  </si>
  <si>
    <t>SHEETING BOND BLACK 3 GL</t>
  </si>
  <si>
    <t>t361582805</t>
  </si>
  <si>
    <t>SHEETING BOND BLACK 5 GL</t>
  </si>
  <si>
    <t>t361591020</t>
  </si>
  <si>
    <t>POLYROOF LV  1 QT</t>
  </si>
  <si>
    <t>QT</t>
  </si>
  <si>
    <t>t361591145</t>
  </si>
  <si>
    <t>POLYROOF LV 6 X 946 ML/CASE</t>
  </si>
  <si>
    <t>t361591803</t>
  </si>
  <si>
    <t>POLYROOF LV 3 GL</t>
  </si>
  <si>
    <t>t361591805</t>
  </si>
  <si>
    <t>POLYROOF LV 5 GL</t>
  </si>
  <si>
    <t>t361591C145</t>
  </si>
  <si>
    <t>t361597 803L</t>
  </si>
  <si>
    <t>POLYROOF SF 3 GL</t>
  </si>
  <si>
    <t>t362300304</t>
  </si>
  <si>
    <t>LOW RISE FOAM INSULATION ADHESIVE 4/CS</t>
  </si>
  <si>
    <t>t362300G304</t>
  </si>
  <si>
    <t>LOW RISE FOAM INSULATION ADHESIVE GREEN 4/CS</t>
  </si>
  <si>
    <t>t362300K410</t>
  </si>
  <si>
    <t>LOW RISE FOAM INSUL ADH BG 10 GL KIT</t>
  </si>
  <si>
    <t>t362300K4100</t>
  </si>
  <si>
    <t>LOW RISE FOAM INSUL ADH BG 100 GL KIT</t>
  </si>
  <si>
    <t>100 GL/KIT</t>
  </si>
  <si>
    <t>t362300K430</t>
  </si>
  <si>
    <t>LOW RISE FOAM INSUL ADH BG 30 GL KIT</t>
  </si>
  <si>
    <t>30 GL/KIT</t>
  </si>
  <si>
    <t>t362301501</t>
  </si>
  <si>
    <t>LOW RISE FOAM CYCLONE ADHESIVE PUMP CART</t>
  </si>
  <si>
    <t>t362304501</t>
  </si>
  <si>
    <t>LOW RISE FOAM PNEUMATIC CARTRIDGE GUN 1.5L</t>
  </si>
  <si>
    <t>t362305501</t>
  </si>
  <si>
    <t>LOW RISE FOAM  BATTERY CARTRIDGE GUN 1.5L</t>
  </si>
  <si>
    <t>t362306501</t>
  </si>
  <si>
    <t>LOW RISE FOAM MULTI BEAD APPLICATOR</t>
  </si>
  <si>
    <t>t362307501</t>
  </si>
  <si>
    <t>LOW RISE FOAM MULTI BEAD APPLICATOR PLUS</t>
  </si>
  <si>
    <t>t362309501</t>
  </si>
  <si>
    <t>LOW RISE FOAM CYCLONE THREADED NOZZLE TIPS</t>
  </si>
  <si>
    <t>t362310BG410</t>
  </si>
  <si>
    <t>TREMCO LR ADHESIVE 10 GL KIT</t>
  </si>
  <si>
    <t>t362310C304</t>
  </si>
  <si>
    <t>TREMCO LR ADHESIVE 4 SETS/CASE</t>
  </si>
  <si>
    <t>t36236601</t>
  </si>
  <si>
    <t>TREMCO AVC MEMBRANE 36" X 75' ROLL</t>
  </si>
  <si>
    <t>t364525805</t>
  </si>
  <si>
    <t>BURMASTIC ADHESIVE AF -  5 GL</t>
  </si>
  <si>
    <t>t364525855</t>
  </si>
  <si>
    <t>BURMASTIC ADHESIVE AF 53 GL UNLINED</t>
  </si>
  <si>
    <t>t364560U805</t>
  </si>
  <si>
    <t>BURMASTIC ADHESIVE 5 GL</t>
  </si>
  <si>
    <t>t364560U850</t>
  </si>
  <si>
    <t>BURMASTIC ADHESIVE 50 GL UNLINED</t>
  </si>
  <si>
    <t>t364560U851</t>
  </si>
  <si>
    <t>BURMASTIC ADHESIVE 50 GL LINED</t>
  </si>
  <si>
    <t>50 GL Lined</t>
  </si>
  <si>
    <t>t364600A805</t>
  </si>
  <si>
    <t>ROCK-IT ADHESIVE 5 GL</t>
  </si>
  <si>
    <t>t364600A853</t>
  </si>
  <si>
    <t>ROCK-IT ADHESIVE 52 GL LINED</t>
  </si>
  <si>
    <t>52 GL Lined</t>
  </si>
  <si>
    <t>t364600A855</t>
  </si>
  <si>
    <t>ROCK-IT ADHESIVE 52 GL</t>
  </si>
  <si>
    <t>52 GL</t>
  </si>
  <si>
    <t>t364670805</t>
  </si>
  <si>
    <t>ROCK-IT ADHESIVE WB  5 GL</t>
  </si>
  <si>
    <t>t364670853</t>
  </si>
  <si>
    <t>ROCK-IT ADHESIVE WB  53 GL LINED</t>
  </si>
  <si>
    <t>t365170805</t>
  </si>
  <si>
    <t>POWERPLY STD COLD ADHESIVE 5 GL</t>
  </si>
  <si>
    <t>t365170850</t>
  </si>
  <si>
    <t>POWERPLY STD COLD ADHESIVE 50 GL UNLINED</t>
  </si>
  <si>
    <t>t365170851</t>
  </si>
  <si>
    <t>POWERPLY STD COLD ADHESIVE 50 GL LINED</t>
  </si>
  <si>
    <t>t365200805</t>
  </si>
  <si>
    <t>POWERPLY RUBBERIZED COLD ADHESIVE 5 GL</t>
  </si>
  <si>
    <t>t365200853</t>
  </si>
  <si>
    <t>POWERPLY RUBBERIZED COLD ADH 53 GL LINED</t>
  </si>
  <si>
    <t>t365200855</t>
  </si>
  <si>
    <t>POWERPLY RUBBERIZED COLD ADHESIVE 53 GL</t>
  </si>
  <si>
    <t>t365310 805M</t>
  </si>
  <si>
    <t>POWERPLY COLD ADHESIVE SI 4.7 GL</t>
  </si>
  <si>
    <t>4.7 GL</t>
  </si>
  <si>
    <t>t365310 850M</t>
  </si>
  <si>
    <t>POWERPLY COLD ADHESIVE SI 53 GL UNLINED</t>
  </si>
  <si>
    <t>t365420PK800</t>
  </si>
  <si>
    <t>POWERPLY ENDURE BIO ADHESIVE TF 4 GL KIT</t>
  </si>
  <si>
    <t>t365420PK805</t>
  </si>
  <si>
    <t>POWERPLY ENDURE BIO ADHESIVE TF 4 GL SET</t>
  </si>
  <si>
    <t>4 GL/SET</t>
  </si>
  <si>
    <t>t365700 805L</t>
  </si>
  <si>
    <t>BURMASTIC ADHESIVE SF 5 GL</t>
  </si>
  <si>
    <t>t365750 805H</t>
  </si>
  <si>
    <t>BURMASTIC ADHESIVE MC 5 GL</t>
  </si>
  <si>
    <t>t370110805</t>
  </si>
  <si>
    <t>ECOLASTIC 5 GL</t>
  </si>
  <si>
    <t>t370110853</t>
  </si>
  <si>
    <t>ECOLASTIC 53 GL LINED</t>
  </si>
  <si>
    <t>t370110855</t>
  </si>
  <si>
    <t>ECOLASTIC 53 GL UNLINED</t>
  </si>
  <si>
    <t>t371800495</t>
  </si>
  <si>
    <t>THERMASTIC 80 ADHESIVE</t>
  </si>
  <si>
    <t>Pallet</t>
  </si>
  <si>
    <t>t371850495</t>
  </si>
  <si>
    <t>THERMASTIC 100</t>
  </si>
  <si>
    <t>t372000B501</t>
  </si>
  <si>
    <t>PREMIUM III ASPHALT - PAK FREE</t>
  </si>
  <si>
    <t>t4140503</t>
  </si>
  <si>
    <t>BURMESH 6" X 300'           (Canada Only)</t>
  </si>
  <si>
    <t>t4141503</t>
  </si>
  <si>
    <t>BURMESH 12" X 300'         (Canada Only)</t>
  </si>
  <si>
    <t>t4142503</t>
  </si>
  <si>
    <t>BURMESH 36" X 300'         (Canada Only)</t>
  </si>
  <si>
    <t>t423145503</t>
  </si>
  <si>
    <t>TREMPLY TPO 45 MIL  120" X 100'</t>
  </si>
  <si>
    <t>t423145FB503</t>
  </si>
  <si>
    <t>TREMPLY TPO FB 45 MIL  120" X 100'</t>
  </si>
  <si>
    <t>t423145FBG503</t>
  </si>
  <si>
    <t>TREMPLY TPO FB 45 MIL  120" X 100' GRAY</t>
  </si>
  <si>
    <t>t423145FBT503</t>
  </si>
  <si>
    <t>TREMPLY TPO FB 45 MIL  120" X 100' TAN</t>
  </si>
  <si>
    <t>t423145G503</t>
  </si>
  <si>
    <t>TREMPLY TPO 45 MIL  120" X 100' GRAY</t>
  </si>
  <si>
    <t>t423145T503</t>
  </si>
  <si>
    <t>TREMPLY TPO 45 MIL  120" X 100' TAN</t>
  </si>
  <si>
    <t>t423150M503</t>
  </si>
  <si>
    <t>TREMPLY MAX TPO 50 MIL 120" X 100'</t>
  </si>
  <si>
    <t>t423150MFB503</t>
  </si>
  <si>
    <t>TREMPLY MAX TPO FB 50 MIL 120" X 100'</t>
  </si>
  <si>
    <t>t423160503</t>
  </si>
  <si>
    <t>TREMPLY TPO 60 MIL  120" X 100'</t>
  </si>
  <si>
    <t>t423160FB503</t>
  </si>
  <si>
    <t>TREMPLY TPO FB 60 MIL  120" X 100'</t>
  </si>
  <si>
    <t>t423160FBG503</t>
  </si>
  <si>
    <t>TREMPLY TPO FB 60 MIL  120" X 100' GRAY</t>
  </si>
  <si>
    <t>t423160FBT503</t>
  </si>
  <si>
    <t>TREMPLY TPO FB 60 MIL  120" X 100' TAN</t>
  </si>
  <si>
    <t>t423160G503</t>
  </si>
  <si>
    <t>TREMPLY TPO 60 MIL  120" X 100' GRAY</t>
  </si>
  <si>
    <t>t423160M503</t>
  </si>
  <si>
    <t>TREMPLY MAX TPO 60 MIL 120" X 100'</t>
  </si>
  <si>
    <t>t423160MFB503</t>
  </si>
  <si>
    <t>TREMPLY MAX TPO FB 60 MIL 120" X 100'</t>
  </si>
  <si>
    <t>t423160T503</t>
  </si>
  <si>
    <t>TREMPLY TPO 60 MIL  120" X 100' TAN</t>
  </si>
  <si>
    <t>t423170M503</t>
  </si>
  <si>
    <t>TREMPLY MAX TPO 70 MIL 120" X 100'</t>
  </si>
  <si>
    <t>t423170MFB503</t>
  </si>
  <si>
    <t>TREMPLY MAX TPO FB 70 MIL 120" X 50'</t>
  </si>
  <si>
    <t>t423180503</t>
  </si>
  <si>
    <t>TREMPLY TPO 80 MIL  120" X 100'</t>
  </si>
  <si>
    <t>t423180FB503</t>
  </si>
  <si>
    <t>TREMPLY TPO FB 80 MIL  120" X 50'</t>
  </si>
  <si>
    <t>t423180FBG503</t>
  </si>
  <si>
    <t>TREMPLY TPO FB 80 MIL  120" X 50' GRAY</t>
  </si>
  <si>
    <t>t423180FBT503</t>
  </si>
  <si>
    <t>TREMPLY TPO FB 80 MIL  120" X 50' TAN</t>
  </si>
  <si>
    <t>t423180G503</t>
  </si>
  <si>
    <t>TREMPLY TPO 80 MIL  120" X 100' GRAY</t>
  </si>
  <si>
    <t>t423180M503</t>
  </si>
  <si>
    <t>TREMPLY MAX TPO 80 MIL 120" X 100'</t>
  </si>
  <si>
    <t>t423180MFB503</t>
  </si>
  <si>
    <t>TREMPLY MAX TPO FB 80 MIL 120" X 50'</t>
  </si>
  <si>
    <t>t423180T503</t>
  </si>
  <si>
    <t>TREMPLY TPO 80 MIL  120" X 100' TAN</t>
  </si>
  <si>
    <t>t423200501</t>
  </si>
  <si>
    <t>TREMPLY TPO COVER TAPE 6"x100' 2/CS</t>
  </si>
  <si>
    <t>t423210501</t>
  </si>
  <si>
    <t>TREMPLY TPO COVER TAPE HW 6" 2/CS</t>
  </si>
  <si>
    <t>t423210G501</t>
  </si>
  <si>
    <t>TREMPLY TPO COVER TAPE HW 6" 2/CS GRAY</t>
  </si>
  <si>
    <t>t423210T501</t>
  </si>
  <si>
    <t>TREMPLY TPO COVER TAPE HW 6" 2/CS TAN</t>
  </si>
  <si>
    <t>t423212501</t>
  </si>
  <si>
    <t>TREMPLY TPO SPLIT PIPE BOOTS - 1"-2" 6/CS</t>
  </si>
  <si>
    <t>t423212G501</t>
  </si>
  <si>
    <t>TREMPLY TPO SPLIT PIPE BOOTS - 1"-2" 6/CS GRAY</t>
  </si>
  <si>
    <t>t423212T501</t>
  </si>
  <si>
    <t>TREMPLY TPO SPLIT PIPE BOOTS - 1"-2" 6/CS TAN</t>
  </si>
  <si>
    <t>t423220503</t>
  </si>
  <si>
    <t>TREMPLY TPO DETAILING MEMBRANE 24"x50'</t>
  </si>
  <si>
    <t>t423220G503</t>
  </si>
  <si>
    <t>TREMPLY TPO DETAILING MEMBRANE 24"x50' GRAY</t>
  </si>
  <si>
    <t>t423220M503</t>
  </si>
  <si>
    <t>TREMPLY MAX TPO DETAILING MEMBRANE 24" x 50'</t>
  </si>
  <si>
    <t>t423220T503</t>
  </si>
  <si>
    <t>TREMPLY TPO DETAILING MEMBRANE 24"x50' TAN</t>
  </si>
  <si>
    <t>t423235501</t>
  </si>
  <si>
    <t>TREMPLY TPO SPLIT PIPE BOOTS - 3"-5" 6/CS</t>
  </si>
  <si>
    <t>t423235G501</t>
  </si>
  <si>
    <t>TREMPLY TPO SPLIT PIPE BOOTS - 3"-5" 6/CS GRAY</t>
  </si>
  <si>
    <t>t423235T501</t>
  </si>
  <si>
    <t>TREMPLY TPO SPLIT PIPE BOOTS - 3"-5" 6/CS TAN</t>
  </si>
  <si>
    <t>t423244501</t>
  </si>
  <si>
    <t>TREMPLY TPO SQUARE TUBE WRAP - 4"X4" 6/CS</t>
  </si>
  <si>
    <t>t423246501</t>
  </si>
  <si>
    <t>TREMPLY TPO SQUARE TUBE WRAP - 4"X6" 6/CS</t>
  </si>
  <si>
    <t>t423260501</t>
  </si>
  <si>
    <t>TREMPLY TPO T-JOINT CP 100/CS</t>
  </si>
  <si>
    <t>t423266501</t>
  </si>
  <si>
    <t>TREMPLY TPO SQUARE TUBE WRAP - 6"X6" 6/CS</t>
  </si>
  <si>
    <t>t423268501</t>
  </si>
  <si>
    <t>TREMPLY TPO SPLIT PIPE BOOTS - 6"-8" 6/CS</t>
  </si>
  <si>
    <t>t423268G501</t>
  </si>
  <si>
    <t>TREMPLY TPO SPLIT PIPE BOOTS - 6"-8" 6/CS GRAY</t>
  </si>
  <si>
    <t>t423268T501</t>
  </si>
  <si>
    <t>TREMPLY TPO SPLIT PIPE BOOTS - 6"-8" 6/CS TAN</t>
  </si>
  <si>
    <t>t423270501</t>
  </si>
  <si>
    <t>TREMPLY TPO UNIVERSAL CORNERS 20/CS</t>
  </si>
  <si>
    <t>t423280501</t>
  </si>
  <si>
    <t>TREMPLY TPO VENT BOOTS 1"-6" 6/CS</t>
  </si>
  <si>
    <t>t423290503</t>
  </si>
  <si>
    <t>TREMPLY TPO FLASHING STRIP</t>
  </si>
  <si>
    <t>t423290G503</t>
  </si>
  <si>
    <t>TREMPLY TPO FLASHING STRIP GRAY</t>
  </si>
  <si>
    <t>t423290T503</t>
  </si>
  <si>
    <t>TREMPLY TPO FLASHING STRIP TAN</t>
  </si>
  <si>
    <t>t4232911501</t>
  </si>
  <si>
    <t>TREMPLY TPO SPLIT PIPE BOOTS - 9"-11" 6/CS</t>
  </si>
  <si>
    <t>t4232911G501</t>
  </si>
  <si>
    <t>TREMPLY TPO SPLIT PIPE BOOTS - 9"-11" 6/CS GRAY</t>
  </si>
  <si>
    <t>t4232911T501</t>
  </si>
  <si>
    <t>TREMPLY TPO SPLIT PIPE BOOTS - 9"-11" 6/CS TAN</t>
  </si>
  <si>
    <t>t423300805</t>
  </si>
  <si>
    <t>TREMPLY TPO BONDING ADHESIVE 5 GL</t>
  </si>
  <si>
    <t>t423310805</t>
  </si>
  <si>
    <t>TREMPLY TPO BONDING ADHESIVE LV3 5 GL</t>
  </si>
  <si>
    <t>t423320805</t>
  </si>
  <si>
    <t>TREMPLY TPO LV BONDING ADHESIVE 5 GL</t>
  </si>
  <si>
    <t>t423330501</t>
  </si>
  <si>
    <t>TREMPLY TPO COATED METAL 4'x10' WHITE</t>
  </si>
  <si>
    <t>t423340501</t>
  </si>
  <si>
    <t>TREMPLY TPO RTA STRIP 6" x 100' 2/CS (White ONLY)</t>
  </si>
  <si>
    <t>t423380503</t>
  </si>
  <si>
    <t>TREMPLY TPO WALKWAY ROLL GRAY</t>
  </si>
  <si>
    <t>t423390503</t>
  </si>
  <si>
    <t>TREMPLY TPO WALKWAY ROLL SAFETY YELLOW</t>
  </si>
  <si>
    <t>t423400805</t>
  </si>
  <si>
    <t>TREMPLY TPO WB BONDING ADHESIVE 5 GL</t>
  </si>
  <si>
    <t>t423545503</t>
  </si>
  <si>
    <t>TREMPLY TPO 45 MIL  60" X 100'</t>
  </si>
  <si>
    <t>t423545FB503</t>
  </si>
  <si>
    <t>TREMPLY TPO FB 45 MIL  60" X 100'</t>
  </si>
  <si>
    <t>t423545FBG503</t>
  </si>
  <si>
    <t>TREMPLY TPO FB 45 MIL  60" X 100' GRAY</t>
  </si>
  <si>
    <t>t423545FBT503</t>
  </si>
  <si>
    <t>TREMPLY TPO FB 45 MIL  60" X 100' TAN</t>
  </si>
  <si>
    <t>t423545G503</t>
  </si>
  <si>
    <t>TREMPLY TPO 45 MIL  60" X 100' GRAY</t>
  </si>
  <si>
    <t>t423545T503</t>
  </si>
  <si>
    <t>TREMPLY TPO 45 MIL  60" X 100' TAN</t>
  </si>
  <si>
    <t>t423550M503</t>
  </si>
  <si>
    <t>TREMPLY MAX TPO 50 MIL 60" X 100'</t>
  </si>
  <si>
    <t>t423550MFB503</t>
  </si>
  <si>
    <t>TREMPLY MAX TPO FB 50 MIL 60" X 100'</t>
  </si>
  <si>
    <t>t423560503</t>
  </si>
  <si>
    <t>TREMPLY TPO 60 MIL  60" X 100'</t>
  </si>
  <si>
    <t>t423560FB503</t>
  </si>
  <si>
    <t>TREMPLY TPO FB 60 MIL  60" X 100'</t>
  </si>
  <si>
    <t>t423560FBG503</t>
  </si>
  <si>
    <t>TREMPLY TPO FB 60 MIL  60" X 100' GRAY</t>
  </si>
  <si>
    <t>t423560FBT503</t>
  </si>
  <si>
    <t>TREMPLY TPO FB 60 MIL  60" X 100' TAN</t>
  </si>
  <si>
    <t>t423560G503</t>
  </si>
  <si>
    <t>TREMPLY TPO 60 MIL  60" X 100' GRAY</t>
  </si>
  <si>
    <t>t423560M503</t>
  </si>
  <si>
    <t>TREMPLY MAX TPO 60 MIL 60" X 100'</t>
  </si>
  <si>
    <t>t423560MFB503</t>
  </si>
  <si>
    <t>TREMPLY MAX TPO FB 60 MIL 60" X 100'</t>
  </si>
  <si>
    <t>t423560T503</t>
  </si>
  <si>
    <t>TREMPLY TPO 60 MIL  60" X 100' TAN</t>
  </si>
  <si>
    <t>t423570M503</t>
  </si>
  <si>
    <t>TREMPLY MAX TPO 70 MIL 60" X 100'</t>
  </si>
  <si>
    <t>t423570MFB503</t>
  </si>
  <si>
    <t>TREMPLY MAX TPO FB 70 MIL 60" X 50'</t>
  </si>
  <si>
    <t>t423580503</t>
  </si>
  <si>
    <t>TREMPLY TPO 80 MIL  60" X 100'</t>
  </si>
  <si>
    <t>t423580FB503</t>
  </si>
  <si>
    <t>TREMPLY TPO FB 80 MIL  60" X 50'</t>
  </si>
  <si>
    <t>t423580FBG503</t>
  </si>
  <si>
    <t>TREMPLY TPO FB 80 MIL  60" X 50' GRAY</t>
  </si>
  <si>
    <t>t423580FBT503</t>
  </si>
  <si>
    <t>TREMPLY TPO FB 80 MIL  60" X 50' TAN</t>
  </si>
  <si>
    <t>t423580G503</t>
  </si>
  <si>
    <t>TREMPLY TPO 80 MIL  60" X 100' GRAY</t>
  </si>
  <si>
    <t>t423580M503</t>
  </si>
  <si>
    <t>TREMPLY MAX TPO 80 MIL 60" X 100'</t>
  </si>
  <si>
    <t>t423580MFB503</t>
  </si>
  <si>
    <t>TREMPLY MAX TPO FB 80 MIL 60" X 50'</t>
  </si>
  <si>
    <t>t423580T503</t>
  </si>
  <si>
    <t>TREMPLY TPO 80 MIL  60" X 100' TAN</t>
  </si>
  <si>
    <t>t46505805</t>
  </si>
  <si>
    <t>SHEETING BOND WHITE 5 GL</t>
  </si>
  <si>
    <t>t46918660</t>
  </si>
  <si>
    <t>TREMFLASH TAPE GRAY 1/8" X 1" 600FT/CS</t>
  </si>
  <si>
    <t>t48012503</t>
  </si>
  <si>
    <t>TRA ELASTOMERIC SHEETING BLK 12" X 50'</t>
  </si>
  <si>
    <t>t48018503</t>
  </si>
  <si>
    <t>TRA ELASTOMERIC SHEETING BLK 18" X 50'</t>
  </si>
  <si>
    <t>t48020503</t>
  </si>
  <si>
    <t>TRA ELASTOMERIC SHEETING BLK 20" X 50'</t>
  </si>
  <si>
    <t>t48024503</t>
  </si>
  <si>
    <t>TRA ELASTOMERIC SHEETING BLK 24" X 50'</t>
  </si>
  <si>
    <t>t48030503</t>
  </si>
  <si>
    <t>TRA ELASTOMERIC SHEETING BLK 30" X 50'</t>
  </si>
  <si>
    <t>t48036503</t>
  </si>
  <si>
    <t>TRA ELASTOMERIC SHEETING BLK 36" X 50'</t>
  </si>
  <si>
    <t>t48105503</t>
  </si>
  <si>
    <t>TRA ELASTOMERIC SHEETING BLK 60" X 100'</t>
  </si>
  <si>
    <t>t48273S1000</t>
  </si>
  <si>
    <t>KNOVI 1 YEAR MONITORING</t>
  </si>
  <si>
    <t>t48273S2000</t>
  </si>
  <si>
    <t>KNOVI 2  YEAR MONITORING</t>
  </si>
  <si>
    <t>t48273S3000</t>
  </si>
  <si>
    <t>KNOVI 3  YEAR MONITORING</t>
  </si>
  <si>
    <t>t48273S6010</t>
  </si>
  <si>
    <t>KNOVI SMARTDRAIN</t>
  </si>
  <si>
    <t>t48273S6022</t>
  </si>
  <si>
    <t>KNOVI INTRO EQUIPMENT PACKAGE</t>
  </si>
  <si>
    <t>KIT</t>
  </si>
  <si>
    <t>t48273S6030</t>
  </si>
  <si>
    <t>KNOVI GATEWAY</t>
  </si>
  <si>
    <t>t48273S6070</t>
  </si>
  <si>
    <t>KNOVI ANTENNA</t>
  </si>
  <si>
    <t>t4881905P</t>
  </si>
  <si>
    <t>GEOGARD FINISH COAT LIMESTONE 5 GL</t>
  </si>
  <si>
    <t>t4882905P</t>
  </si>
  <si>
    <t>GEOGARD FINISH COAT BEIGE 5 GL</t>
  </si>
  <si>
    <t>t4883905P</t>
  </si>
  <si>
    <t>GEOGARD FINISH COAT MAPLE 5 GL</t>
  </si>
  <si>
    <t>t4884905P</t>
  </si>
  <si>
    <t>GEOGARD FINISH COAT SLATE GRAY 5 GL</t>
  </si>
  <si>
    <t>t4890902C</t>
  </si>
  <si>
    <t>GEOGARD FINISH COAT WHITE 2 GL</t>
  </si>
  <si>
    <t>t4890905P</t>
  </si>
  <si>
    <t>GEOGARD FINISH COAT WHITE 5 GL</t>
  </si>
  <si>
    <t>t491L002C</t>
  </si>
  <si>
    <t>GEOGARD LO BASE COAT 2 GL</t>
  </si>
  <si>
    <t>t491L005P</t>
  </si>
  <si>
    <t>GEOGARD LO BASE COAT 5 GL</t>
  </si>
  <si>
    <t>t49202C</t>
  </si>
  <si>
    <t>GEOGARD SEAM SEALER 2 GL</t>
  </si>
  <si>
    <t>t49205</t>
  </si>
  <si>
    <t>GEOGARD SEAM SEALER 5 GL</t>
  </si>
  <si>
    <t>t492R333</t>
  </si>
  <si>
    <t>GEOGARD SEAM SEALER 850 mL TUBES 12/CS</t>
  </si>
  <si>
    <t>t494101C</t>
  </si>
  <si>
    <t>GEOGARD PRIMER 1 GL</t>
  </si>
  <si>
    <t>t494105P</t>
  </si>
  <si>
    <t>GEOGARD PRIMER 5 GL</t>
  </si>
  <si>
    <t>t505210501</t>
  </si>
  <si>
    <t>TPA ACCESSORY SMALL BOOTS 10/CS</t>
  </si>
  <si>
    <t>t505210T 501</t>
  </si>
  <si>
    <t>TPA ACCESSORY SMALL BOOTS TAN 10/CS</t>
  </si>
  <si>
    <t>t505215501</t>
  </si>
  <si>
    <t>TPA ACCESSORY LARGE BOOTS 10/CS</t>
  </si>
  <si>
    <t>t505215T 501</t>
  </si>
  <si>
    <t>TPA ACCESSORY LARGE BOOTS TAN 10/CS</t>
  </si>
  <si>
    <t>t505220503</t>
  </si>
  <si>
    <t>TPA UNIVERSAL CORNERS WHITE/GRAY 20/CS</t>
  </si>
  <si>
    <t>t505220T503</t>
  </si>
  <si>
    <t>TPA UNIVERSAL CORNERS TAN 20/CS</t>
  </si>
  <si>
    <t>t505230C503</t>
  </si>
  <si>
    <t>TREMPLY KEE/TPA COATED METAL 4' x 10'</t>
  </si>
  <si>
    <t>t505240A 503</t>
  </si>
  <si>
    <t>TPA 45 MIL COVER STRIP 6" x 108'</t>
  </si>
  <si>
    <t>t505247503</t>
  </si>
  <si>
    <t>TPA 45 MIL PERIMETER SHEET 39" X 108'</t>
  </si>
  <si>
    <t>t505247G503</t>
  </si>
  <si>
    <t>TPA 45 MIL PERIMETER SHEET 39" X 108' GRAY</t>
  </si>
  <si>
    <t>t505247T503</t>
  </si>
  <si>
    <t>TPA 45 MIL PERIMETER SHEET 39" X 108' TAN</t>
  </si>
  <si>
    <t>t505255503</t>
  </si>
  <si>
    <t>TPA 55 MIL UNREINFORCD 24" X 30'</t>
  </si>
  <si>
    <t>t505255G503</t>
  </si>
  <si>
    <t>TPA 55 MIL UNREINFORCD 24" X 30' GRAY</t>
  </si>
  <si>
    <t>t505255T503</t>
  </si>
  <si>
    <t>TPA 55 MIL UNREINFORCD 24" X 30' TAN</t>
  </si>
  <si>
    <t>t505262503</t>
  </si>
  <si>
    <t>TPA 60 MIL PERIMETER SHEET 39" X 90'</t>
  </si>
  <si>
    <t>t505262G503</t>
  </si>
  <si>
    <t>TPA 60 MIL PERIMETER SHEET 39" X 90' GRAY</t>
  </si>
  <si>
    <t>t505262T503</t>
  </si>
  <si>
    <t>TPA 60 MIL PERIMETER SHEET 39" X 90' TAN</t>
  </si>
  <si>
    <t>t505282503</t>
  </si>
  <si>
    <t>TPA 80 MIL PERIMETER SHEET 39" X 75'</t>
  </si>
  <si>
    <t>t505310503</t>
  </si>
  <si>
    <t>TPA 45 MIL FIELD 120" x 100'</t>
  </si>
  <si>
    <t>t505310G503</t>
  </si>
  <si>
    <t>TPA 45 MIL FIELD 120" x 100' GRAY</t>
  </si>
  <si>
    <t>t505310T503</t>
  </si>
  <si>
    <t>TPA 45 MIL FIELD 120" x 100' TAN</t>
  </si>
  <si>
    <t>t505312503</t>
  </si>
  <si>
    <t>TPA 45 MIL FLASHING 12" X 50'</t>
  </si>
  <si>
    <t>t505324503</t>
  </si>
  <si>
    <t>TPA 45 MIL FLASHING 24" X 50'</t>
  </si>
  <si>
    <t>t505324G503</t>
  </si>
  <si>
    <t>TPA 45 MIL FLASHING 24" X 50' GRAY</t>
  </si>
  <si>
    <t>t505324T 503</t>
  </si>
  <si>
    <t>TPA 45 MIL FLASHING 24" X 50' TAN</t>
  </si>
  <si>
    <t>t505330503</t>
  </si>
  <si>
    <t>TPA 45 MIL FLASHING 30" X 50'</t>
  </si>
  <si>
    <t>t505345503</t>
  </si>
  <si>
    <t>TPA 45 MIL FIELD SHEET 78" X 108'</t>
  </si>
  <si>
    <t>t505345G503</t>
  </si>
  <si>
    <t>TPA 45 MIL FIELD SHEET 78" X 108' GRAY</t>
  </si>
  <si>
    <t>t505345T 503</t>
  </si>
  <si>
    <t>TPA 45 MIL FIELD SHEET 78" X 108' TAN</t>
  </si>
  <si>
    <t>t505360503</t>
  </si>
  <si>
    <t>TPA 60 MIL FIELD SHEET 78" X 90'</t>
  </si>
  <si>
    <t>t505360G503</t>
  </si>
  <si>
    <t>TPA 60 MIL FIELD SHEET 78" X 90' GRAY</t>
  </si>
  <si>
    <t>t505360T503</t>
  </si>
  <si>
    <t>TPA 60 MIL FIELD SHEET 78" X 90' TAN</t>
  </si>
  <si>
    <t>t505380503</t>
  </si>
  <si>
    <t>TPA 80 MIL FIELD SHEET 78" X 75'</t>
  </si>
  <si>
    <t>t505400805</t>
  </si>
  <si>
    <t>TPA BONDING ADHESIVE 5 GL</t>
  </si>
  <si>
    <t>t505410805</t>
  </si>
  <si>
    <t>TPA LV SINGLE PLY BONDING ADHESIVE 5 GL</t>
  </si>
  <si>
    <t>t505415503</t>
  </si>
  <si>
    <t>TPA WALKWAY ROLL 72 MIL GRAY 3' x 60'</t>
  </si>
  <si>
    <t>t505417503</t>
  </si>
  <si>
    <t>TPA WALKWAY ROLL SAFETY YELLOW 3' x 60'</t>
  </si>
  <si>
    <t>t505420805</t>
  </si>
  <si>
    <t>TREMCO FB WB SINGLE PLY BONDING ADH 5 GL</t>
  </si>
  <si>
    <t>t505445503</t>
  </si>
  <si>
    <t>TPA 45 MIL FLEECE BACK 76" X 90'</t>
  </si>
  <si>
    <t>t505445G 503</t>
  </si>
  <si>
    <t>TPA 45 MIL FLEECE BACK 76" X 90' GRAY</t>
  </si>
  <si>
    <t>t505445T 503</t>
  </si>
  <si>
    <t>TPA 45 MIL FLEECE BACK 76" X 90' TAN</t>
  </si>
  <si>
    <t>t505460503</t>
  </si>
  <si>
    <t>TPA 60 MIL FLEECE BACK 76" X 90'</t>
  </si>
  <si>
    <t>t505460G503</t>
  </si>
  <si>
    <t>TPA 60 MIL FLEECE BACK 76" X 90' GRAY</t>
  </si>
  <si>
    <t>t505460T503</t>
  </si>
  <si>
    <t>TPA 60 MIL FLEECE BACK 76" X 90' TAN</t>
  </si>
  <si>
    <t>t505480501</t>
  </si>
  <si>
    <t>TPA 80 MIL FLEECED BACK 76" X 75'</t>
  </si>
  <si>
    <t>t505610503</t>
  </si>
  <si>
    <t>TPA 60 MIL FIELD SHEET 120" x 100'</t>
  </si>
  <si>
    <t>t505610G503</t>
  </si>
  <si>
    <t>TPA 60 MIL FIELD SHEET 120" x 100' GRAY</t>
  </si>
  <si>
    <t>t505610T503</t>
  </si>
  <si>
    <t>TPA 60 MIL FIELD SHEET 120" x 100' TAN</t>
  </si>
  <si>
    <t>t505810503</t>
  </si>
  <si>
    <t>TPA 80 MIL FIELD SHEET 120" x 75'</t>
  </si>
  <si>
    <t>t5090503</t>
  </si>
  <si>
    <t>POLYTHERM ROOFING PLY 39.75" X 318'</t>
  </si>
  <si>
    <t>t5170503</t>
  </si>
  <si>
    <t>RAPID SET REINFORCING FABRIC 40" x 334'</t>
  </si>
  <si>
    <t>t6634729213</t>
  </si>
  <si>
    <t>ONESEAL ROOF SEALER GRAY 6/CASE</t>
  </si>
  <si>
    <t>t6637000213</t>
  </si>
  <si>
    <t>ONESEAL ROOF SEALER WHITE 6/CASE</t>
  </si>
  <si>
    <t>t66370002213</t>
  </si>
  <si>
    <t>ONESEAL ROOF SEALER BLACK 6/CASE</t>
  </si>
  <si>
    <t>t6637837213</t>
  </si>
  <si>
    <t>ONESEAL CLEAN &amp; PRIME 6/CASE</t>
  </si>
  <si>
    <t>t690304309</t>
  </si>
  <si>
    <t>TREMCO WATER BLOCK SEALANT 10.3 OZ-30/CS</t>
  </si>
  <si>
    <t>t695781801</t>
  </si>
  <si>
    <t>EPDM - TPO LV SINGLE PLY PRIMER 1 GL</t>
  </si>
  <si>
    <t>t8155601</t>
  </si>
  <si>
    <t>BURMASTIC GLASS PLY 33 LB</t>
  </si>
  <si>
    <t>t8533110501</t>
  </si>
  <si>
    <t>TREMPLY KEE PIPE FLASHING 1"-6" 8/CS</t>
  </si>
  <si>
    <t>t8533110G501</t>
  </si>
  <si>
    <t>TREMPLY KEE PIPE FLASHING 1"-6" 8/CS GRY</t>
  </si>
  <si>
    <t>t8533110T501</t>
  </si>
  <si>
    <t>TREMPLY KEE PIPE FLASHING 1"-6" 8/CS TAN</t>
  </si>
  <si>
    <t>t8533120501</t>
  </si>
  <si>
    <t>TREMPLY KEE UNIVERSAL CORNERS 20/CS</t>
  </si>
  <si>
    <t>t8533120G501</t>
  </si>
  <si>
    <t>TREMPLY KEE UNIVERSAL CORNERS 20/CS GRY</t>
  </si>
  <si>
    <t>t8533120T501</t>
  </si>
  <si>
    <t>TREMPLY KEE UNIVERSAL CORNERS 20/CS TAN</t>
  </si>
  <si>
    <t>t8533140503</t>
  </si>
  <si>
    <t>TREMPLY KEE WALKWAY 5/32"x30"x50' YLW</t>
  </si>
  <si>
    <t>t8533140G503</t>
  </si>
  <si>
    <t>TREMPLY KEE WALKWAY 5/32"x30"x50' GRAY</t>
  </si>
  <si>
    <t>t8533150503</t>
  </si>
  <si>
    <t>TREMPLY KEE PROTECTION MAT 0.080"x28"x43'</t>
  </si>
  <si>
    <t>t8533160503</t>
  </si>
  <si>
    <t>TREMPLY KEE 60 MIL NON-REINF 24" x 50'</t>
  </si>
  <si>
    <t>t8533160G503</t>
  </si>
  <si>
    <t>TREMPLY KEE 60 MIL NON-REINF 24" x 50' GRY</t>
  </si>
  <si>
    <t>t8533160T503</t>
  </si>
  <si>
    <t>TREMPLY KEE 60 MIL NON-REINF 24" x 50' TAN</t>
  </si>
  <si>
    <t>t8533170501</t>
  </si>
  <si>
    <t>TREMPLY KEE T-JOINT COVERS 100/CS</t>
  </si>
  <si>
    <t>t8533170G501</t>
  </si>
  <si>
    <t>TREMPLY KEE T-JOINT COVERS GRAY 100/CS</t>
  </si>
  <si>
    <t>t8533170T501</t>
  </si>
  <si>
    <t>TREMPLY KEE T-JOINT COVERS TAN 100/CS</t>
  </si>
  <si>
    <t>t8533180501</t>
  </si>
  <si>
    <t>TREMPLY KEE STRIP-IN 6" x 100'</t>
  </si>
  <si>
    <t>t8533180G501</t>
  </si>
  <si>
    <t>TREMPLY KEE STRIP-IN 6" x 100' GRAY</t>
  </si>
  <si>
    <t>t8533180T501</t>
  </si>
  <si>
    <t>TREMPLY KEE STRIP-IN 6" x 100'TAN</t>
  </si>
  <si>
    <t>t8533200805</t>
  </si>
  <si>
    <t>TREMPLY KEE LV BONDING ADHESIVE 5 GL</t>
  </si>
  <si>
    <t>t8533222805</t>
  </si>
  <si>
    <t>TREMPLY KEE FB WB II BONDING ADHESIVE 5 GL</t>
  </si>
  <si>
    <t>t8533233805</t>
  </si>
  <si>
    <t>TREMPLY KEE FB BONDING ADHESIVE 5 GL</t>
  </si>
  <si>
    <t>t8533245503</t>
  </si>
  <si>
    <t>TREMPLY KEE 45 MIL 37" x 100'</t>
  </si>
  <si>
    <t>t8533245G503</t>
  </si>
  <si>
    <t>TREMPLY KEE 45 MIL 37" x 100' GRAY</t>
  </si>
  <si>
    <t>t8533245T503</t>
  </si>
  <si>
    <t>TREMPLY KEE 45 MIL 37" x 100' TAN</t>
  </si>
  <si>
    <t>t8533260503</t>
  </si>
  <si>
    <t>TREMPLY KEE 60 MIL 37" x 80'</t>
  </si>
  <si>
    <t>t8533260G503</t>
  </si>
  <si>
    <t>TREMPLY KEE 60 MIL 37" x 80' GRAY</t>
  </si>
  <si>
    <t>t8533260T503</t>
  </si>
  <si>
    <t>TREMPLY KEE 60 MIL 37" x 80' TAN</t>
  </si>
  <si>
    <t>t8533545503</t>
  </si>
  <si>
    <t>TREMPLY KEE 45 MIL 50" x 100'</t>
  </si>
  <si>
    <t>t8533545G503</t>
  </si>
  <si>
    <t>TREMPLY KEE 45 MIL 50" x 100' GRAY</t>
  </si>
  <si>
    <t>t8533645503</t>
  </si>
  <si>
    <t>TREMPLY KEE 45 MIL 74" x 100'</t>
  </si>
  <si>
    <t>t8533645FB503</t>
  </si>
  <si>
    <t>TREMPLY KEE FB 45 MIL 72" x 80'</t>
  </si>
  <si>
    <t>t8533645FBG503</t>
  </si>
  <si>
    <t>TREMPLY KEE FB 45 MIL 72" x 80' GRAY</t>
  </si>
  <si>
    <t>t8533645FBT503</t>
  </si>
  <si>
    <t>TREMPLY KEE FB 45 MIL 72" x 80' TAN</t>
  </si>
  <si>
    <t>t8533645G503</t>
  </si>
  <si>
    <t>TREMPLY KEE 45 MIL 74" x 100' GRAY</t>
  </si>
  <si>
    <t>t8533645T503</t>
  </si>
  <si>
    <t>TREMPLY KEE 45 MIL 74" x 100' TAN</t>
  </si>
  <si>
    <t>t8533660503</t>
  </si>
  <si>
    <t>TREMPLY KEE 60 MIL 74" x 80'</t>
  </si>
  <si>
    <t>t8533660FB503</t>
  </si>
  <si>
    <t>TREMPLY KEE FB 60 MIL 72" x 80'</t>
  </si>
  <si>
    <t>t8533660FBG503</t>
  </si>
  <si>
    <t>TREMPLY KEE FB 60 MIL 72" x 80' GRAY</t>
  </si>
  <si>
    <t>t8533660FBT503</t>
  </si>
  <si>
    <t>TREMPLY KEE FB 60 MIL 72" x 80' TAN</t>
  </si>
  <si>
    <t>t8533660G503</t>
  </si>
  <si>
    <t>TREMPLY KEE 60 MIL 74" x 80' GRAY</t>
  </si>
  <si>
    <t>t8533660T503</t>
  </si>
  <si>
    <t>TREMPLY KEE 60 MIL 74" x 80' TAN</t>
  </si>
  <si>
    <t>t8533945503</t>
  </si>
  <si>
    <t>TREMPLY KEE 45 MIL 100" x 100'</t>
  </si>
  <si>
    <t>t8533945G503</t>
  </si>
  <si>
    <t>TREMPLY KEE 45 MIL 100" x 100' GRAY</t>
  </si>
  <si>
    <t>t876041320</t>
  </si>
  <si>
    <t>TREMSEAL S ALUMINUM STONE - 20 CTG</t>
  </si>
  <si>
    <t>t876041A320</t>
  </si>
  <si>
    <t>t876043320</t>
  </si>
  <si>
    <t>TREMSEAL S WHITE - 20 CTG</t>
  </si>
  <si>
    <t>t876043A320</t>
  </si>
  <si>
    <t>t876044320</t>
  </si>
  <si>
    <t>TREMSEAL S BLACK - 20 CTG</t>
  </si>
  <si>
    <t>t876044A320</t>
  </si>
  <si>
    <t>t8761015503</t>
  </si>
  <si>
    <t>TREMSEAL EJ - 1" x 1.5" BLACK - 8 ROLLS/CS</t>
  </si>
  <si>
    <t>t8761520503</t>
  </si>
  <si>
    <t>TREMSEAL EJ - 1.5" x 2.0" BLACK - 6 ROLLS/CS</t>
  </si>
  <si>
    <t>t8762020503</t>
  </si>
  <si>
    <t>TREMSEAL EJ - 2" x 2" BLACK - 6 ROLLS/CS</t>
  </si>
  <si>
    <t>t876210304</t>
  </si>
  <si>
    <t>TREMSEAL PITCH POCKET SEALER 4/CS</t>
  </si>
  <si>
    <t>t876300304</t>
  </si>
  <si>
    <t>TREMCO LF ADHESIVE</t>
  </si>
  <si>
    <t>4 SETS/CS</t>
  </si>
  <si>
    <t>t876450309</t>
  </si>
  <si>
    <t>TREMSEAL PRO WHITE - 30 TUBES/CS</t>
  </si>
  <si>
    <t>t876450385</t>
  </si>
  <si>
    <t>TREMSEAL PRO WHITE 15 SSG/CS</t>
  </si>
  <si>
    <t>t876451309</t>
  </si>
  <si>
    <t>TREMSEAL PRO ALUMINUM STONE - 30 TUBES/CS</t>
  </si>
  <si>
    <t>t876451385</t>
  </si>
  <si>
    <t>TREMSEAL PRO ALUMINUM STONE 15 SSG/CS</t>
  </si>
  <si>
    <t>t876452309</t>
  </si>
  <si>
    <t>TREMSEAL PRO BRONZE - 30 TUBES/CS</t>
  </si>
  <si>
    <t>t876452385</t>
  </si>
  <si>
    <t>TREMSEAL PRO BRONZE 15 SSG/CS</t>
  </si>
  <si>
    <t>t876453309</t>
  </si>
  <si>
    <t>TREMSEAL PRO LIMESTONE - 30 TUBES/CS</t>
  </si>
  <si>
    <t>t876454309</t>
  </si>
  <si>
    <t>TREMSEAL PRO BLACK - 30 TUBES/CS</t>
  </si>
  <si>
    <t>t876454385</t>
  </si>
  <si>
    <t>TREMSEAL PRO BLACK 15 SSG/CS</t>
  </si>
  <si>
    <t>t9190501</t>
  </si>
  <si>
    <t>TREMTRED WALKWAY PANEL 3' x 4'</t>
  </si>
  <si>
    <t>t94001801</t>
  </si>
  <si>
    <t>DECKTITE WDS SEALER 1 GL</t>
  </si>
  <si>
    <t>t94001805</t>
  </si>
  <si>
    <t>DECKTITE WDS SEALER 5 GL</t>
  </si>
  <si>
    <t>t94200801</t>
  </si>
  <si>
    <t>DECKTITE WDS EQUIP CLEANER 1 GL</t>
  </si>
  <si>
    <t>t974805R333</t>
  </si>
  <si>
    <t>PERMAROOF GWS LIMESTONE 12 TUBES/CASE</t>
  </si>
  <si>
    <t>t98002501</t>
  </si>
  <si>
    <t>DECKTITE WDS SEAL BACKPACK</t>
  </si>
  <si>
    <t>t98004501</t>
  </si>
  <si>
    <t>DECKTITE WDS SPRAY GUN 9:1</t>
  </si>
  <si>
    <t>t987846501</t>
  </si>
  <si>
    <t>POWERPLY GRANULES TAN 50 LB</t>
  </si>
  <si>
    <t>tFG12HOOPUV</t>
  </si>
  <si>
    <t>FG 12' SAFETY CAGE KIT</t>
  </si>
  <si>
    <t>tFG16HOOPUV</t>
  </si>
  <si>
    <t>FG 16' SAFETY CAGE KIT</t>
  </si>
  <si>
    <t>tFG20HOOPUV</t>
  </si>
  <si>
    <t>FG 20' SAFETY CAGE KIT</t>
  </si>
  <si>
    <t>tFG23HOOPUV</t>
  </si>
  <si>
    <t>FG 23' SAFETY CAGE KIT</t>
  </si>
  <si>
    <t>tFG254010</t>
  </si>
  <si>
    <t>FP STAIR TREAD COVER 1/8" 10" X 12'</t>
  </si>
  <si>
    <t>tFG254020</t>
  </si>
  <si>
    <t>FP STAIR TREAD COVER 1/4" 10" X 12'</t>
  </si>
  <si>
    <t>tFG254110</t>
  </si>
  <si>
    <t>FP STAIR TREAD COVER 1/8" 11" X 12'</t>
  </si>
  <si>
    <t>tFG254120</t>
  </si>
  <si>
    <t>FP STAIR TREAD COVER 1/4" 11" X 12'</t>
  </si>
  <si>
    <t>tFG254210</t>
  </si>
  <si>
    <t>FP STAIR TREAD COVER 1/8" 12" X 12'</t>
  </si>
  <si>
    <t>tFG254220</t>
  </si>
  <si>
    <t>FP STAIR TREAD COVER 1/4" 12" X 12'</t>
  </si>
  <si>
    <t>tFG254810</t>
  </si>
  <si>
    <t>FP STAIR TREAD COVER 1/8" 8" X 12'</t>
  </si>
  <si>
    <t>tFG254820</t>
  </si>
  <si>
    <t>FP STAIR TREAD COVER 1/4" 8" X 12'</t>
  </si>
  <si>
    <t>tFG254910</t>
  </si>
  <si>
    <t>FP STAIR TREAD COVER 1/8" 9" X 12'</t>
  </si>
  <si>
    <t>tFG254920</t>
  </si>
  <si>
    <t>FP STAIR TREAD COVER 1/4" 9" X 12'</t>
  </si>
  <si>
    <t>tFG264405</t>
  </si>
  <si>
    <t>FG MOLDED GRATING YLW 1 1/2"-3' X 10'</t>
  </si>
  <si>
    <t>tFG264406</t>
  </si>
  <si>
    <t>FG MOLDED GRATING GRAY 1 1/2"-3' X 10'</t>
  </si>
  <si>
    <t>tFG264415</t>
  </si>
  <si>
    <t>FG MOLDED GRATING YLW 1"-3' X 10'</t>
  </si>
  <si>
    <t>tFG264416</t>
  </si>
  <si>
    <t>FG MOLDED GRATING GRAY 1"-3' X 10'</t>
  </si>
  <si>
    <t>tFG264455</t>
  </si>
  <si>
    <t>FG MOLDED GRATING YLW 1 1/2"-4' X 8'</t>
  </si>
  <si>
    <t>tFG264456</t>
  </si>
  <si>
    <t>FG MOLDED GRATING GRAY 1 1/2"-4' X 8'</t>
  </si>
  <si>
    <t>tFG264465</t>
  </si>
  <si>
    <t>FG MOLDED GRATING YLW 1"-4' X 8'</t>
  </si>
  <si>
    <t>tFG264466</t>
  </si>
  <si>
    <t>FG MOLDED GRATING GRAY 1"-4' X 8'</t>
  </si>
  <si>
    <t>tFG264505</t>
  </si>
  <si>
    <t>FG MOLDED GRATING YLW 1 1/2"-5 'X 10'</t>
  </si>
  <si>
    <t>tFG264506</t>
  </si>
  <si>
    <t>FG MOLDED GRATING GRAY 1 1/2"-5' X 10'</t>
  </si>
  <si>
    <t>tFG264605</t>
  </si>
  <si>
    <t>FG MOLDED GRATING YLW 1 1/2"-4' X 12'</t>
  </si>
  <si>
    <t>tFG264606</t>
  </si>
  <si>
    <t>FG MOLDED GRATING GRAY 1 1/2"-4' X 12'</t>
  </si>
  <si>
    <t>tFG264615</t>
  </si>
  <si>
    <t>FG MOLDED GRATING YLW 1"-4' X 12'</t>
  </si>
  <si>
    <t>tFG264616</t>
  </si>
  <si>
    <t>FG MOLDED GRATING GRAY 1"-4' X 12'</t>
  </si>
  <si>
    <t>tFG264805</t>
  </si>
  <si>
    <t>FG FIBERTRED TREAD YLW 1 1/2"-22-1/4"X120"</t>
  </si>
  <si>
    <t>tFG264806</t>
  </si>
  <si>
    <t>FG FIBERTRED TREAD GRY 1 1/2"-22-1/4"X120"</t>
  </si>
  <si>
    <t>tFG264855</t>
  </si>
  <si>
    <t>FG FIBERTRED TREAD YLW 1 1/2"-25-1/4"X144"</t>
  </si>
  <si>
    <t>tFG264856</t>
  </si>
  <si>
    <t>FG FIBERTRED TREAD GRY 1 1/2"-25-1/4"X144"</t>
  </si>
  <si>
    <t>tFG4445080</t>
  </si>
  <si>
    <t>FG 8' LADDER VEFR YLW W/UV COATING</t>
  </si>
  <si>
    <t>tFG4445100</t>
  </si>
  <si>
    <t>FG 10' LADDER VEFR YLW W/UV COATING</t>
  </si>
  <si>
    <t>tFG4445120</t>
  </si>
  <si>
    <t>FG 12' LADDER VEFR YLW W/UV COATING</t>
  </si>
  <si>
    <t>tFG4445140</t>
  </si>
  <si>
    <t>FG 14' LADDER VEFR YLW W/UV COATING</t>
  </si>
  <si>
    <t>tFG4445160</t>
  </si>
  <si>
    <t>FG 16' LADDER VEFR YLW W/UV COATING</t>
  </si>
  <si>
    <t>tFG4445180</t>
  </si>
  <si>
    <t>FG 18' LADDER VEFR YLW W/UV COATING</t>
  </si>
  <si>
    <t>tFG4445200</t>
  </si>
  <si>
    <t>FG 20' LADDER VEFR YLW W/UV COATING</t>
  </si>
  <si>
    <t>tFG4445240</t>
  </si>
  <si>
    <t>FG 24' LADDER VEFR YLW W/UV COATING</t>
  </si>
  <si>
    <t>tFG4447080</t>
  </si>
  <si>
    <t>FG 8' LADDER VEFR GRY W/UV COATING</t>
  </si>
  <si>
    <t>tFG4447100</t>
  </si>
  <si>
    <t>FG 10' LADDER VEFR GRY W/UV COATING</t>
  </si>
  <si>
    <t>tFG4447120</t>
  </si>
  <si>
    <t>FG 12' LADDER VEFR GRY W/UV COATING</t>
  </si>
  <si>
    <t>tFG4447140</t>
  </si>
  <si>
    <t>FG 14' LADDER VEFR GRY W/UV COATING</t>
  </si>
  <si>
    <t>tFG4447160</t>
  </si>
  <si>
    <t>FG 16' LADDER VEFR GRY W/UV COATING</t>
  </si>
  <si>
    <t>tFG4447180</t>
  </si>
  <si>
    <t>FG 18' LADDER VEFR GRY W/UV COATING</t>
  </si>
  <si>
    <t>tFG4447200</t>
  </si>
  <si>
    <t>FG 20' LADDER VEFR GRY W/UV COATING</t>
  </si>
  <si>
    <t>tFG4447240</t>
  </si>
  <si>
    <t>FG 24' LADDER VEFR GRY W/UV COATING</t>
  </si>
  <si>
    <t>tFG44565080</t>
  </si>
  <si>
    <t>FG 8' LADDER &amp; WALL MOUNT VEFR YLW-UV CTG</t>
  </si>
  <si>
    <t>tFG44565100</t>
  </si>
  <si>
    <t>FG 10' LADDER &amp; WALL MOUNT VEFR YLW-UV CTG</t>
  </si>
  <si>
    <t>tFG44565120</t>
  </si>
  <si>
    <t>FG 12' LADDER &amp; WALL MOUNT VEFR YLW-UV CTG</t>
  </si>
  <si>
    <t>tFG44565140</t>
  </si>
  <si>
    <t>FG 14' LADDER &amp; WALL MOUNT VEFR YLW-UV CTG</t>
  </si>
  <si>
    <t>tFG44565160</t>
  </si>
  <si>
    <t>FG 16' LADDER &amp; WALL MOUNT VEFR YLW-UV CTG</t>
  </si>
  <si>
    <t>tFG44565180</t>
  </si>
  <si>
    <t>FG 18' LADDER &amp; WALL MOUNT VEFR YLW-UV CTG</t>
  </si>
  <si>
    <t>tFG44565200</t>
  </si>
  <si>
    <t>FG 20' LADDER &amp; WALL MOUNT VEFR YLW-UV CTG</t>
  </si>
  <si>
    <t>tFG44565240</t>
  </si>
  <si>
    <t>FG 24' LADDER &amp; WALL MOUNT VEFR YLW-UV CTG</t>
  </si>
  <si>
    <t>tFG447708.1</t>
  </si>
  <si>
    <t>FG 8' LADDER &amp; WALL MOUNT VEFR GRY-UV CTG</t>
  </si>
  <si>
    <t>tFG447710.1</t>
  </si>
  <si>
    <t>FG 10' LADDER &amp; WALL MOUNT VEFR GRY-UV CTG</t>
  </si>
  <si>
    <t>tFG447712.1</t>
  </si>
  <si>
    <t>FG 12' LADDER &amp; WALL MOUNT VEFR GRY-UV CTG</t>
  </si>
  <si>
    <t>tFG447714.1</t>
  </si>
  <si>
    <t>FG 14' LADDER &amp; WALL MOUNT VEFR GRY-UV CTG</t>
  </si>
  <si>
    <t>tFG447716.1</t>
  </si>
  <si>
    <t>FG 16' LADDER &amp; WALL MOUNT VEFR GRY-UV CTG</t>
  </si>
  <si>
    <t>tFG447718.1</t>
  </si>
  <si>
    <t>FG 18' LADDER &amp; WALL MOUNT VEFR GRY-UV CTG</t>
  </si>
  <si>
    <t>tFG447720.1</t>
  </si>
  <si>
    <t>FG 20' LADDER &amp; WALL MOUNT VEFR GRY-UV CTG</t>
  </si>
  <si>
    <t>tFG447724.1</t>
  </si>
  <si>
    <t>FG 24' LADDER &amp; WALL MOUNT VEFR GRY-UV CTG</t>
  </si>
  <si>
    <t>tFG448400</t>
  </si>
  <si>
    <t>FG BOTTOM WALL MOUNT KIT ISOFR DKGRY</t>
  </si>
  <si>
    <t>tFG4484000</t>
  </si>
  <si>
    <t>FG BOTTOM WALL MOUNT KIT ISOFR YELLOW</t>
  </si>
  <si>
    <t>tFG448500</t>
  </si>
  <si>
    <t>FG WALL MOUNT KIT ISOFR DKGRY</t>
  </si>
  <si>
    <t>tFG4485000</t>
  </si>
  <si>
    <t>FG WALL MOUNT KIT ISOFR YELLOW</t>
  </si>
  <si>
    <t>tFG448600</t>
  </si>
  <si>
    <t>FG LADDER RAIL SPLICE KIT</t>
  </si>
  <si>
    <t>tFG448700</t>
  </si>
  <si>
    <t>FG FLOOR MOUNT KIT ISOFR DKGRY</t>
  </si>
  <si>
    <t>tFG4487000</t>
  </si>
  <si>
    <t>FG FLOOR MOUNT KIT ISOFR YELLOW</t>
  </si>
  <si>
    <t>tFG448901.1</t>
  </si>
  <si>
    <t>FG 24" WALK-THRU KIT 3'-6" HIGH VEFR YLW</t>
  </si>
  <si>
    <t>tFG448902</t>
  </si>
  <si>
    <t>FG 24" WALK-THRU KIT 3'-6" HIGH VEFR GRY</t>
  </si>
  <si>
    <t>tFG5041210</t>
  </si>
  <si>
    <t>FG HATCH GUARD 30-36"x30-54"/GATE YLW FRP</t>
  </si>
  <si>
    <t>tFG5041212</t>
  </si>
  <si>
    <t>FG HATCH GUARD 30-36"x30-54"/GATE GRAY FRP</t>
  </si>
  <si>
    <t>tFG5041310</t>
  </si>
  <si>
    <t>FG HATCH GUARD 30-36x96-114"/GATE YLW FRP</t>
  </si>
  <si>
    <t>tFG5041312</t>
  </si>
  <si>
    <t>FG HATCH GUARD 30-36x96-114"/GATE GRAY FRP</t>
  </si>
  <si>
    <t>tFG5041410</t>
  </si>
  <si>
    <t>FG HATCH GUARD 42-48"x42-60"/GATE YLW FRP</t>
  </si>
  <si>
    <t>tFG5041412</t>
  </si>
  <si>
    <t>FG HATCH GUARD 42-48"x42-60"/GATE GRAY FRP</t>
  </si>
  <si>
    <t>tFG5041510</t>
  </si>
  <si>
    <t>FG 6' ACCESS POINT KIT YELLOW</t>
  </si>
  <si>
    <t>tFG5041512</t>
  </si>
  <si>
    <t>FG 6' ACCESS POINT KIT GRAY</t>
  </si>
  <si>
    <t>tFG5041800</t>
  </si>
  <si>
    <t>FG SLIMLINE WARNING LINE KIT HD YELLOW</t>
  </si>
  <si>
    <t>tFG5041802</t>
  </si>
  <si>
    <t>FG SLIMLINE WARNING LINE KIT HD GRAY</t>
  </si>
  <si>
    <t>tFG5041810</t>
  </si>
  <si>
    <t>FG SLIMLINE WARNING LINE YELLOW BASE KIT</t>
  </si>
  <si>
    <t>tFG5041812</t>
  </si>
  <si>
    <t>FG SLIMLINE WARNING LINE GRAY BASE KIT</t>
  </si>
  <si>
    <t>tFG505240.1</t>
  </si>
  <si>
    <t>FG 24" SAFETY GATE YELLOW KIT</t>
  </si>
  <si>
    <t>tFG505242.1</t>
  </si>
  <si>
    <t>FG 24" SAFETY GATE GRAY KIT</t>
  </si>
  <si>
    <t>tFG505300.1</t>
  </si>
  <si>
    <t>FG 30" SAFETY GATE YELLOW KIT</t>
  </si>
  <si>
    <t>tFG505302.1</t>
  </si>
  <si>
    <t>FG 30" SAFETY GATE GRAY KIT</t>
  </si>
  <si>
    <t>tFG505360.1</t>
  </si>
  <si>
    <t>FG 36" SAFETY GATE YELLOW KIT</t>
  </si>
  <si>
    <t>tFG505362.1</t>
  </si>
  <si>
    <t>FG 36" SAFETY GATE GRAY KIT</t>
  </si>
  <si>
    <t>tFG710120</t>
  </si>
  <si>
    <t>FG F CLIP FOR 1" DEEP MOLDED GRATING</t>
  </si>
  <si>
    <t>tFG710190</t>
  </si>
  <si>
    <t>FG F CLIP FOR 1.5 DEEP MOLDED GRATING</t>
  </si>
  <si>
    <t>tFG710200</t>
  </si>
  <si>
    <t>FG M CLIP ASSEMBLY</t>
  </si>
  <si>
    <t>tFG790050</t>
  </si>
  <si>
    <t>FG RUBBER FEET for 1-1/2" &amp; 2" MESH GRATING</t>
  </si>
  <si>
    <t>tFG790051</t>
  </si>
  <si>
    <t>FG RUBBER CONNECTOR</t>
  </si>
  <si>
    <t>tFG790053</t>
  </si>
  <si>
    <t>FG RUBBER CONNECTOR 2.0</t>
  </si>
  <si>
    <t>tFG793105</t>
  </si>
  <si>
    <t>FG DYNAWEIGHT FALL PROTECTION SYSTEM</t>
  </si>
  <si>
    <t>tFG793106</t>
  </si>
  <si>
    <t>FG TRANSPORT CART</t>
  </si>
  <si>
    <t>tFG793107</t>
  </si>
  <si>
    <t>FG WARNING LINE KIT LD (Light Duty)</t>
  </si>
  <si>
    <t>tFG793109</t>
  </si>
  <si>
    <t>FG SLIMLINE WARNING LINE 100' KIT</t>
  </si>
  <si>
    <t>tFG793109.1</t>
  </si>
  <si>
    <t>FG SLIMLINE WARNING LINE WIRE ROPE CLAMP</t>
  </si>
  <si>
    <t>tFG793109.2</t>
  </si>
  <si>
    <t>FG SLIMLINE WARNING LINE QUICK LINK</t>
  </si>
  <si>
    <t>tHS1935501</t>
  </si>
  <si>
    <t>HYDROSHED - 1 GL</t>
  </si>
  <si>
    <t>tHS1935505</t>
  </si>
  <si>
    <t>HYDROSHED - 5 GL</t>
  </si>
  <si>
    <t>tHS1935555</t>
  </si>
  <si>
    <t>HYDROSHED - 55 GL</t>
  </si>
  <si>
    <t>tRTPREKLEEN</t>
  </si>
  <si>
    <t>ROOFTEC PREKLEEN  6 PINTS/CASE</t>
  </si>
  <si>
    <t>tRTPREKLEEN05</t>
  </si>
  <si>
    <t>ROOFTEC PREKLEEN  5 GL</t>
  </si>
  <si>
    <t>tRTRENEW</t>
  </si>
  <si>
    <t>ROOFTEC RENEW  5 GL PAIL</t>
  </si>
  <si>
    <t>g4376</t>
  </si>
  <si>
    <t>StressPly Plus</t>
  </si>
  <si>
    <t>VersiPly 40 Fiberglass</t>
  </si>
  <si>
    <t>g9332-12</t>
  </si>
  <si>
    <t>Garla-Flex 12L</t>
  </si>
  <si>
    <t>g9332-20</t>
  </si>
  <si>
    <t>Garla-Flex 19L</t>
  </si>
  <si>
    <t>g7110-20</t>
  </si>
  <si>
    <t>Flashing Bond Cold-applied</t>
  </si>
  <si>
    <t>g1650-5</t>
  </si>
  <si>
    <t>Gar-Rock Fast-setting</t>
  </si>
  <si>
    <t>g2413</t>
  </si>
  <si>
    <t>Seal-Tite Single Part STPE Pitch Pocket</t>
  </si>
  <si>
    <t>g2130-truwhite</t>
  </si>
  <si>
    <t>Tuff-Stuff MS True White Moisture</t>
  </si>
  <si>
    <t>CASE</t>
  </si>
  <si>
    <t>g2139-white</t>
  </si>
  <si>
    <t>Green-Lock Sealant XL - White Single</t>
  </si>
  <si>
    <t>g2138-blk</t>
  </si>
  <si>
    <t>Green-Lock Structural Adh</t>
  </si>
  <si>
    <t>HPR Torch Base Fiberglass-reinforced</t>
  </si>
  <si>
    <t>g4840-6</t>
  </si>
  <si>
    <t>GarMesh 6" SBS</t>
  </si>
  <si>
    <t>FlexBase 80 Fiberglass</t>
  </si>
  <si>
    <t>WeatherScreen Rubberized</t>
  </si>
  <si>
    <t>DRUM</t>
  </si>
  <si>
    <t>Typical Crew of 6 Workers (1 Foreman, 2 Roofers, 3 Labourers)</t>
  </si>
  <si>
    <t>Jan. 2023 - Dec. 2023</t>
  </si>
  <si>
    <t>emp#</t>
  </si>
  <si>
    <t>2023 Gross Pay</t>
  </si>
  <si>
    <t>hours wkred</t>
  </si>
  <si>
    <t>hr wage</t>
  </si>
  <si>
    <t>Oct. 2023 - Oct. 2024</t>
  </si>
  <si>
    <t>2024 Pay (w Employer Cost)</t>
  </si>
  <si>
    <t>Jan. 1, 2024 - Dec. 31, 2024</t>
  </si>
  <si>
    <t>Burden Rate</t>
  </si>
  <si>
    <t>Roofer</t>
  </si>
  <si>
    <t>Labourer</t>
  </si>
  <si>
    <t>Foreman</t>
  </si>
  <si>
    <t>Oct. 31, 2024 - Nov. 1, 2025</t>
  </si>
  <si>
    <t>2025 Pay (w Employer Cost)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</si>
</sst>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&quot; $&quot;#,##0.00&quot; &quot;;&quot; $(&quot;#,##0.00&quot;)&quot;;&quot; $-&quot;#&quot; &quot;;@&quot; &quot;"/>
    <numFmt numFmtId="166" formatCode="0.0%"/>
    <numFmt numFmtId="167" formatCode="0.0000"/>
    <numFmt numFmtId="168" formatCode="[$$-1009]#,##0.00;[Red]&quot;-&quot;[$$-1009]#,##0.00"/>
    <numFmt numFmtId="169" formatCode="0.0"/>
    <numFmt numFmtId="170" formatCode="&quot;$&quot;#,##0"/>
  </numFmts>
  <fonts count="93">
    <font>
      <sz val="11"/>
      <color rgb="FF000000"/>
      <name val="Arial2"/>
    </font>
    <font>
      <sz val="18"/>
      <color theme="1"/>
      <name val="Calibri"/>
      <family val="2"/>
      <scheme val="minor"/>
    </font>
    <font>
      <sz val="11"/>
      <color rgb="FF000000"/>
      <name val="Arial2"/>
    </font>
    <font>
      <b/>
      <i/>
      <sz val="16"/>
      <color rgb="FF000000"/>
      <name val="Arial2"/>
    </font>
    <font>
      <b/>
      <i/>
      <u/>
      <sz val="11"/>
      <color rgb="FF000000"/>
      <name val="Arial2"/>
    </font>
    <font>
      <b/>
      <sz val="10"/>
      <color rgb="FF000000"/>
      <name val="Arial2"/>
    </font>
    <font>
      <b/>
      <sz val="11"/>
      <color rgb="FF000000"/>
      <name val="Arial2"/>
    </font>
    <font>
      <sz val="10"/>
      <color rgb="FF000000"/>
      <name val="Arial2"/>
    </font>
    <font>
      <sz val="10"/>
      <color rgb="FFFF0000"/>
      <name val="Arial2"/>
    </font>
    <font>
      <sz val="11"/>
      <color rgb="FFFF0000"/>
      <name val="Arial2"/>
    </font>
    <font>
      <b/>
      <sz val="16"/>
      <color rgb="FF000000"/>
      <name val="Arial2"/>
    </font>
    <font>
      <b/>
      <sz val="10"/>
      <color rgb="FF000000"/>
      <name val="Arial1"/>
    </font>
    <font>
      <sz val="8"/>
      <color rgb="FF000000"/>
      <name val="Arial2"/>
    </font>
    <font>
      <b/>
      <u/>
      <sz val="10"/>
      <color rgb="FF000000"/>
      <name val="Arial2"/>
    </font>
    <font>
      <u/>
      <sz val="10"/>
      <color rgb="FF000000"/>
      <name val="Arial2"/>
    </font>
    <font>
      <b/>
      <sz val="8"/>
      <color rgb="FF000000"/>
      <name val="Arial2"/>
    </font>
    <font>
      <b/>
      <sz val="9"/>
      <color rgb="FF000000"/>
      <name val="Arial2"/>
    </font>
    <font>
      <sz val="10"/>
      <color rgb="FF000000"/>
      <name val="Arial1"/>
    </font>
    <font>
      <sz val="11"/>
      <color theme="1" tint="0.24994659260841701"/>
      <name val="Calibri Light"/>
      <family val="2"/>
      <scheme val="major"/>
    </font>
    <font>
      <b/>
      <sz val="13"/>
      <color theme="7"/>
      <name val="Calibri Light"/>
      <family val="2"/>
      <scheme val="major"/>
    </font>
    <font>
      <b/>
      <sz val="13"/>
      <color theme="1" tint="0.24994659260841701"/>
      <name val="Calibri Light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42"/>
      <color theme="7"/>
      <name val="Calibri Light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b/>
      <sz val="10"/>
      <color rgb="FFFF0000"/>
      <name val="Arial2"/>
    </font>
    <font>
      <b/>
      <i/>
      <u/>
      <sz val="10"/>
      <color rgb="FF000000"/>
      <name val="Arial2"/>
    </font>
    <font>
      <b/>
      <sz val="9"/>
      <color rgb="FFFF0000"/>
      <name val="Arial2"/>
    </font>
    <font>
      <b/>
      <sz val="10"/>
      <color rgb="FF0000FF"/>
      <name val="Arial2"/>
    </font>
    <font>
      <sz val="8"/>
      <name val="Arial2"/>
    </font>
    <font>
      <sz val="12"/>
      <color rgb="FF000000"/>
      <name val="Calibri"/>
      <family val="2"/>
    </font>
    <font>
      <b/>
      <sz val="9.5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color rgb="FF000000"/>
      <name val="Arial"/>
      <family val="2"/>
    </font>
    <font>
      <sz val="16"/>
      <color rgb="FFFF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theme="0"/>
      <name val="Arial"/>
      <family val="2"/>
    </font>
    <font>
      <sz val="16"/>
      <color rgb="FF000000"/>
      <name val="Arial"/>
      <family val="2"/>
    </font>
    <font>
      <sz val="10"/>
      <color theme="5"/>
      <name val="Arial"/>
      <family val="2"/>
    </font>
    <font>
      <b/>
      <sz val="11"/>
      <color rgb="FF000000"/>
      <name val="Arial"/>
      <family val="2"/>
    </font>
    <font>
      <sz val="11"/>
      <color rgb="FFFF0000"/>
      <name val="Arial"/>
      <family val="2"/>
    </font>
    <font>
      <sz val="11"/>
      <color rgb="FFFFC000"/>
      <name val="Arial"/>
      <family val="2"/>
    </font>
    <font>
      <sz val="11"/>
      <name val="Arial"/>
      <family val="2"/>
    </font>
    <font>
      <b/>
      <sz val="11"/>
      <color rgb="FF3366FF"/>
      <name val="Arial"/>
      <family val="2"/>
    </font>
    <font>
      <b/>
      <sz val="13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9"/>
      <name val="Calibri"/>
      <family val="2"/>
      <scheme val="minor"/>
    </font>
    <font>
      <b/>
      <sz val="22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8"/>
      <color rgb="FF00000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11"/>
      <color rgb="FFFF0000"/>
      <name val="Arial2"/>
    </font>
    <font>
      <sz val="8"/>
      <name val="Calibri"/>
      <family val="2"/>
      <scheme val="minor"/>
    </font>
    <font>
      <sz val="18"/>
      <color rgb="FFFF0000"/>
      <name val="Arial2"/>
    </font>
    <font>
      <sz val="12"/>
      <color rgb="FFFF0000"/>
      <name val="Arial2"/>
    </font>
    <font>
      <b/>
      <sz val="14"/>
      <color rgb="FF000000"/>
      <name val="Arial"/>
      <family val="2"/>
    </font>
    <font>
      <b/>
      <sz val="11"/>
      <color rgb="FFFFC000"/>
      <name val="Arial"/>
      <family val="2"/>
    </font>
    <font>
      <sz val="11"/>
      <color theme="1" tint="0.34998626667073579"/>
      <name val="Calibri Light"/>
      <family val="2"/>
      <scheme val="major"/>
    </font>
    <font>
      <sz val="11"/>
      <color theme="5"/>
      <name val="Arial2"/>
    </font>
    <font>
      <b/>
      <sz val="14"/>
      <color rgb="FF000000"/>
      <name val="Calibri"/>
      <family val="2"/>
      <scheme val="minor"/>
    </font>
    <font>
      <sz val="11"/>
      <color theme="1"/>
      <name val="Arial2"/>
    </font>
    <font>
      <sz val="11"/>
      <color theme="1"/>
      <name val="Arial"/>
      <family val="2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</font>
    <font>
      <sz val="8"/>
      <color rgb="FF000000"/>
      <name val="Calibri"/>
      <family val="2"/>
    </font>
    <font>
      <sz val="18"/>
      <color theme="0"/>
      <name val="Calibri"/>
      <family val="2"/>
      <scheme val="minor"/>
    </font>
    <font>
      <sz val="12"/>
      <color theme="1"/>
      <name val="Calibri"/>
      <family val="2"/>
    </font>
    <font>
      <sz val="36"/>
      <color theme="7" tint="-0.249977111117893"/>
      <name val="Calibri"/>
      <family val="2"/>
    </font>
    <font>
      <sz val="12"/>
      <color theme="0"/>
      <name val="Calibri"/>
      <family val="2"/>
    </font>
    <font>
      <b/>
      <sz val="12"/>
      <color theme="7" tint="-0.499984740745262"/>
      <name val="Calibri"/>
      <family val="2"/>
    </font>
    <font>
      <sz val="12"/>
      <color theme="5" tint="-0.749961851863155"/>
      <name val="Calibri"/>
      <family val="2"/>
    </font>
    <font>
      <b/>
      <sz val="12"/>
      <color theme="5" tint="-0.749961851863155"/>
      <name val="Calibri"/>
      <family val="2"/>
    </font>
    <font>
      <u/>
      <sz val="18"/>
      <color theme="10"/>
      <name val="Calibri"/>
      <family val="2"/>
      <scheme val="minor"/>
    </font>
    <font>
      <sz val="12"/>
      <color theme="7" tint="-0.499984740745262"/>
      <name val="Calibri"/>
      <family val="2"/>
    </font>
    <font>
      <sz val="11"/>
      <color theme="7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CFFCC"/>
        <bgColor rgb="FFCCFFCC"/>
      </patternFill>
    </fill>
    <fill>
      <patternFill patternType="solid">
        <fgColor rgb="FFFFFF99"/>
        <bgColor rgb="FFFFFF99"/>
      </patternFill>
    </fill>
    <fill>
      <patternFill patternType="solid">
        <fgColor rgb="FFC0C0C0"/>
        <bgColor rgb="FFC0C0C0"/>
      </patternFill>
    </fill>
    <fill>
      <patternFill patternType="solid">
        <fgColor rgb="FFFFFF00"/>
        <bgColor rgb="FFFFFF00"/>
      </patternFill>
    </fill>
    <fill>
      <patternFill patternType="solid">
        <fgColor rgb="FF999999"/>
        <bgColor rgb="FF999999"/>
      </patternFill>
    </fill>
    <fill>
      <patternFill patternType="solid">
        <fgColor rgb="FFFFC000"/>
        <bgColor rgb="FFFFFFFF"/>
      </patternFill>
    </fill>
    <fill>
      <patternFill patternType="solid">
        <fgColor theme="9" tint="0.59996337778862885"/>
        <bgColor theme="9" tint="0.59996337778862885"/>
      </patternFill>
    </fill>
    <fill>
      <patternFill patternType="solid">
        <fgColor theme="0" tint="-0.24994659260841701"/>
        <bgColor rgb="FFFFFFFF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0"/>
        <bgColor rgb="FF69FFFF"/>
      </patternFill>
    </fill>
    <fill>
      <patternFill patternType="solid">
        <fgColor theme="0"/>
        <bgColor rgb="FFFF8080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rgb="FFCCFF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92D050"/>
        <bgColor rgb="FFCC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rgb="FFCC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ck">
        <color rgb="FF00B0F0"/>
      </right>
      <top style="thin">
        <color auto="1"/>
      </top>
      <bottom style="thin">
        <color auto="1"/>
      </bottom>
      <diagonal/>
    </border>
    <border>
      <left/>
      <right style="thick">
        <color rgb="FF00B0F0"/>
      </right>
      <top style="thin">
        <color indexed="64"/>
      </top>
      <bottom style="thin">
        <color indexed="64"/>
      </bottom>
      <diagonal/>
    </border>
    <border>
      <left/>
      <right/>
      <top style="thick">
        <color rgb="FF00B0F0"/>
      </top>
      <bottom style="thin">
        <color auto="1"/>
      </bottom>
      <diagonal/>
    </border>
    <border>
      <left/>
      <right style="thick">
        <color rgb="FF00B0F0"/>
      </right>
      <top style="thick">
        <color rgb="FF00B0F0"/>
      </top>
      <bottom style="thin">
        <color indexed="64"/>
      </bottom>
      <diagonal/>
    </border>
    <border>
      <left style="thick">
        <color rgb="FF00B0F0"/>
      </left>
      <right/>
      <top style="thin">
        <color rgb="FF000000"/>
      </top>
      <bottom style="thin">
        <color rgb="FF000000"/>
      </bottom>
      <diagonal/>
    </border>
    <border>
      <left style="thick">
        <color rgb="FF00B0F0"/>
      </left>
      <right/>
      <top style="thin">
        <color rgb="FF000000"/>
      </top>
      <bottom/>
      <diagonal/>
    </border>
    <border>
      <left style="thick">
        <color rgb="FF00B0F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 style="thin">
        <color indexed="64"/>
      </top>
      <bottom/>
      <diagonal/>
    </border>
    <border>
      <left/>
      <right style="thick">
        <color rgb="FF00B0F0"/>
      </right>
      <top/>
      <bottom style="thin">
        <color indexed="64"/>
      </bottom>
      <diagonal/>
    </border>
    <border>
      <left style="thin">
        <color theme="1"/>
      </left>
      <right style="thick">
        <color rgb="FF00B0F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rgb="FF00B0F0"/>
      </right>
      <top/>
      <bottom style="thin">
        <color theme="1"/>
      </bottom>
      <diagonal/>
    </border>
    <border>
      <left/>
      <right/>
      <top style="thin">
        <color auto="1"/>
      </top>
      <bottom/>
      <diagonal/>
    </border>
    <border>
      <left/>
      <right style="thick">
        <color rgb="FF00B0F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theme="1"/>
      </left>
      <right style="thick">
        <color rgb="FF00B0F0"/>
      </right>
      <top/>
      <bottom/>
      <diagonal/>
    </border>
    <border>
      <left style="thin">
        <color auto="1"/>
      </left>
      <right style="thick">
        <color rgb="FF00B0F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ck">
        <color rgb="FF00B0F0"/>
      </left>
      <right/>
      <top style="thick">
        <color rgb="FF00B0F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n">
        <color auto="1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rgb="FF000000"/>
      </top>
      <bottom/>
      <diagonal/>
    </border>
    <border>
      <left/>
      <right style="thick">
        <color indexed="64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n">
        <color theme="7" tint="0.59999389629810485"/>
      </left>
      <right/>
      <top style="thin">
        <color theme="7" tint="0.59999389629810485"/>
      </top>
      <bottom style="thin">
        <color theme="7" tint="0.59999389629810485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/>
      <bottom style="thin">
        <color theme="7" tint="0.3999450666829432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7" tint="0.59999389629810485"/>
      </left>
      <right/>
      <top/>
      <bottom style="thin">
        <color theme="7" tint="0.59999389629810485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/>
      <diagonal/>
    </border>
    <border>
      <left/>
      <right/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</borders>
  <cellStyleXfs count="20">
    <xf numFmtId="0" fontId="0" fillId="0" borderId="0"/>
    <xf numFmtId="165" fontId="2" fillId="0" borderId="0" applyFont="0" applyBorder="0" applyProtection="0"/>
    <xf numFmtId="9" fontId="2" fillId="0" borderId="0" applyFont="0" applyBorder="0" applyProtection="0"/>
    <xf numFmtId="0" fontId="3" fillId="0" borderId="0" applyNumberFormat="0" applyBorder="0" applyProtection="0">
      <alignment horizontal="center"/>
    </xf>
    <xf numFmtId="0" fontId="3" fillId="0" borderId="0" applyNumberFormat="0" applyBorder="0" applyProtection="0">
      <alignment horizontal="center" textRotation="90"/>
    </xf>
    <xf numFmtId="0" fontId="4" fillId="0" borderId="0" applyNumberFormat="0" applyBorder="0" applyProtection="0"/>
    <xf numFmtId="168" fontId="4" fillId="0" borderId="0" applyBorder="0" applyProtection="0"/>
    <xf numFmtId="0" fontId="18" fillId="0" borderId="0" applyNumberFormat="0" applyFill="0" applyBorder="0" applyProtection="0">
      <alignment vertical="center"/>
    </xf>
    <xf numFmtId="9" fontId="19" fillId="0" borderId="0" applyFill="0" applyBorder="0" applyProtection="0">
      <alignment horizontal="center" vertical="center"/>
    </xf>
    <xf numFmtId="0" fontId="20" fillId="0" borderId="0" applyFill="0" applyBorder="0" applyProtection="0">
      <alignment horizontal="left"/>
    </xf>
    <xf numFmtId="3" fontId="21" fillId="0" borderId="18" applyFill="0" applyProtection="0">
      <alignment horizontal="center"/>
    </xf>
    <xf numFmtId="0" fontId="21" fillId="0" borderId="0" applyFill="0" applyBorder="0" applyProtection="0">
      <alignment horizontal="center"/>
    </xf>
    <xf numFmtId="0" fontId="22" fillId="0" borderId="0" applyNumberFormat="0" applyFill="0" applyBorder="0" applyAlignment="0" applyProtection="0"/>
    <xf numFmtId="0" fontId="23" fillId="0" borderId="0" applyNumberFormat="0" applyFill="0" applyBorder="0" applyProtection="0">
      <alignment horizontal="left" vertical="center"/>
    </xf>
    <xf numFmtId="0" fontId="24" fillId="13" borderId="19" applyNumberFormat="0" applyProtection="0">
      <alignment horizontal="left" vertical="center"/>
    </xf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90" fillId="0" borderId="0" applyNumberFormat="0" applyFill="0" applyBorder="0" applyAlignment="0" applyProtection="0"/>
  </cellStyleXfs>
  <cellXfs count="792">
    <xf numFmtId="0" fontId="0" fillId="0" borderId="0" xfId="0"/>
    <xf numFmtId="0" fontId="6" fillId="0" borderId="0" xfId="0" applyFont="1" applyAlignment="1">
      <alignment horizontal="center"/>
    </xf>
    <xf numFmtId="2" fontId="0" fillId="0" borderId="0" xfId="0" applyNumberFormat="1"/>
    <xf numFmtId="0" fontId="5" fillId="0" borderId="0" xfId="0" applyFont="1"/>
    <xf numFmtId="0" fontId="0" fillId="0" borderId="1" xfId="0" applyBorder="1"/>
    <xf numFmtId="1" fontId="0" fillId="0" borderId="0" xfId="0" applyNumberFormat="1"/>
    <xf numFmtId="164" fontId="0" fillId="0" borderId="0" xfId="0" applyNumberFormat="1"/>
    <xf numFmtId="0" fontId="0" fillId="0" borderId="4" xfId="0" applyBorder="1"/>
    <xf numFmtId="0" fontId="0" fillId="0" borderId="6" xfId="0" applyBorder="1"/>
    <xf numFmtId="164" fontId="0" fillId="0" borderId="3" xfId="0" applyNumberFormat="1" applyBorder="1"/>
    <xf numFmtId="0" fontId="6" fillId="0" borderId="0" xfId="0" applyFont="1"/>
    <xf numFmtId="0" fontId="0" fillId="2" borderId="0" xfId="0" applyFill="1" applyProtection="1">
      <protection locked="0"/>
    </xf>
    <xf numFmtId="165" fontId="7" fillId="2" borderId="9" xfId="1" applyFont="1" applyFill="1" applyBorder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left"/>
      <protection locked="0"/>
    </xf>
    <xf numFmtId="0" fontId="12" fillId="0" borderId="4" xfId="0" applyFont="1" applyBorder="1" applyAlignment="1" applyProtection="1">
      <alignment horizontal="center"/>
      <protection locked="0"/>
    </xf>
    <xf numFmtId="165" fontId="5" fillId="4" borderId="4" xfId="0" applyNumberFormat="1" applyFont="1" applyFill="1" applyBorder="1" applyAlignment="1" applyProtection="1">
      <alignment horizontal="center"/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right"/>
      <protection locked="0"/>
    </xf>
    <xf numFmtId="165" fontId="5" fillId="2" borderId="11" xfId="1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7" fillId="2" borderId="1" xfId="0" applyFont="1" applyFill="1" applyBorder="1" applyAlignment="1" applyProtection="1">
      <alignment horizontal="center"/>
      <protection locked="0"/>
    </xf>
    <xf numFmtId="2" fontId="7" fillId="2" borderId="1" xfId="0" applyNumberFormat="1" applyFont="1" applyFill="1" applyBorder="1" applyAlignment="1" applyProtection="1">
      <alignment horizontal="center"/>
      <protection locked="0"/>
    </xf>
    <xf numFmtId="0" fontId="7" fillId="2" borderId="1" xfId="0" applyFont="1" applyFill="1" applyBorder="1" applyAlignment="1" applyProtection="1">
      <alignment horizontal="left"/>
      <protection locked="0"/>
    </xf>
    <xf numFmtId="164" fontId="0" fillId="2" borderId="1" xfId="0" applyNumberFormat="1" applyFill="1" applyBorder="1" applyProtection="1">
      <protection locked="0"/>
    </xf>
    <xf numFmtId="0" fontId="7" fillId="2" borderId="1" xfId="0" applyFont="1" applyFill="1" applyBorder="1" applyProtection="1">
      <protection locked="0"/>
    </xf>
    <xf numFmtId="164" fontId="0" fillId="2" borderId="11" xfId="0" applyNumberFormat="1" applyFill="1" applyBorder="1" applyProtection="1">
      <protection locked="0"/>
    </xf>
    <xf numFmtId="0" fontId="13" fillId="0" borderId="2" xfId="0" applyFont="1" applyBorder="1" applyAlignment="1">
      <alignment horizontal="left"/>
    </xf>
    <xf numFmtId="2" fontId="7" fillId="0" borderId="6" xfId="0" applyNumberFormat="1" applyFont="1" applyBorder="1" applyAlignment="1">
      <alignment horizontal="center"/>
    </xf>
    <xf numFmtId="0" fontId="0" fillId="2" borderId="12" xfId="0" applyFill="1" applyBorder="1"/>
    <xf numFmtId="0" fontId="0" fillId="2" borderId="12" xfId="0" applyFill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164" fontId="0" fillId="2" borderId="12" xfId="0" applyNumberFormat="1" applyFill="1" applyBorder="1"/>
    <xf numFmtId="0" fontId="14" fillId="2" borderId="12" xfId="0" applyFont="1" applyFill="1" applyBorder="1"/>
    <xf numFmtId="0" fontId="0" fillId="2" borderId="7" xfId="0" applyFill="1" applyBorder="1"/>
    <xf numFmtId="0" fontId="1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2" borderId="0" xfId="0" applyFill="1"/>
    <xf numFmtId="0" fontId="16" fillId="0" borderId="4" xfId="0" applyFont="1" applyBorder="1"/>
    <xf numFmtId="0" fontId="11" fillId="0" borderId="4" xfId="0" applyFont="1" applyBorder="1" applyAlignment="1">
      <alignment horizontal="center"/>
    </xf>
    <xf numFmtId="0" fontId="5" fillId="0" borderId="2" xfId="0" applyFont="1" applyBorder="1"/>
    <xf numFmtId="0" fontId="0" fillId="2" borderId="8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7" fillId="2" borderId="1" xfId="0" applyFont="1" applyFill="1" applyBorder="1"/>
    <xf numFmtId="2" fontId="5" fillId="0" borderId="4" xfId="0" applyNumberFormat="1" applyFont="1" applyBorder="1"/>
    <xf numFmtId="164" fontId="11" fillId="2" borderId="1" xfId="0" applyNumberFormat="1" applyFont="1" applyFill="1" applyBorder="1"/>
    <xf numFmtId="0" fontId="13" fillId="0" borderId="9" xfId="0" applyFon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2" borderId="12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15" fillId="0" borderId="0" xfId="0" applyFont="1" applyAlignment="1" applyProtection="1">
      <alignment horizontal="center"/>
      <protection locked="0"/>
    </xf>
    <xf numFmtId="0" fontId="15" fillId="0" borderId="4" xfId="0" applyFont="1" applyBorder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5" fillId="4" borderId="4" xfId="0" applyFont="1" applyFill="1" applyBorder="1" applyAlignment="1">
      <alignment horizontal="center"/>
    </xf>
    <xf numFmtId="164" fontId="7" fillId="4" borderId="4" xfId="1" applyNumberFormat="1" applyFont="1" applyFill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5" fillId="2" borderId="3" xfId="0" applyFont="1" applyFill="1" applyBorder="1" applyAlignment="1" applyProtection="1">
      <alignment horizontal="center"/>
      <protection locked="0"/>
    </xf>
    <xf numFmtId="165" fontId="5" fillId="4" borderId="4" xfId="0" applyNumberFormat="1" applyFont="1" applyFill="1" applyBorder="1"/>
    <xf numFmtId="0" fontId="0" fillId="2" borderId="9" xfId="0" applyFill="1" applyBorder="1" applyProtection="1">
      <protection locked="0"/>
    </xf>
    <xf numFmtId="0" fontId="0" fillId="2" borderId="12" xfId="0" applyFill="1" applyBorder="1" applyAlignment="1" applyProtection="1">
      <alignment horizontal="center"/>
      <protection locked="0"/>
    </xf>
    <xf numFmtId="0" fontId="11" fillId="2" borderId="0" xfId="0" applyFont="1" applyFill="1" applyProtection="1">
      <protection locked="0"/>
    </xf>
    <xf numFmtId="0" fontId="5" fillId="5" borderId="2" xfId="0" applyFont="1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5" borderId="3" xfId="0" applyFill="1" applyBorder="1" applyProtection="1">
      <protection locked="0"/>
    </xf>
    <xf numFmtId="166" fontId="17" fillId="2" borderId="6" xfId="2" applyNumberFormat="1" applyFont="1" applyFill="1" applyBorder="1" applyAlignment="1" applyProtection="1">
      <alignment horizontal="center"/>
      <protection locked="0"/>
    </xf>
    <xf numFmtId="164" fontId="5" fillId="4" borderId="4" xfId="0" applyNumberFormat="1" applyFont="1" applyFill="1" applyBorder="1" applyAlignment="1">
      <alignment horizontal="center"/>
    </xf>
    <xf numFmtId="0" fontId="5" fillId="2" borderId="0" xfId="0" applyFont="1" applyFill="1" applyProtection="1">
      <protection locked="0"/>
    </xf>
    <xf numFmtId="0" fontId="5" fillId="2" borderId="7" xfId="0" applyFont="1" applyFill="1" applyBorder="1" applyProtection="1">
      <protection locked="0"/>
    </xf>
    <xf numFmtId="166" fontId="17" fillId="2" borderId="0" xfId="2" applyNumberFormat="1" applyFont="1" applyFill="1" applyAlignment="1" applyProtection="1">
      <alignment horizontal="center"/>
      <protection locked="0"/>
    </xf>
    <xf numFmtId="164" fontId="5" fillId="2" borderId="0" xfId="0" applyNumberFormat="1" applyFont="1" applyFill="1" applyProtection="1">
      <protection locked="0"/>
    </xf>
    <xf numFmtId="0" fontId="11" fillId="5" borderId="9" xfId="0" applyFont="1" applyFill="1" applyBorder="1" applyProtection="1">
      <protection locked="0"/>
    </xf>
    <xf numFmtId="0" fontId="11" fillId="5" borderId="12" xfId="0" applyFont="1" applyFill="1" applyBorder="1" applyProtection="1">
      <protection locked="0"/>
    </xf>
    <xf numFmtId="0" fontId="12" fillId="5" borderId="13" xfId="0" applyFont="1" applyFill="1" applyBorder="1" applyAlignment="1" applyProtection="1">
      <alignment horizontal="center"/>
      <protection locked="0"/>
    </xf>
    <xf numFmtId="10" fontId="5" fillId="6" borderId="6" xfId="2" applyNumberFormat="1" applyFont="1" applyFill="1" applyBorder="1" applyAlignment="1">
      <alignment horizontal="center"/>
    </xf>
    <xf numFmtId="167" fontId="5" fillId="2" borderId="6" xfId="0" applyNumberFormat="1" applyFont="1" applyFill="1" applyBorder="1" applyAlignment="1">
      <alignment horizontal="center"/>
    </xf>
    <xf numFmtId="0" fontId="11" fillId="5" borderId="8" xfId="0" applyFont="1" applyFill="1" applyBorder="1" applyProtection="1">
      <protection locked="0"/>
    </xf>
    <xf numFmtId="0" fontId="11" fillId="5" borderId="1" xfId="0" applyFont="1" applyFill="1" applyBorder="1" applyProtection="1">
      <protection locked="0"/>
    </xf>
    <xf numFmtId="0" fontId="12" fillId="5" borderId="11" xfId="0" applyFont="1" applyFill="1" applyBorder="1" applyAlignment="1" applyProtection="1">
      <alignment horizontal="center"/>
      <protection locked="0"/>
    </xf>
    <xf numFmtId="165" fontId="5" fillId="2" borderId="0" xfId="1" applyFont="1" applyFill="1" applyProtection="1">
      <protection locked="0"/>
    </xf>
    <xf numFmtId="0" fontId="11" fillId="2" borderId="7" xfId="0" applyFont="1" applyFill="1" applyBorder="1" applyProtection="1">
      <protection locked="0"/>
    </xf>
    <xf numFmtId="0" fontId="11" fillId="5" borderId="6" xfId="0" applyFont="1" applyFill="1" applyBorder="1" applyProtection="1">
      <protection locked="0"/>
    </xf>
    <xf numFmtId="0" fontId="0" fillId="2" borderId="3" xfId="0" applyFill="1" applyBorder="1" applyAlignment="1" applyProtection="1">
      <alignment horizontal="center"/>
      <protection locked="0"/>
    </xf>
    <xf numFmtId="164" fontId="5" fillId="4" borderId="3" xfId="0" applyNumberFormat="1" applyFont="1" applyFill="1" applyBorder="1" applyAlignment="1">
      <alignment horizontal="center"/>
    </xf>
    <xf numFmtId="0" fontId="11" fillId="5" borderId="2" xfId="0" applyFont="1" applyFill="1" applyBorder="1" applyProtection="1">
      <protection locked="0"/>
    </xf>
    <xf numFmtId="0" fontId="0" fillId="5" borderId="6" xfId="0" applyFill="1" applyBorder="1" applyAlignment="1" applyProtection="1">
      <alignment horizontal="right"/>
      <protection locked="0"/>
    </xf>
    <xf numFmtId="10" fontId="11" fillId="3" borderId="4" xfId="0" applyNumberFormat="1" applyFont="1" applyFill="1" applyBorder="1" applyAlignment="1" applyProtection="1">
      <alignment horizontal="center"/>
      <protection locked="0"/>
    </xf>
    <xf numFmtId="165" fontId="5" fillId="4" borderId="3" xfId="1" applyFont="1" applyFill="1" applyBorder="1" applyAlignment="1">
      <alignment horizontal="center"/>
    </xf>
    <xf numFmtId="0" fontId="5" fillId="4" borderId="14" xfId="0" applyFont="1" applyFill="1" applyBorder="1" applyAlignment="1" applyProtection="1">
      <alignment shrinkToFit="1"/>
      <protection locked="0"/>
    </xf>
    <xf numFmtId="10" fontId="5" fillId="4" borderId="5" xfId="2" applyNumberFormat="1" applyFont="1" applyFill="1" applyBorder="1" applyProtection="1">
      <protection locked="0"/>
    </xf>
    <xf numFmtId="0" fontId="0" fillId="9" borderId="4" xfId="0" applyFill="1" applyBorder="1" applyAlignment="1" applyProtection="1">
      <alignment horizontal="center"/>
      <protection locked="0"/>
    </xf>
    <xf numFmtId="0" fontId="0" fillId="10" borderId="6" xfId="0" applyFill="1" applyBorder="1" applyProtection="1">
      <protection locked="0"/>
    </xf>
    <xf numFmtId="0" fontId="6" fillId="10" borderId="2" xfId="0" applyFont="1" applyFill="1" applyBorder="1" applyProtection="1">
      <protection locked="0"/>
    </xf>
    <xf numFmtId="164" fontId="6" fillId="8" borderId="4" xfId="0" applyNumberFormat="1" applyFont="1" applyFill="1" applyBorder="1" applyAlignment="1" applyProtection="1">
      <alignment horizontal="center"/>
      <protection locked="0"/>
    </xf>
    <xf numFmtId="0" fontId="5" fillId="10" borderId="3" xfId="0" applyFont="1" applyFill="1" applyBorder="1" applyAlignment="1" applyProtection="1">
      <alignment horizontal="center"/>
      <protection locked="0"/>
    </xf>
    <xf numFmtId="0" fontId="18" fillId="0" borderId="0" xfId="7">
      <alignment vertical="center"/>
    </xf>
    <xf numFmtId="0" fontId="0" fillId="8" borderId="0" xfId="0" applyFill="1" applyProtection="1">
      <protection locked="0"/>
    </xf>
    <xf numFmtId="1" fontId="7" fillId="0" borderId="8" xfId="0" applyNumberFormat="1" applyFont="1" applyBorder="1" applyAlignment="1" applyProtection="1">
      <alignment horizontal="center"/>
      <protection locked="0"/>
    </xf>
    <xf numFmtId="164" fontId="7" fillId="4" borderId="14" xfId="1" applyNumberFormat="1" applyFont="1" applyFill="1" applyBorder="1" applyAlignment="1">
      <alignment horizontal="center"/>
    </xf>
    <xf numFmtId="0" fontId="15" fillId="0" borderId="9" xfId="0" applyFont="1" applyBorder="1" applyAlignment="1" applyProtection="1">
      <alignment horizontal="center"/>
      <protection locked="0"/>
    </xf>
    <xf numFmtId="0" fontId="16" fillId="0" borderId="9" xfId="0" applyFont="1" applyBorder="1"/>
    <xf numFmtId="0" fontId="25" fillId="0" borderId="12" xfId="0" applyFont="1" applyBorder="1"/>
    <xf numFmtId="0" fontId="0" fillId="0" borderId="12" xfId="0" applyBorder="1"/>
    <xf numFmtId="0" fontId="5" fillId="0" borderId="12" xfId="0" applyFont="1" applyBorder="1"/>
    <xf numFmtId="1" fontId="0" fillId="0" borderId="12" xfId="0" applyNumberFormat="1" applyBorder="1"/>
    <xf numFmtId="0" fontId="5" fillId="0" borderId="2" xfId="0" applyFont="1" applyBorder="1" applyAlignment="1">
      <alignment horizontal="center"/>
    </xf>
    <xf numFmtId="0" fontId="0" fillId="0" borderId="7" xfId="0" applyBorder="1"/>
    <xf numFmtId="0" fontId="5" fillId="0" borderId="4" xfId="0" applyFont="1" applyBorder="1"/>
    <xf numFmtId="0" fontId="8" fillId="0" borderId="11" xfId="0" applyFont="1" applyBorder="1"/>
    <xf numFmtId="164" fontId="8" fillId="0" borderId="5" xfId="0" applyNumberFormat="1" applyFont="1" applyBorder="1"/>
    <xf numFmtId="0" fontId="5" fillId="0" borderId="7" xfId="0" applyFont="1" applyBorder="1"/>
    <xf numFmtId="0" fontId="25" fillId="0" borderId="0" xfId="0" applyFont="1"/>
    <xf numFmtId="0" fontId="8" fillId="0" borderId="3" xfId="0" applyFont="1" applyBorder="1"/>
    <xf numFmtId="164" fontId="8" fillId="0" borderId="4" xfId="0" applyNumberFormat="1" applyFont="1" applyBorder="1"/>
    <xf numFmtId="0" fontId="0" fillId="0" borderId="8" xfId="0" applyBorder="1"/>
    <xf numFmtId="1" fontId="0" fillId="0" borderId="1" xfId="0" applyNumberFormat="1" applyBorder="1"/>
    <xf numFmtId="0" fontId="15" fillId="0" borderId="5" xfId="0" applyFont="1" applyBorder="1"/>
    <xf numFmtId="164" fontId="0" fillId="0" borderId="11" xfId="0" applyNumberFormat="1" applyBorder="1"/>
    <xf numFmtId="0" fontId="5" fillId="0" borderId="5" xfId="0" applyFont="1" applyBorder="1"/>
    <xf numFmtId="0" fontId="0" fillId="0" borderId="10" xfId="0" applyBorder="1"/>
    <xf numFmtId="164" fontId="0" fillId="0" borderId="10" xfId="0" applyNumberFormat="1" applyBorder="1"/>
    <xf numFmtId="0" fontId="26" fillId="0" borderId="2" xfId="0" applyFont="1" applyBorder="1"/>
    <xf numFmtId="0" fontId="5" fillId="0" borderId="3" xfId="0" applyFont="1" applyBorder="1"/>
    <xf numFmtId="0" fontId="26" fillId="0" borderId="4" xfId="0" applyFont="1" applyBorder="1"/>
    <xf numFmtId="1" fontId="26" fillId="0" borderId="4" xfId="0" applyNumberFormat="1" applyFont="1" applyBorder="1"/>
    <xf numFmtId="0" fontId="5" fillId="0" borderId="6" xfId="0" applyFont="1" applyBorder="1"/>
    <xf numFmtId="164" fontId="26" fillId="0" borderId="4" xfId="0" applyNumberFormat="1" applyFont="1" applyBorder="1"/>
    <xf numFmtId="164" fontId="5" fillId="0" borderId="3" xfId="0" applyNumberFormat="1" applyFont="1" applyBorder="1"/>
    <xf numFmtId="0" fontId="15" fillId="0" borderId="8" xfId="0" applyFont="1" applyBorder="1"/>
    <xf numFmtId="0" fontId="5" fillId="0" borderId="11" xfId="0" applyFont="1" applyBorder="1"/>
    <xf numFmtId="0" fontId="25" fillId="0" borderId="5" xfId="0" applyFont="1" applyBorder="1"/>
    <xf numFmtId="0" fontId="0" fillId="0" borderId="5" xfId="0" applyBorder="1"/>
    <xf numFmtId="1" fontId="0" fillId="0" borderId="5" xfId="0" applyNumberFormat="1" applyBorder="1"/>
    <xf numFmtId="164" fontId="0" fillId="0" borderId="5" xfId="0" applyNumberFormat="1" applyBorder="1"/>
    <xf numFmtId="0" fontId="8" fillId="0" borderId="0" xfId="0" applyFont="1"/>
    <xf numFmtId="0" fontId="0" fillId="0" borderId="3" xfId="0" applyBorder="1"/>
    <xf numFmtId="0" fontId="27" fillId="0" borderId="4" xfId="0" applyFont="1" applyBorder="1"/>
    <xf numFmtId="1" fontId="0" fillId="0" borderId="4" xfId="0" applyNumberFormat="1" applyBorder="1"/>
    <xf numFmtId="164" fontId="0" fillId="0" borderId="4" xfId="0" applyNumberFormat="1" applyBorder="1"/>
    <xf numFmtId="0" fontId="25" fillId="0" borderId="4" xfId="0" applyFont="1" applyBorder="1"/>
    <xf numFmtId="0" fontId="5" fillId="0" borderId="3" xfId="0" applyFont="1" applyBorder="1" applyAlignment="1">
      <alignment horizontal="left"/>
    </xf>
    <xf numFmtId="164" fontId="7" fillId="0" borderId="4" xfId="0" applyNumberFormat="1" applyFont="1" applyBorder="1"/>
    <xf numFmtId="164" fontId="25" fillId="0" borderId="3" xfId="0" applyNumberFormat="1" applyFont="1" applyBorder="1" applyAlignment="1">
      <alignment horizontal="center"/>
    </xf>
    <xf numFmtId="0" fontId="5" fillId="6" borderId="2" xfId="0" applyFont="1" applyFill="1" applyBorder="1"/>
    <xf numFmtId="0" fontId="0" fillId="6" borderId="3" xfId="0" applyFill="1" applyBorder="1"/>
    <xf numFmtId="0" fontId="25" fillId="6" borderId="4" xfId="0" applyFont="1" applyFill="1" applyBorder="1"/>
    <xf numFmtId="0" fontId="0" fillId="6" borderId="4" xfId="0" applyFill="1" applyBorder="1"/>
    <xf numFmtId="1" fontId="25" fillId="6" borderId="4" xfId="0" applyNumberFormat="1" applyFont="1" applyFill="1" applyBorder="1"/>
    <xf numFmtId="164" fontId="0" fillId="6" borderId="4" xfId="0" applyNumberFormat="1" applyFill="1" applyBorder="1"/>
    <xf numFmtId="0" fontId="0" fillId="6" borderId="6" xfId="0" applyFill="1" applyBorder="1"/>
    <xf numFmtId="164" fontId="5" fillId="6" borderId="3" xfId="0" applyNumberFormat="1" applyFont="1" applyFill="1" applyBorder="1" applyAlignment="1">
      <alignment horizontal="center"/>
    </xf>
    <xf numFmtId="0" fontId="0" fillId="6" borderId="0" xfId="0" applyFill="1"/>
    <xf numFmtId="1" fontId="0" fillId="6" borderId="4" xfId="0" applyNumberFormat="1" applyFill="1" applyBorder="1"/>
    <xf numFmtId="0" fontId="5" fillId="6" borderId="3" xfId="0" applyFont="1" applyFill="1" applyBorder="1"/>
    <xf numFmtId="1" fontId="5" fillId="6" borderId="4" xfId="0" applyNumberFormat="1" applyFont="1" applyFill="1" applyBorder="1"/>
    <xf numFmtId="164" fontId="25" fillId="6" borderId="3" xfId="0" applyNumberFormat="1" applyFont="1" applyFill="1" applyBorder="1" applyAlignment="1">
      <alignment horizontal="center"/>
    </xf>
    <xf numFmtId="1" fontId="8" fillId="0" borderId="4" xfId="0" applyNumberFormat="1" applyFont="1" applyBorder="1"/>
    <xf numFmtId="164" fontId="5" fillId="0" borderId="3" xfId="0" applyNumberFormat="1" applyFont="1" applyBorder="1" applyAlignment="1">
      <alignment horizontal="center"/>
    </xf>
    <xf numFmtId="1" fontId="25" fillId="0" borderId="4" xfId="0" applyNumberFormat="1" applyFont="1" applyBorder="1"/>
    <xf numFmtId="0" fontId="15" fillId="0" borderId="2" xfId="0" applyFont="1" applyBorder="1"/>
    <xf numFmtId="1" fontId="5" fillId="0" borderId="4" xfId="0" applyNumberFormat="1" applyFont="1" applyBorder="1"/>
    <xf numFmtId="0" fontId="0" fillId="0" borderId="2" xfId="0" applyBorder="1"/>
    <xf numFmtId="0" fontId="16" fillId="0" borderId="3" xfId="0" applyFont="1" applyBorder="1"/>
    <xf numFmtId="0" fontId="16" fillId="0" borderId="2" xfId="0" applyFont="1" applyBorder="1"/>
    <xf numFmtId="0" fontId="28" fillId="0" borderId="7" xfId="0" applyFont="1" applyBorder="1"/>
    <xf numFmtId="164" fontId="5" fillId="0" borderId="2" xfId="0" applyNumberFormat="1" applyFont="1" applyBorder="1"/>
    <xf numFmtId="164" fontId="5" fillId="0" borderId="11" xfId="0" applyNumberFormat="1" applyFont="1" applyBorder="1"/>
    <xf numFmtId="1" fontId="25" fillId="0" borderId="0" xfId="0" applyNumberFormat="1" applyFont="1"/>
    <xf numFmtId="0" fontId="6" fillId="4" borderId="12" xfId="0" applyFont="1" applyFill="1" applyBorder="1" applyAlignment="1" applyProtection="1">
      <alignment horizontal="center"/>
      <protection locked="0"/>
    </xf>
    <xf numFmtId="0" fontId="11" fillId="0" borderId="8" xfId="0" applyFont="1" applyBorder="1" applyAlignment="1" applyProtection="1">
      <alignment horizontal="center"/>
      <protection locked="0"/>
    </xf>
    <xf numFmtId="165" fontId="5" fillId="4" borderId="15" xfId="0" applyNumberFormat="1" applyFont="1" applyFill="1" applyBorder="1"/>
    <xf numFmtId="0" fontId="16" fillId="0" borderId="5" xfId="0" applyFont="1" applyBorder="1" applyAlignment="1" applyProtection="1">
      <alignment horizontal="center"/>
      <protection locked="0"/>
    </xf>
    <xf numFmtId="0" fontId="0" fillId="0" borderId="15" xfId="0" applyBorder="1" applyProtection="1">
      <protection locked="0"/>
    </xf>
    <xf numFmtId="10" fontId="17" fillId="0" borderId="20" xfId="2" applyNumberFormat="1" applyFont="1" applyBorder="1"/>
    <xf numFmtId="0" fontId="15" fillId="16" borderId="0" xfId="0" applyFont="1" applyFill="1" applyAlignment="1" applyProtection="1">
      <alignment horizontal="center"/>
      <protection locked="0"/>
    </xf>
    <xf numFmtId="0" fontId="0" fillId="12" borderId="0" xfId="0" applyFill="1" applyProtection="1">
      <protection locked="0"/>
    </xf>
    <xf numFmtId="164" fontId="15" fillId="15" borderId="0" xfId="0" applyNumberFormat="1" applyFont="1" applyFill="1" applyAlignment="1">
      <alignment horizontal="center"/>
    </xf>
    <xf numFmtId="0" fontId="0" fillId="12" borderId="0" xfId="0" applyFill="1"/>
    <xf numFmtId="0" fontId="5" fillId="17" borderId="0" xfId="0" applyFont="1" applyFill="1" applyProtection="1">
      <protection locked="0"/>
    </xf>
    <xf numFmtId="10" fontId="17" fillId="12" borderId="0" xfId="2" applyNumberFormat="1" applyFont="1" applyFill="1" applyBorder="1"/>
    <xf numFmtId="164" fontId="5" fillId="4" borderId="6" xfId="0" applyNumberFormat="1" applyFont="1" applyFill="1" applyBorder="1" applyAlignment="1">
      <alignment horizontal="center"/>
    </xf>
    <xf numFmtId="167" fontId="5" fillId="4" borderId="15" xfId="0" applyNumberFormat="1" applyFont="1" applyFill="1" applyBorder="1" applyAlignment="1">
      <alignment horizontal="center"/>
    </xf>
    <xf numFmtId="0" fontId="15" fillId="21" borderId="4" xfId="0" applyFont="1" applyFill="1" applyBorder="1" applyAlignment="1">
      <alignment horizontal="center"/>
    </xf>
    <xf numFmtId="164" fontId="15" fillId="21" borderId="4" xfId="0" applyNumberFormat="1" applyFont="1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12" fillId="21" borderId="4" xfId="0" applyFont="1" applyFill="1" applyBorder="1" applyAlignment="1">
      <alignment horizontal="center"/>
    </xf>
    <xf numFmtId="0" fontId="5" fillId="21" borderId="4" xfId="0" applyFont="1" applyFill="1" applyBorder="1" applyAlignment="1" applyProtection="1">
      <alignment horizontal="center"/>
      <protection locked="0"/>
    </xf>
    <xf numFmtId="0" fontId="7" fillId="21" borderId="2" xfId="0" applyFont="1" applyFill="1" applyBorder="1" applyAlignment="1" applyProtection="1">
      <alignment horizontal="center"/>
      <protection locked="0"/>
    </xf>
    <xf numFmtId="0" fontId="7" fillId="21" borderId="15" xfId="0" applyFont="1" applyFill="1" applyBorder="1" applyAlignment="1" applyProtection="1">
      <alignment horizontal="center" shrinkToFit="1"/>
      <protection locked="0"/>
    </xf>
    <xf numFmtId="0" fontId="5" fillId="21" borderId="1" xfId="0" applyFont="1" applyFill="1" applyBorder="1" applyAlignment="1" applyProtection="1">
      <alignment horizontal="left"/>
      <protection locked="0"/>
    </xf>
    <xf numFmtId="164" fontId="7" fillId="21" borderId="4" xfId="0" applyNumberFormat="1" applyFont="1" applyFill="1" applyBorder="1" applyAlignment="1" applyProtection="1">
      <alignment horizontal="center"/>
      <protection locked="0"/>
    </xf>
    <xf numFmtId="0" fontId="5" fillId="21" borderId="3" xfId="0" applyFont="1" applyFill="1" applyBorder="1" applyAlignment="1" applyProtection="1">
      <alignment horizontal="left"/>
      <protection locked="0"/>
    </xf>
    <xf numFmtId="0" fontId="7" fillId="21" borderId="9" xfId="0" applyFont="1" applyFill="1" applyBorder="1" applyAlignment="1" applyProtection="1">
      <alignment horizontal="center"/>
      <protection locked="0"/>
    </xf>
    <xf numFmtId="0" fontId="5" fillId="21" borderId="13" xfId="0" applyFont="1" applyFill="1" applyBorder="1" applyAlignment="1" applyProtection="1">
      <alignment horizontal="left"/>
      <protection locked="0"/>
    </xf>
    <xf numFmtId="0" fontId="5" fillId="21" borderId="2" xfId="0" applyFont="1" applyFill="1" applyBorder="1" applyAlignment="1" applyProtection="1">
      <alignment horizontal="center"/>
      <protection locked="0"/>
    </xf>
    <xf numFmtId="0" fontId="7" fillId="21" borderId="15" xfId="0" applyFont="1" applyFill="1" applyBorder="1" applyAlignment="1" applyProtection="1">
      <alignment horizontal="center"/>
      <protection locked="0"/>
    </xf>
    <xf numFmtId="0" fontId="5" fillId="21" borderId="15" xfId="0" applyFont="1" applyFill="1" applyBorder="1" applyAlignment="1" applyProtection="1">
      <alignment horizontal="left"/>
      <protection locked="0"/>
    </xf>
    <xf numFmtId="0" fontId="7" fillId="21" borderId="4" xfId="0" applyFont="1" applyFill="1" applyBorder="1" applyAlignment="1" applyProtection="1">
      <alignment horizontal="center"/>
      <protection locked="0"/>
    </xf>
    <xf numFmtId="0" fontId="5" fillId="21" borderId="3" xfId="0" applyFont="1" applyFill="1" applyBorder="1" applyProtection="1">
      <protection locked="0"/>
    </xf>
    <xf numFmtId="0" fontId="5" fillId="21" borderId="6" xfId="0" applyFont="1" applyFill="1" applyBorder="1" applyAlignment="1" applyProtection="1">
      <alignment horizontal="center"/>
      <protection locked="0"/>
    </xf>
    <xf numFmtId="0" fontId="5" fillId="21" borderId="6" xfId="0" applyFont="1" applyFill="1" applyBorder="1" applyProtection="1">
      <protection locked="0"/>
    </xf>
    <xf numFmtId="0" fontId="5" fillId="21" borderId="4" xfId="0" applyFont="1" applyFill="1" applyBorder="1" applyProtection="1">
      <protection locked="0"/>
    </xf>
    <xf numFmtId="14" fontId="0" fillId="0" borderId="0" xfId="0" applyNumberFormat="1"/>
    <xf numFmtId="0" fontId="30" fillId="0" borderId="0" xfId="0" applyFont="1" applyAlignment="1">
      <alignment horizontal="center" vertical="center" wrapText="1"/>
    </xf>
    <xf numFmtId="0" fontId="0" fillId="23" borderId="0" xfId="0" applyFill="1"/>
    <xf numFmtId="0" fontId="6" fillId="0" borderId="0" xfId="0" applyFont="1" applyAlignment="1">
      <alignment horizontal="center" vertical="center"/>
    </xf>
    <xf numFmtId="0" fontId="9" fillId="14" borderId="0" xfId="0" applyFont="1" applyFill="1" applyAlignment="1">
      <alignment horizontal="center" vertical="center" wrapText="1"/>
    </xf>
    <xf numFmtId="0" fontId="31" fillId="0" borderId="0" xfId="11" applyFont="1">
      <alignment horizontal="center"/>
    </xf>
    <xf numFmtId="3" fontId="31" fillId="0" borderId="18" xfId="10" applyFont="1">
      <alignment horizontal="center"/>
    </xf>
    <xf numFmtId="0" fontId="33" fillId="0" borderId="0" xfId="0" applyFont="1"/>
    <xf numFmtId="0" fontId="33" fillId="0" borderId="0" xfId="7" applyFont="1">
      <alignment vertical="center"/>
    </xf>
    <xf numFmtId="0" fontId="35" fillId="0" borderId="0" xfId="11" applyFont="1" applyAlignment="1">
      <alignment horizontal="left"/>
    </xf>
    <xf numFmtId="2" fontId="36" fillId="20" borderId="15" xfId="7" applyNumberFormat="1" applyFont="1" applyFill="1" applyBorder="1" applyAlignment="1">
      <alignment horizontal="center" vertical="center"/>
    </xf>
    <xf numFmtId="0" fontId="36" fillId="0" borderId="0" xfId="7" applyFont="1" applyAlignment="1">
      <alignment horizontal="center" vertical="center"/>
    </xf>
    <xf numFmtId="0" fontId="36" fillId="0" borderId="0" xfId="9" applyFont="1" applyAlignment="1">
      <alignment horizontal="center" vertical="center"/>
    </xf>
    <xf numFmtId="0" fontId="38" fillId="0" borderId="21" xfId="0" applyFont="1" applyBorder="1" applyAlignment="1">
      <alignment horizontal="center" vertical="center"/>
    </xf>
    <xf numFmtId="0" fontId="40" fillId="20" borderId="0" xfId="0" applyFont="1" applyFill="1"/>
    <xf numFmtId="1" fontId="41" fillId="0" borderId="0" xfId="0" applyNumberFormat="1" applyFont="1"/>
    <xf numFmtId="164" fontId="40" fillId="0" borderId="0" xfId="0" applyNumberFormat="1" applyFont="1"/>
    <xf numFmtId="0" fontId="40" fillId="0" borderId="0" xfId="0" applyFont="1" applyAlignment="1">
      <alignment horizontal="center" vertical="center"/>
    </xf>
    <xf numFmtId="0" fontId="40" fillId="0" borderId="0" xfId="0" applyFont="1"/>
    <xf numFmtId="164" fontId="41" fillId="0" borderId="0" xfId="0" applyNumberFormat="1" applyFont="1"/>
    <xf numFmtId="0" fontId="41" fillId="0" borderId="0" xfId="0" applyFont="1"/>
    <xf numFmtId="14" fontId="41" fillId="0" borderId="0" xfId="0" applyNumberFormat="1" applyFont="1"/>
    <xf numFmtId="0" fontId="42" fillId="12" borderId="0" xfId="0" applyFont="1" applyFill="1"/>
    <xf numFmtId="0" fontId="38" fillId="0" borderId="23" xfId="0" applyFont="1" applyBorder="1" applyAlignment="1">
      <alignment horizontal="center" vertical="center"/>
    </xf>
    <xf numFmtId="0" fontId="40" fillId="19" borderId="0" xfId="0" applyFont="1" applyFill="1"/>
    <xf numFmtId="0" fontId="41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3" fillId="0" borderId="0" xfId="0" applyFont="1"/>
    <xf numFmtId="0" fontId="40" fillId="11" borderId="0" xfId="0" applyFont="1" applyFill="1"/>
    <xf numFmtId="0" fontId="44" fillId="0" borderId="0" xfId="0" applyFont="1"/>
    <xf numFmtId="0" fontId="38" fillId="0" borderId="2" xfId="0" applyFont="1" applyBorder="1" applyAlignment="1">
      <alignment horizontal="center" vertical="center"/>
    </xf>
    <xf numFmtId="1" fontId="39" fillId="11" borderId="3" xfId="0" applyNumberFormat="1" applyFont="1" applyFill="1" applyBorder="1"/>
    <xf numFmtId="0" fontId="45" fillId="0" borderId="0" xfId="0" applyFont="1" applyAlignment="1">
      <alignment horizontal="center" vertical="center"/>
    </xf>
    <xf numFmtId="0" fontId="41" fillId="11" borderId="4" xfId="0" applyFont="1" applyFill="1" applyBorder="1"/>
    <xf numFmtId="0" fontId="46" fillId="19" borderId="17" xfId="0" applyFont="1" applyFill="1" applyBorder="1" applyAlignment="1">
      <alignment horizontal="center" vertical="center"/>
    </xf>
    <xf numFmtId="0" fontId="41" fillId="19" borderId="15" xfId="0" applyFont="1" applyFill="1" applyBorder="1" applyAlignment="1">
      <alignment horizontal="center" vertical="center"/>
    </xf>
    <xf numFmtId="0" fontId="41" fillId="0" borderId="0" xfId="0" applyFont="1" applyAlignment="1">
      <alignment horizontal="center"/>
    </xf>
    <xf numFmtId="0" fontId="41" fillId="0" borderId="0" xfId="0" applyFont="1" applyProtection="1">
      <protection locked="0"/>
    </xf>
    <xf numFmtId="0" fontId="41" fillId="11" borderId="15" xfId="0" applyFont="1" applyFill="1" applyBorder="1" applyAlignment="1">
      <alignment horizontal="center" vertical="center"/>
    </xf>
    <xf numFmtId="0" fontId="45" fillId="18" borderId="0" xfId="0" applyFont="1" applyFill="1" applyAlignment="1">
      <alignment horizontal="center"/>
    </xf>
    <xf numFmtId="14" fontId="45" fillId="18" borderId="0" xfId="0" applyNumberFormat="1" applyFont="1" applyFill="1" applyAlignment="1">
      <alignment horizontal="center"/>
    </xf>
    <xf numFmtId="0" fontId="41" fillId="11" borderId="17" xfId="0" applyFont="1" applyFill="1" applyBorder="1"/>
    <xf numFmtId="0" fontId="41" fillId="11" borderId="15" xfId="0" applyFont="1" applyFill="1" applyBorder="1"/>
    <xf numFmtId="0" fontId="46" fillId="19" borderId="12" xfId="0" applyFont="1" applyFill="1" applyBorder="1" applyAlignment="1">
      <alignment horizontal="center"/>
    </xf>
    <xf numFmtId="0" fontId="46" fillId="11" borderId="15" xfId="0" applyFont="1" applyFill="1" applyBorder="1" applyAlignment="1">
      <alignment horizontal="center"/>
    </xf>
    <xf numFmtId="164" fontId="46" fillId="11" borderId="3" xfId="0" applyNumberFormat="1" applyFont="1" applyFill="1" applyBorder="1" applyAlignment="1">
      <alignment horizontal="center" vertical="center"/>
    </xf>
    <xf numFmtId="164" fontId="46" fillId="11" borderId="24" xfId="0" applyNumberFormat="1" applyFont="1" applyFill="1" applyBorder="1" applyAlignment="1">
      <alignment horizontal="center"/>
    </xf>
    <xf numFmtId="164" fontId="46" fillId="11" borderId="26" xfId="0" applyNumberFormat="1" applyFont="1" applyFill="1" applyBorder="1" applyAlignment="1">
      <alignment horizontal="center"/>
    </xf>
    <xf numFmtId="0" fontId="46" fillId="11" borderId="15" xfId="0" applyFont="1" applyFill="1" applyBorder="1" applyAlignment="1">
      <alignment horizontal="center" vertical="center"/>
    </xf>
    <xf numFmtId="164" fontId="46" fillId="11" borderId="15" xfId="0" applyNumberFormat="1" applyFont="1" applyFill="1" applyBorder="1" applyAlignment="1">
      <alignment horizontal="center"/>
    </xf>
    <xf numFmtId="1" fontId="41" fillId="11" borderId="5" xfId="0" applyNumberFormat="1" applyFont="1" applyFill="1" applyBorder="1"/>
    <xf numFmtId="0" fontId="46" fillId="11" borderId="25" xfId="0" applyFont="1" applyFill="1" applyBorder="1" applyAlignment="1">
      <alignment horizontal="center"/>
    </xf>
    <xf numFmtId="0" fontId="46" fillId="11" borderId="0" xfId="0" applyFont="1" applyFill="1" applyAlignment="1">
      <alignment horizontal="center"/>
    </xf>
    <xf numFmtId="0" fontId="41" fillId="0" borderId="15" xfId="0" applyFont="1" applyBorder="1"/>
    <xf numFmtId="0" fontId="41" fillId="19" borderId="15" xfId="0" applyFont="1" applyFill="1" applyBorder="1"/>
    <xf numFmtId="0" fontId="41" fillId="18" borderId="15" xfId="0" applyFont="1" applyFill="1" applyBorder="1"/>
    <xf numFmtId="0" fontId="41" fillId="11" borderId="25" xfId="0" applyFont="1" applyFill="1" applyBorder="1"/>
    <xf numFmtId="1" fontId="41" fillId="11" borderId="4" xfId="0" applyNumberFormat="1" applyFont="1" applyFill="1" applyBorder="1"/>
    <xf numFmtId="0" fontId="41" fillId="18" borderId="4" xfId="0" applyFont="1" applyFill="1" applyBorder="1"/>
    <xf numFmtId="164" fontId="41" fillId="11" borderId="2" xfId="0" applyNumberFormat="1" applyFont="1" applyFill="1" applyBorder="1"/>
    <xf numFmtId="0" fontId="45" fillId="0" borderId="4" xfId="0" applyFont="1" applyBorder="1" applyAlignment="1">
      <alignment horizontal="center" vertical="center"/>
    </xf>
    <xf numFmtId="0" fontId="41" fillId="0" borderId="6" xfId="0" applyFont="1" applyBorder="1"/>
    <xf numFmtId="1" fontId="41" fillId="0" borderId="6" xfId="0" applyNumberFormat="1" applyFont="1" applyBorder="1"/>
    <xf numFmtId="164" fontId="41" fillId="0" borderId="6" xfId="0" applyNumberFormat="1" applyFont="1" applyBorder="1"/>
    <xf numFmtId="0" fontId="41" fillId="0" borderId="6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/>
    </xf>
    <xf numFmtId="164" fontId="45" fillId="0" borderId="0" xfId="0" applyNumberFormat="1" applyFont="1"/>
    <xf numFmtId="0" fontId="45" fillId="0" borderId="0" xfId="0" applyFont="1"/>
    <xf numFmtId="1" fontId="45" fillId="0" borderId="0" xfId="0" applyNumberFormat="1" applyFont="1" applyAlignment="1">
      <alignment horizontal="center" vertical="center"/>
    </xf>
    <xf numFmtId="164" fontId="45" fillId="0" borderId="0" xfId="0" applyNumberFormat="1" applyFont="1" applyAlignment="1">
      <alignment horizontal="center" vertical="center"/>
    </xf>
    <xf numFmtId="0" fontId="46" fillId="11" borderId="4" xfId="0" applyFont="1" applyFill="1" applyBorder="1"/>
    <xf numFmtId="0" fontId="41" fillId="19" borderId="4" xfId="0" applyFont="1" applyFill="1" applyBorder="1"/>
    <xf numFmtId="0" fontId="41" fillId="12" borderId="4" xfId="0" applyFont="1" applyFill="1" applyBorder="1"/>
    <xf numFmtId="0" fontId="41" fillId="0" borderId="4" xfId="0" applyFont="1" applyBorder="1"/>
    <xf numFmtId="0" fontId="41" fillId="20" borderId="4" xfId="0" applyFont="1" applyFill="1" applyBorder="1"/>
    <xf numFmtId="0" fontId="45" fillId="0" borderId="4" xfId="0" applyFont="1" applyBorder="1"/>
    <xf numFmtId="0" fontId="45" fillId="19" borderId="4" xfId="0" applyFont="1" applyFill="1" applyBorder="1" applyAlignment="1">
      <alignment horizontal="center" vertical="center"/>
    </xf>
    <xf numFmtId="0" fontId="41" fillId="19" borderId="4" xfId="0" quotePrefix="1" applyFont="1" applyFill="1" applyBorder="1"/>
    <xf numFmtId="0" fontId="45" fillId="12" borderId="4" xfId="0" applyFont="1" applyFill="1" applyBorder="1" applyAlignment="1">
      <alignment horizontal="center"/>
    </xf>
    <xf numFmtId="1" fontId="41" fillId="11" borderId="14" xfId="0" applyNumberFormat="1" applyFont="1" applyFill="1" applyBorder="1"/>
    <xf numFmtId="1" fontId="41" fillId="11" borderId="15" xfId="0" applyNumberFormat="1" applyFont="1" applyFill="1" applyBorder="1"/>
    <xf numFmtId="0" fontId="41" fillId="11" borderId="25" xfId="0" applyFont="1" applyFill="1" applyBorder="1" applyAlignment="1">
      <alignment horizontal="center" vertical="center"/>
    </xf>
    <xf numFmtId="0" fontId="46" fillId="11" borderId="5" xfId="0" applyFont="1" applyFill="1" applyBorder="1"/>
    <xf numFmtId="0" fontId="41" fillId="18" borderId="5" xfId="0" applyFont="1" applyFill="1" applyBorder="1"/>
    <xf numFmtId="0" fontId="41" fillId="11" borderId="5" xfId="0" applyFont="1" applyFill="1" applyBorder="1"/>
    <xf numFmtId="164" fontId="41" fillId="11" borderId="9" xfId="0" applyNumberFormat="1" applyFont="1" applyFill="1" applyBorder="1"/>
    <xf numFmtId="0" fontId="46" fillId="11" borderId="2" xfId="0" applyFont="1" applyFill="1" applyBorder="1"/>
    <xf numFmtId="0" fontId="41" fillId="19" borderId="15" xfId="0" applyFont="1" applyFill="1" applyBorder="1" applyAlignment="1">
      <alignment vertical="center"/>
    </xf>
    <xf numFmtId="0" fontId="41" fillId="18" borderId="15" xfId="0" applyFont="1" applyFill="1" applyBorder="1" applyAlignment="1">
      <alignment vertical="center"/>
    </xf>
    <xf numFmtId="164" fontId="41" fillId="11" borderId="15" xfId="0" applyNumberFormat="1" applyFont="1" applyFill="1" applyBorder="1"/>
    <xf numFmtId="0" fontId="41" fillId="0" borderId="2" xfId="0" applyFont="1" applyBorder="1"/>
    <xf numFmtId="0" fontId="45" fillId="0" borderId="15" xfId="0" applyFont="1" applyBorder="1" applyAlignment="1">
      <alignment horizontal="center" vertical="center"/>
    </xf>
    <xf numFmtId="0" fontId="46" fillId="11" borderId="8" xfId="0" applyFont="1" applyFill="1" applyBorder="1"/>
    <xf numFmtId="1" fontId="41" fillId="11" borderId="20" xfId="0" applyNumberFormat="1" applyFont="1" applyFill="1" applyBorder="1"/>
    <xf numFmtId="0" fontId="41" fillId="11" borderId="29" xfId="0" applyFont="1" applyFill="1" applyBorder="1" applyAlignment="1">
      <alignment horizontal="center" vertical="center"/>
    </xf>
    <xf numFmtId="0" fontId="46" fillId="11" borderId="29" xfId="0" applyFont="1" applyFill="1" applyBorder="1" applyAlignment="1">
      <alignment horizontal="center"/>
    </xf>
    <xf numFmtId="164" fontId="46" fillId="11" borderId="31" xfId="0" applyNumberFormat="1" applyFont="1" applyFill="1" applyBorder="1" applyAlignment="1">
      <alignment horizontal="center" vertical="center"/>
    </xf>
    <xf numFmtId="164" fontId="41" fillId="11" borderId="15" xfId="0" applyNumberFormat="1" applyFont="1" applyFill="1" applyBorder="1" applyAlignment="1">
      <alignment vertical="center"/>
    </xf>
    <xf numFmtId="0" fontId="41" fillId="11" borderId="0" xfId="0" applyFont="1" applyFill="1"/>
    <xf numFmtId="1" fontId="41" fillId="11" borderId="25" xfId="0" applyNumberFormat="1" applyFont="1" applyFill="1" applyBorder="1"/>
    <xf numFmtId="164" fontId="41" fillId="11" borderId="25" xfId="0" applyNumberFormat="1" applyFont="1" applyFill="1" applyBorder="1"/>
    <xf numFmtId="0" fontId="46" fillId="11" borderId="25" xfId="0" applyFont="1" applyFill="1" applyBorder="1" applyAlignment="1">
      <alignment horizontal="center" vertical="center"/>
    </xf>
    <xf numFmtId="0" fontId="41" fillId="18" borderId="25" xfId="0" applyFont="1" applyFill="1" applyBorder="1"/>
    <xf numFmtId="0" fontId="45" fillId="0" borderId="15" xfId="0" applyFont="1" applyBorder="1" applyAlignment="1">
      <alignment horizontal="center"/>
    </xf>
    <xf numFmtId="0" fontId="41" fillId="11" borderId="0" xfId="0" applyFont="1" applyFill="1" applyAlignment="1">
      <alignment horizontal="center" vertical="center"/>
    </xf>
    <xf numFmtId="1" fontId="41" fillId="11" borderId="15" xfId="0" applyNumberFormat="1" applyFont="1" applyFill="1" applyBorder="1" applyAlignment="1">
      <alignment horizontal="right" vertical="center"/>
    </xf>
    <xf numFmtId="1" fontId="41" fillId="11" borderId="15" xfId="0" applyNumberFormat="1" applyFont="1" applyFill="1" applyBorder="1" applyAlignment="1">
      <alignment vertical="center"/>
    </xf>
    <xf numFmtId="0" fontId="41" fillId="11" borderId="15" xfId="0" applyFont="1" applyFill="1" applyBorder="1" applyAlignment="1">
      <alignment vertical="center"/>
    </xf>
    <xf numFmtId="0" fontId="50" fillId="0" borderId="0" xfId="9" applyFont="1">
      <alignment horizontal="left"/>
    </xf>
    <xf numFmtId="0" fontId="33" fillId="0" borderId="0" xfId="7" applyFont="1" applyAlignment="1">
      <alignment horizontal="center"/>
    </xf>
    <xf numFmtId="0" fontId="51" fillId="24" borderId="0" xfId="7" applyFont="1" applyFill="1">
      <alignment vertical="center"/>
    </xf>
    <xf numFmtId="0" fontId="33" fillId="24" borderId="0" xfId="7" applyFont="1" applyFill="1">
      <alignment vertical="center"/>
    </xf>
    <xf numFmtId="0" fontId="33" fillId="0" borderId="0" xfId="7" applyFont="1" applyBorder="1">
      <alignment vertical="center"/>
    </xf>
    <xf numFmtId="1" fontId="34" fillId="19" borderId="15" xfId="9" applyNumberFormat="1" applyFont="1" applyFill="1" applyBorder="1" applyAlignment="1">
      <alignment horizontal="center" vertical="center"/>
    </xf>
    <xf numFmtId="0" fontId="33" fillId="0" borderId="0" xfId="7" applyFont="1" applyFill="1" applyBorder="1">
      <alignment vertical="center"/>
    </xf>
    <xf numFmtId="0" fontId="33" fillId="0" borderId="0" xfId="7" applyFont="1" applyFill="1" applyAlignment="1">
      <alignment horizontal="center" vertical="center"/>
    </xf>
    <xf numFmtId="0" fontId="33" fillId="22" borderId="0" xfId="7" applyFont="1" applyFill="1">
      <alignment vertical="center"/>
    </xf>
    <xf numFmtId="0" fontId="33" fillId="25" borderId="28" xfId="7" applyFont="1" applyFill="1" applyBorder="1">
      <alignment vertical="center"/>
    </xf>
    <xf numFmtId="0" fontId="33" fillId="25" borderId="0" xfId="7" applyFont="1" applyFill="1">
      <alignment vertical="center"/>
    </xf>
    <xf numFmtId="0" fontId="53" fillId="0" borderId="0" xfId="0" applyFont="1"/>
    <xf numFmtId="0" fontId="34" fillId="19" borderId="15" xfId="7" applyFont="1" applyFill="1" applyBorder="1" applyAlignment="1">
      <alignment horizontal="center"/>
    </xf>
    <xf numFmtId="0" fontId="33" fillId="0" borderId="0" xfId="7" applyFont="1" applyAlignment="1">
      <alignment horizontal="center" vertical="center"/>
    </xf>
    <xf numFmtId="0" fontId="33" fillId="0" borderId="0" xfId="7" applyFont="1" applyFill="1">
      <alignment vertical="center"/>
    </xf>
    <xf numFmtId="2" fontId="33" fillId="0" borderId="0" xfId="7" applyNumberFormat="1" applyFont="1" applyAlignment="1">
      <alignment horizontal="center" vertical="center"/>
    </xf>
    <xf numFmtId="0" fontId="33" fillId="0" borderId="28" xfId="7" applyFont="1" applyFill="1" applyBorder="1" applyAlignment="1">
      <alignment horizontal="center" vertical="center"/>
    </xf>
    <xf numFmtId="0" fontId="34" fillId="19" borderId="15" xfId="7" applyFont="1" applyFill="1" applyBorder="1" applyAlignment="1">
      <alignment horizontal="center" vertical="center"/>
    </xf>
    <xf numFmtId="2" fontId="33" fillId="0" borderId="0" xfId="7" applyNumberFormat="1" applyFont="1" applyFill="1" applyAlignment="1">
      <alignment horizontal="center" vertical="center"/>
    </xf>
    <xf numFmtId="16" fontId="33" fillId="0" borderId="0" xfId="16" quotePrefix="1" applyNumberFormat="1" applyFont="1" applyAlignment="1">
      <alignment horizontal="center" vertical="center"/>
    </xf>
    <xf numFmtId="164" fontId="53" fillId="0" borderId="15" xfId="0" applyNumberFormat="1" applyFont="1" applyBorder="1" applyAlignment="1">
      <alignment horizontal="center" vertical="center"/>
    </xf>
    <xf numFmtId="0" fontId="53" fillId="0" borderId="15" xfId="0" applyFont="1" applyBorder="1" applyAlignment="1">
      <alignment horizontal="center" vertical="center"/>
    </xf>
    <xf numFmtId="0" fontId="51" fillId="25" borderId="0" xfId="7" applyFont="1" applyFill="1">
      <alignment vertical="center"/>
    </xf>
    <xf numFmtId="0" fontId="37" fillId="22" borderId="15" xfId="9" applyFont="1" applyFill="1" applyBorder="1" applyAlignment="1">
      <alignment horizontal="center" vertical="center" wrapText="1"/>
    </xf>
    <xf numFmtId="2" fontId="36" fillId="18" borderId="15" xfId="7" applyNumberFormat="1" applyFont="1" applyFill="1" applyBorder="1" applyAlignment="1">
      <alignment horizontal="center" vertical="center"/>
    </xf>
    <xf numFmtId="169" fontId="33" fillId="0" borderId="0" xfId="7" applyNumberFormat="1" applyFont="1">
      <alignment vertical="center"/>
    </xf>
    <xf numFmtId="0" fontId="54" fillId="0" borderId="0" xfId="0" applyFont="1" applyAlignment="1">
      <alignment horizontal="center" vertical="center"/>
    </xf>
    <xf numFmtId="169" fontId="51" fillId="25" borderId="0" xfId="7" applyNumberFormat="1" applyFont="1" applyFill="1">
      <alignment vertical="center"/>
    </xf>
    <xf numFmtId="2" fontId="36" fillId="18" borderId="27" xfId="7" applyNumberFormat="1" applyFont="1" applyFill="1" applyBorder="1" applyAlignment="1">
      <alignment horizontal="center" vertical="center"/>
    </xf>
    <xf numFmtId="0" fontId="51" fillId="0" borderId="0" xfId="7" applyFont="1" applyFill="1">
      <alignment vertical="center"/>
    </xf>
    <xf numFmtId="0" fontId="56" fillId="0" borderId="0" xfId="9" applyFont="1" applyFill="1" applyBorder="1" applyAlignment="1">
      <alignment horizontal="left" wrapText="1"/>
    </xf>
    <xf numFmtId="0" fontId="36" fillId="0" borderId="30" xfId="7" applyFont="1" applyFill="1" applyBorder="1" applyAlignment="1">
      <alignment horizontal="center"/>
    </xf>
    <xf numFmtId="2" fontId="36" fillId="0" borderId="27" xfId="7" applyNumberFormat="1" applyFont="1" applyFill="1" applyBorder="1" applyAlignment="1">
      <alignment horizontal="center"/>
    </xf>
    <xf numFmtId="0" fontId="33" fillId="0" borderId="0" xfId="7" quotePrefix="1" applyFont="1" applyAlignment="1">
      <alignment horizontal="center" vertical="center"/>
    </xf>
    <xf numFmtId="0" fontId="52" fillId="0" borderId="0" xfId="9" applyFont="1" applyFill="1" applyBorder="1" applyAlignment="1">
      <alignment horizontal="center" vertical="center"/>
    </xf>
    <xf numFmtId="1" fontId="51" fillId="0" borderId="0" xfId="7" applyNumberFormat="1" applyFont="1">
      <alignment vertical="center"/>
    </xf>
    <xf numFmtId="0" fontId="51" fillId="0" borderId="0" xfId="7" applyFont="1">
      <alignment vertical="center"/>
    </xf>
    <xf numFmtId="169" fontId="51" fillId="24" borderId="0" xfId="0" applyNumberFormat="1" applyFont="1" applyFill="1"/>
    <xf numFmtId="0" fontId="33" fillId="0" borderId="0" xfId="7" quotePrefix="1" applyFont="1">
      <alignment vertical="center"/>
    </xf>
    <xf numFmtId="0" fontId="33" fillId="0" borderId="0" xfId="7" applyNumberFormat="1" applyFont="1">
      <alignment vertical="center"/>
    </xf>
    <xf numFmtId="2" fontId="33" fillId="0" borderId="0" xfId="7" applyNumberFormat="1" applyFont="1" applyAlignment="1">
      <alignment horizontal="center"/>
    </xf>
    <xf numFmtId="0" fontId="33" fillId="0" borderId="0" xfId="7" applyFont="1" applyAlignment="1">
      <alignment vertical="center" wrapText="1"/>
    </xf>
    <xf numFmtId="0" fontId="33" fillId="0" borderId="15" xfId="7" applyFont="1" applyBorder="1" applyAlignment="1">
      <alignment horizontal="center" vertical="center"/>
    </xf>
    <xf numFmtId="164" fontId="58" fillId="22" borderId="15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54" fillId="0" borderId="0" xfId="0" applyFont="1"/>
    <xf numFmtId="1" fontId="37" fillId="0" borderId="0" xfId="0" applyNumberFormat="1" applyFont="1" applyAlignment="1">
      <alignment horizontal="center" vertical="center" wrapText="1"/>
    </xf>
    <xf numFmtId="17" fontId="41" fillId="11" borderId="15" xfId="0" quotePrefix="1" applyNumberFormat="1" applyFont="1" applyFill="1" applyBorder="1" applyAlignment="1">
      <alignment horizontal="center" vertical="center"/>
    </xf>
    <xf numFmtId="0" fontId="46" fillId="11" borderId="36" xfId="0" applyFont="1" applyFill="1" applyBorder="1"/>
    <xf numFmtId="0" fontId="46" fillId="11" borderId="37" xfId="0" applyFont="1" applyFill="1" applyBorder="1"/>
    <xf numFmtId="0" fontId="46" fillId="11" borderId="38" xfId="0" applyFont="1" applyFill="1" applyBorder="1"/>
    <xf numFmtId="0" fontId="41" fillId="11" borderId="38" xfId="0" applyFont="1" applyFill="1" applyBorder="1"/>
    <xf numFmtId="0" fontId="46" fillId="11" borderId="39" xfId="0" applyFont="1" applyFill="1" applyBorder="1"/>
    <xf numFmtId="164" fontId="7" fillId="21" borderId="4" xfId="0" applyNumberFormat="1" applyFont="1" applyFill="1" applyBorder="1" applyAlignment="1">
      <alignment horizontal="center"/>
    </xf>
    <xf numFmtId="164" fontId="7" fillId="21" borderId="3" xfId="0" applyNumberFormat="1" applyFont="1" applyFill="1" applyBorder="1" applyAlignment="1">
      <alignment horizontal="center"/>
    </xf>
    <xf numFmtId="0" fontId="41" fillId="11" borderId="21" xfId="0" applyFont="1" applyFill="1" applyBorder="1" applyAlignment="1">
      <alignment vertical="center"/>
    </xf>
    <xf numFmtId="164" fontId="46" fillId="11" borderId="42" xfId="0" applyNumberFormat="1" applyFont="1" applyFill="1" applyBorder="1" applyAlignment="1">
      <alignment horizontal="center"/>
    </xf>
    <xf numFmtId="164" fontId="46" fillId="11" borderId="43" xfId="0" applyNumberFormat="1" applyFont="1" applyFill="1" applyBorder="1" applyAlignment="1">
      <alignment horizontal="center"/>
    </xf>
    <xf numFmtId="0" fontId="46" fillId="11" borderId="14" xfId="0" applyFont="1" applyFill="1" applyBorder="1"/>
    <xf numFmtId="0" fontId="41" fillId="19" borderId="14" xfId="0" applyFont="1" applyFill="1" applyBorder="1"/>
    <xf numFmtId="0" fontId="45" fillId="12" borderId="14" xfId="0" applyFont="1" applyFill="1" applyBorder="1" applyAlignment="1">
      <alignment horizontal="center"/>
    </xf>
    <xf numFmtId="0" fontId="41" fillId="11" borderId="27" xfId="0" applyFont="1" applyFill="1" applyBorder="1" applyAlignment="1">
      <alignment horizontal="center" vertical="center"/>
    </xf>
    <xf numFmtId="0" fontId="41" fillId="11" borderId="44" xfId="0" applyFont="1" applyFill="1" applyBorder="1"/>
    <xf numFmtId="0" fontId="41" fillId="11" borderId="27" xfId="0" applyFont="1" applyFill="1" applyBorder="1"/>
    <xf numFmtId="0" fontId="41" fillId="18" borderId="20" xfId="0" applyFont="1" applyFill="1" applyBorder="1"/>
    <xf numFmtId="0" fontId="45" fillId="0" borderId="20" xfId="0" applyFont="1" applyBorder="1" applyAlignment="1">
      <alignment horizontal="center" vertical="center"/>
    </xf>
    <xf numFmtId="0" fontId="41" fillId="11" borderId="20" xfId="0" applyFont="1" applyFill="1" applyBorder="1"/>
    <xf numFmtId="164" fontId="41" fillId="11" borderId="7" xfId="0" applyNumberFormat="1" applyFont="1" applyFill="1" applyBorder="1"/>
    <xf numFmtId="0" fontId="46" fillId="11" borderId="15" xfId="0" applyFont="1" applyFill="1" applyBorder="1"/>
    <xf numFmtId="0" fontId="41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19" borderId="15" xfId="7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6" fillId="19" borderId="15" xfId="0" applyFont="1" applyFill="1" applyBorder="1" applyAlignment="1">
      <alignment horizontal="center"/>
    </xf>
    <xf numFmtId="0" fontId="46" fillId="19" borderId="15" xfId="0" applyFont="1" applyFill="1" applyBorder="1" applyAlignment="1">
      <alignment horizontal="center" vertical="center"/>
    </xf>
    <xf numFmtId="0" fontId="41" fillId="18" borderId="27" xfId="0" applyFont="1" applyFill="1" applyBorder="1"/>
    <xf numFmtId="0" fontId="45" fillId="0" borderId="27" xfId="0" applyFont="1" applyBorder="1" applyAlignment="1">
      <alignment horizontal="center" vertical="center"/>
    </xf>
    <xf numFmtId="1" fontId="41" fillId="11" borderId="27" xfId="0" applyNumberFormat="1" applyFont="1" applyFill="1" applyBorder="1"/>
    <xf numFmtId="164" fontId="41" fillId="11" borderId="27" xfId="0" applyNumberFormat="1" applyFont="1" applyFill="1" applyBorder="1"/>
    <xf numFmtId="0" fontId="41" fillId="26" borderId="0" xfId="0" applyFont="1" applyFill="1"/>
    <xf numFmtId="0" fontId="41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5" fillId="19" borderId="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5" fillId="19" borderId="15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5" fillId="19" borderId="25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9" borderId="4" xfId="0" applyFont="1" applyFill="1" applyBorder="1" applyAlignment="1">
      <alignment horizontal="left" vertical="center"/>
    </xf>
    <xf numFmtId="0" fontId="45" fillId="0" borderId="5" xfId="0" applyFont="1" applyBorder="1" applyAlignment="1">
      <alignment horizontal="center" vertical="center"/>
    </xf>
    <xf numFmtId="2" fontId="0" fillId="11" borderId="0" xfId="0" applyNumberFormat="1" applyFill="1"/>
    <xf numFmtId="1" fontId="0" fillId="11" borderId="0" xfId="0" applyNumberFormat="1" applyFill="1"/>
    <xf numFmtId="0" fontId="6" fillId="0" borderId="21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2" fillId="14" borderId="0" xfId="0" applyFont="1" applyFill="1" applyAlignment="1">
      <alignment horizontal="center"/>
    </xf>
    <xf numFmtId="2" fontId="0" fillId="11" borderId="15" xfId="0" applyNumberFormat="1" applyFill="1" applyBorder="1"/>
    <xf numFmtId="0" fontId="0" fillId="0" borderId="0" xfId="0" quotePrefix="1"/>
    <xf numFmtId="2" fontId="0" fillId="0" borderId="1" xfId="0" applyNumberFormat="1" applyBorder="1"/>
    <xf numFmtId="2" fontId="6" fillId="0" borderId="0" xfId="0" applyNumberFormat="1" applyFont="1"/>
    <xf numFmtId="0" fontId="0" fillId="11" borderId="15" xfId="0" applyFill="1" applyBorder="1" applyAlignment="1">
      <alignment horizontal="center" vertical="center"/>
    </xf>
    <xf numFmtId="1" fontId="0" fillId="11" borderId="15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5" xfId="0" applyFill="1" applyBorder="1"/>
    <xf numFmtId="0" fontId="0" fillId="11" borderId="0" xfId="0" applyFill="1" applyAlignment="1">
      <alignment horizontal="center"/>
    </xf>
    <xf numFmtId="0" fontId="0" fillId="11" borderId="4" xfId="0" applyFill="1" applyBorder="1"/>
    <xf numFmtId="0" fontId="6" fillId="0" borderId="0" xfId="0" applyFont="1" applyAlignment="1">
      <alignment horizontal="center" wrapText="1"/>
    </xf>
    <xf numFmtId="0" fontId="0" fillId="11" borderId="15" xfId="0" applyFill="1" applyBorder="1" applyAlignment="1">
      <alignment horizontal="center"/>
    </xf>
    <xf numFmtId="0" fontId="0" fillId="14" borderId="0" xfId="0" applyFill="1"/>
    <xf numFmtId="1" fontId="0" fillId="21" borderId="4" xfId="0" applyNumberFormat="1" applyFill="1" applyBorder="1" applyAlignment="1">
      <alignment horizontal="center"/>
    </xf>
    <xf numFmtId="0" fontId="46" fillId="11" borderId="17" xfId="0" applyFont="1" applyFill="1" applyBorder="1" applyAlignment="1">
      <alignment horizontal="center" vertical="center"/>
    </xf>
    <xf numFmtId="2" fontId="36" fillId="20" borderId="0" xfId="9" applyNumberFormat="1" applyFont="1" applyFill="1" applyAlignment="1">
      <alignment horizontal="center" vertical="center"/>
    </xf>
    <xf numFmtId="16" fontId="33" fillId="0" borderId="0" xfId="7" quotePrefix="1" applyNumberFormat="1" applyFont="1">
      <alignment vertical="center"/>
    </xf>
    <xf numFmtId="0" fontId="33" fillId="0" borderId="31" xfId="7" applyFont="1" applyBorder="1" applyAlignment="1">
      <alignment horizontal="center" vertical="center"/>
    </xf>
    <xf numFmtId="2" fontId="33" fillId="0" borderId="0" xfId="7" quotePrefix="1" applyNumberFormat="1" applyFont="1" applyAlignment="1">
      <alignment horizontal="center" vertical="center"/>
    </xf>
    <xf numFmtId="0" fontId="33" fillId="19" borderId="15" xfId="7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1" borderId="21" xfId="0" applyFont="1" applyFill="1" applyBorder="1" applyAlignment="1">
      <alignment horizontal="center" vertical="center"/>
    </xf>
    <xf numFmtId="0" fontId="33" fillId="0" borderId="0" xfId="7" applyFont="1" applyAlignment="1">
      <alignment horizontal="left" vertical="center"/>
    </xf>
    <xf numFmtId="0" fontId="41" fillId="18" borderId="14" xfId="0" applyFont="1" applyFill="1" applyBorder="1"/>
    <xf numFmtId="0" fontId="45" fillId="19" borderId="1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1" borderId="14" xfId="0" applyFont="1" applyFill="1" applyBorder="1"/>
    <xf numFmtId="164" fontId="46" fillId="11" borderId="32" xfId="0" applyNumberFormat="1" applyFont="1" applyFill="1" applyBorder="1" applyAlignment="1">
      <alignment horizontal="center"/>
    </xf>
    <xf numFmtId="0" fontId="41" fillId="11" borderId="21" xfId="0" applyFont="1" applyFill="1" applyBorder="1"/>
    <xf numFmtId="0" fontId="41" fillId="11" borderId="30" xfId="0" applyFont="1" applyFill="1" applyBorder="1"/>
    <xf numFmtId="164" fontId="46" fillId="11" borderId="10" xfId="0" applyNumberFormat="1" applyFont="1" applyFill="1" applyBorder="1" applyAlignment="1">
      <alignment horizontal="center" vertical="center"/>
    </xf>
    <xf numFmtId="164" fontId="46" fillId="11" borderId="47" xfId="0" applyNumberFormat="1" applyFont="1" applyFill="1" applyBorder="1" applyAlignment="1">
      <alignment horizontal="center"/>
    </xf>
    <xf numFmtId="0" fontId="45" fillId="18" borderId="1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9" borderId="15" xfId="0" applyFill="1" applyBorder="1"/>
    <xf numFmtId="0" fontId="0" fillId="27" borderId="15" xfId="0" applyFill="1" applyBorder="1" applyAlignment="1">
      <alignment horizontal="center"/>
    </xf>
    <xf numFmtId="0" fontId="0" fillId="19" borderId="15" xfId="0" applyFill="1" applyBorder="1" applyAlignment="1">
      <alignment horizontal="center"/>
    </xf>
    <xf numFmtId="2" fontId="0" fillId="19" borderId="15" xfId="0" applyNumberFormat="1" applyFill="1" applyBorder="1" applyAlignment="1">
      <alignment horizontal="center"/>
    </xf>
    <xf numFmtId="0" fontId="0" fillId="19" borderId="15" xfId="0" applyFill="1" applyBorder="1" applyAlignment="1">
      <alignment horizontal="center" vertical="center"/>
    </xf>
    <xf numFmtId="0" fontId="7" fillId="28" borderId="4" xfId="0" applyFont="1" applyFill="1" applyBorder="1" applyAlignment="1" applyProtection="1">
      <alignment horizontal="center"/>
      <protection locked="0"/>
    </xf>
    <xf numFmtId="1" fontId="7" fillId="28" borderId="4" xfId="0" applyNumberFormat="1" applyFont="1" applyFill="1" applyBorder="1" applyAlignment="1" applyProtection="1">
      <alignment horizontal="center"/>
      <protection locked="0"/>
    </xf>
    <xf numFmtId="0" fontId="7" fillId="28" borderId="2" xfId="0" applyFont="1" applyFill="1" applyBorder="1" applyAlignment="1" applyProtection="1">
      <alignment horizontal="center"/>
      <protection locked="0"/>
    </xf>
    <xf numFmtId="0" fontId="5" fillId="28" borderId="3" xfId="0" applyFont="1" applyFill="1" applyBorder="1" applyProtection="1">
      <protection locked="0"/>
    </xf>
    <xf numFmtId="164" fontId="7" fillId="28" borderId="4" xfId="0" applyNumberFormat="1" applyFont="1" applyFill="1" applyBorder="1" applyAlignment="1" applyProtection="1">
      <alignment horizontal="center"/>
      <protection locked="0"/>
    </xf>
    <xf numFmtId="0" fontId="7" fillId="28" borderId="3" xfId="0" applyFont="1" applyFill="1" applyBorder="1" applyProtection="1">
      <protection locked="0"/>
    </xf>
    <xf numFmtId="1" fontId="7" fillId="28" borderId="4" xfId="0" applyNumberFormat="1" applyFont="1" applyFill="1" applyBorder="1" applyAlignment="1">
      <alignment horizontal="center"/>
    </xf>
    <xf numFmtId="2" fontId="0" fillId="27" borderId="15" xfId="0" applyNumberFormat="1" applyFill="1" applyBorder="1" applyAlignment="1">
      <alignment horizontal="center" vertical="center"/>
    </xf>
    <xf numFmtId="2" fontId="0" fillId="19" borderId="15" xfId="0" applyNumberForma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45" fillId="19" borderId="15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9" borderId="15" xfId="0" applyFont="1" applyFill="1" applyBorder="1" applyAlignment="1">
      <alignment horizontal="left" vertical="center"/>
    </xf>
    <xf numFmtId="164" fontId="46" fillId="11" borderId="25" xfId="0" applyNumberFormat="1" applyFont="1" applyFill="1" applyBorder="1" applyAlignment="1">
      <alignment horizontal="center"/>
    </xf>
    <xf numFmtId="164" fontId="46" fillId="11" borderId="48" xfId="0" applyNumberFormat="1" applyFont="1" applyFill="1" applyBorder="1" applyAlignment="1">
      <alignment horizontal="center"/>
    </xf>
    <xf numFmtId="164" fontId="46" fillId="11" borderId="49" xfId="0" applyNumberFormat="1" applyFont="1" applyFill="1" applyBorder="1" applyAlignment="1">
      <alignment horizontal="center"/>
    </xf>
    <xf numFmtId="0" fontId="46" fillId="11" borderId="50" xfId="0" applyFont="1" applyFill="1" applyBorder="1"/>
    <xf numFmtId="0" fontId="41" fillId="18" borderId="50" xfId="0" applyFont="1" applyFill="1" applyBorder="1"/>
    <xf numFmtId="0" fontId="41" fillId="0" borderId="50" xfId="0" applyFont="1" applyBorder="1"/>
    <xf numFmtId="1" fontId="41" fillId="11" borderId="50" xfId="0" applyNumberFormat="1" applyFont="1" applyFill="1" applyBorder="1"/>
    <xf numFmtId="164" fontId="41" fillId="11" borderId="51" xfId="0" applyNumberFormat="1" applyFont="1" applyFill="1" applyBorder="1"/>
    <xf numFmtId="164" fontId="49" fillId="0" borderId="52" xfId="0" applyNumberFormat="1" applyFont="1" applyBorder="1"/>
    <xf numFmtId="0" fontId="0" fillId="11" borderId="15" xfId="0" applyFill="1" applyBorder="1" applyAlignment="1">
      <alignment horizontal="left"/>
    </xf>
    <xf numFmtId="1" fontId="51" fillId="24" borderId="0" xfId="7" applyNumberFormat="1" applyFont="1" applyFill="1">
      <alignment vertical="center"/>
    </xf>
    <xf numFmtId="0" fontId="41" fillId="0" borderId="9" xfId="0" applyFont="1" applyBorder="1" applyAlignment="1">
      <alignment horizontal="center"/>
    </xf>
    <xf numFmtId="0" fontId="41" fillId="0" borderId="12" xfId="0" applyFont="1" applyBorder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2" xfId="0" applyFont="1" applyBorder="1" applyAlignment="1">
      <alignment horizontal="center"/>
    </xf>
    <xf numFmtId="0" fontId="41" fillId="0" borderId="10" xfId="0" applyFont="1" applyBorder="1" applyAlignment="1">
      <alignment horizontal="center"/>
    </xf>
    <xf numFmtId="0" fontId="41" fillId="0" borderId="8" xfId="0" applyFont="1" applyBorder="1" applyAlignment="1">
      <alignment horizontal="center"/>
    </xf>
    <xf numFmtId="0" fontId="41" fillId="0" borderId="1" xfId="0" applyFont="1" applyBorder="1" applyAlignment="1">
      <alignment horizontal="center"/>
    </xf>
    <xf numFmtId="1" fontId="41" fillId="0" borderId="15" xfId="0" applyNumberFormat="1" applyFont="1" applyBorder="1" applyAlignment="1">
      <alignment horizontal="center"/>
    </xf>
    <xf numFmtId="0" fontId="41" fillId="0" borderId="15" xfId="0" applyFont="1" applyBorder="1" applyAlignment="1">
      <alignment horizontal="center"/>
    </xf>
    <xf numFmtId="0" fontId="41" fillId="0" borderId="32" xfId="0" applyFont="1" applyBorder="1" applyAlignment="1">
      <alignment horizontal="center"/>
    </xf>
    <xf numFmtId="0" fontId="41" fillId="0" borderId="21" xfId="0" applyFont="1" applyBorder="1" applyAlignment="1">
      <alignment horizontal="center"/>
    </xf>
    <xf numFmtId="0" fontId="41" fillId="0" borderId="17" xfId="0" applyFont="1" applyBorder="1" applyAlignment="1">
      <alignment horizontal="center"/>
    </xf>
    <xf numFmtId="0" fontId="41" fillId="0" borderId="33" xfId="0" applyFont="1" applyBorder="1" applyAlignment="1">
      <alignment horizontal="center"/>
    </xf>
    <xf numFmtId="0" fontId="41" fillId="26" borderId="0" xfId="0" applyFont="1" applyFill="1" applyAlignment="1">
      <alignment horizontal="center"/>
    </xf>
    <xf numFmtId="0" fontId="41" fillId="26" borderId="45" xfId="0" applyFont="1" applyFill="1" applyBorder="1" applyAlignment="1">
      <alignment horizontal="center"/>
    </xf>
    <xf numFmtId="0" fontId="41" fillId="0" borderId="40" xfId="0" applyFont="1" applyBorder="1" applyAlignment="1">
      <alignment horizontal="center"/>
    </xf>
    <xf numFmtId="0" fontId="41" fillId="0" borderId="41" xfId="0" applyFont="1" applyBorder="1" applyAlignment="1">
      <alignment horizontal="center"/>
    </xf>
    <xf numFmtId="164" fontId="46" fillId="0" borderId="28" xfId="0" applyNumberFormat="1" applyFont="1" applyBorder="1" applyAlignment="1">
      <alignment horizontal="center"/>
    </xf>
    <xf numFmtId="164" fontId="46" fillId="0" borderId="0" xfId="0" applyNumberFormat="1" applyFont="1" applyAlignment="1">
      <alignment horizontal="center"/>
    </xf>
    <xf numFmtId="164" fontId="46" fillId="0" borderId="45" xfId="0" applyNumberFormat="1" applyFont="1" applyBorder="1" applyAlignment="1">
      <alignment horizontal="center"/>
    </xf>
    <xf numFmtId="0" fontId="34" fillId="19" borderId="22" xfId="7" applyFont="1" applyFill="1" applyBorder="1" applyAlignment="1">
      <alignment horizontal="center"/>
    </xf>
    <xf numFmtId="0" fontId="61" fillId="26" borderId="16" xfId="0" applyFont="1" applyFill="1" applyBorder="1" applyAlignment="1">
      <alignment vertical="center"/>
    </xf>
    <xf numFmtId="0" fontId="61" fillId="26" borderId="41" xfId="0" applyFont="1" applyFill="1" applyBorder="1" applyAlignment="1">
      <alignment vertical="center"/>
    </xf>
    <xf numFmtId="0" fontId="59" fillId="26" borderId="34" xfId="0" applyFont="1" applyFill="1" applyBorder="1" applyAlignment="1">
      <alignment vertical="center"/>
    </xf>
    <xf numFmtId="0" fontId="59" fillId="26" borderId="35" xfId="0" applyFont="1" applyFill="1" applyBorder="1" applyAlignment="1">
      <alignment vertical="center"/>
    </xf>
    <xf numFmtId="0" fontId="46" fillId="26" borderId="54" xfId="0" applyFont="1" applyFill="1" applyBorder="1"/>
    <xf numFmtId="1" fontId="45" fillId="0" borderId="0" xfId="0" applyNumberFormat="1" applyFont="1"/>
    <xf numFmtId="0" fontId="66" fillId="0" borderId="0" xfId="0" applyFont="1"/>
    <xf numFmtId="44" fontId="41" fillId="0" borderId="0" xfId="0" applyNumberFormat="1" applyFont="1"/>
    <xf numFmtId="0" fontId="48" fillId="0" borderId="0" xfId="0" applyFont="1"/>
    <xf numFmtId="0" fontId="47" fillId="18" borderId="0" xfId="0" applyFont="1" applyFill="1"/>
    <xf numFmtId="44" fontId="47" fillId="18" borderId="0" xfId="0" applyNumberFormat="1" applyFont="1" applyFill="1"/>
    <xf numFmtId="164" fontId="47" fillId="18" borderId="0" xfId="0" applyNumberFormat="1" applyFont="1" applyFill="1"/>
    <xf numFmtId="0" fontId="67" fillId="18" borderId="0" xfId="0" applyFont="1" applyFill="1" applyAlignment="1">
      <alignment horizontal="center" vertical="center"/>
    </xf>
    <xf numFmtId="0" fontId="46" fillId="26" borderId="1" xfId="0" applyFont="1" applyFill="1" applyBorder="1"/>
    <xf numFmtId="0" fontId="46" fillId="11" borderId="24" xfId="0" applyFont="1" applyFill="1" applyBorder="1"/>
    <xf numFmtId="0" fontId="46" fillId="11" borderId="6" xfId="0" applyFont="1" applyFill="1" applyBorder="1"/>
    <xf numFmtId="0" fontId="46" fillId="11" borderId="12" xfId="0" applyFont="1" applyFill="1" applyBorder="1"/>
    <xf numFmtId="0" fontId="47" fillId="18" borderId="45" xfId="0" applyFont="1" applyFill="1" applyBorder="1" applyAlignment="1">
      <alignment horizontal="center" vertical="center"/>
    </xf>
    <xf numFmtId="0" fontId="47" fillId="18" borderId="45" xfId="0" applyFont="1" applyFill="1" applyBorder="1"/>
    <xf numFmtId="0" fontId="59" fillId="26" borderId="3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8" fillId="0" borderId="0" xfId="0" applyFont="1"/>
    <xf numFmtId="0" fontId="15" fillId="0" borderId="0" xfId="0" applyFont="1" applyAlignment="1">
      <alignment vertical="center"/>
    </xf>
    <xf numFmtId="169" fontId="51" fillId="0" borderId="0" xfId="7" applyNumberFormat="1" applyFont="1" applyFill="1">
      <alignment vertical="center"/>
    </xf>
    <xf numFmtId="0" fontId="6" fillId="0" borderId="46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2" fontId="33" fillId="0" borderId="0" xfId="7" applyNumberFormat="1" applyFont="1">
      <alignment vertical="center"/>
    </xf>
    <xf numFmtId="2" fontId="0" fillId="11" borderId="15" xfId="0" applyNumberFormat="1" applyFill="1" applyBorder="1" applyAlignment="1">
      <alignment horizontal="center"/>
    </xf>
    <xf numFmtId="2" fontId="0" fillId="11" borderId="15" xfId="0" applyNumberFormat="1" applyFill="1" applyBorder="1" applyAlignment="1">
      <alignment horizontal="center" vertical="center"/>
    </xf>
    <xf numFmtId="0" fontId="33" fillId="0" borderId="0" xfId="7" applyFont="1" applyAlignment="1">
      <alignment horizontal="left" vertical="top"/>
    </xf>
    <xf numFmtId="0" fontId="34" fillId="19" borderId="22" xfId="9" applyFont="1" applyFill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/>
    </xf>
    <xf numFmtId="0" fontId="33" fillId="29" borderId="0" xfId="7" applyFont="1" applyFill="1">
      <alignment vertical="center"/>
    </xf>
    <xf numFmtId="0" fontId="63" fillId="29" borderId="0" xfId="7" applyFont="1" applyFill="1" applyAlignment="1">
      <alignment horizontal="left" vertical="center"/>
    </xf>
    <xf numFmtId="0" fontId="33" fillId="29" borderId="0" xfId="7" applyFont="1" applyFill="1" applyBorder="1">
      <alignment vertical="center"/>
    </xf>
    <xf numFmtId="0" fontId="63" fillId="29" borderId="0" xfId="7" applyFont="1" applyFill="1">
      <alignment vertical="center"/>
    </xf>
    <xf numFmtId="0" fontId="55" fillId="29" borderId="0" xfId="7" applyFont="1" applyFill="1" applyAlignment="1">
      <alignment horizontal="center"/>
    </xf>
    <xf numFmtId="0" fontId="50" fillId="29" borderId="0" xfId="9" applyFont="1" applyFill="1">
      <alignment horizontal="left"/>
    </xf>
    <xf numFmtId="0" fontId="33" fillId="29" borderId="0" xfId="7" applyFont="1" applyFill="1" applyAlignment="1">
      <alignment horizontal="center"/>
    </xf>
    <xf numFmtId="0" fontId="32" fillId="29" borderId="16" xfId="9" applyFont="1" applyFill="1" applyBorder="1" applyAlignment="1">
      <alignment horizontal="left" wrapText="1"/>
    </xf>
    <xf numFmtId="0" fontId="34" fillId="29" borderId="16" xfId="7" applyFont="1" applyFill="1" applyBorder="1" applyAlignment="1">
      <alignment horizontal="center"/>
    </xf>
    <xf numFmtId="0" fontId="32" fillId="29" borderId="0" xfId="9" applyFont="1" applyFill="1">
      <alignment horizontal="left"/>
    </xf>
    <xf numFmtId="0" fontId="69" fillId="23" borderId="0" xfId="0" applyFont="1" applyFill="1"/>
    <xf numFmtId="0" fontId="33" fillId="0" borderId="0" xfId="7" applyFont="1" applyAlignment="1">
      <alignment horizontal="right"/>
    </xf>
    <xf numFmtId="0" fontId="45" fillId="0" borderId="14" xfId="0" applyFont="1" applyBorder="1" applyAlignment="1">
      <alignment horizontal="center" vertical="center"/>
    </xf>
    <xf numFmtId="164" fontId="46" fillId="11" borderId="27" xfId="0" applyNumberFormat="1" applyFont="1" applyFill="1" applyBorder="1" applyAlignment="1">
      <alignment horizontal="center"/>
    </xf>
    <xf numFmtId="0" fontId="50" fillId="29" borderId="16" xfId="9" applyFont="1" applyFill="1" applyBorder="1">
      <alignment horizontal="left"/>
    </xf>
    <xf numFmtId="0" fontId="33" fillId="29" borderId="16" xfId="7" applyFont="1" applyFill="1" applyBorder="1" applyAlignment="1">
      <alignment horizontal="center"/>
    </xf>
    <xf numFmtId="0" fontId="32" fillId="22" borderId="23" xfId="9" applyFont="1" applyFill="1" applyBorder="1" applyAlignment="1">
      <alignment vertical="center"/>
    </xf>
    <xf numFmtId="0" fontId="32" fillId="22" borderId="46" xfId="9" applyFont="1" applyFill="1" applyBorder="1" applyAlignment="1">
      <alignment vertical="center"/>
    </xf>
    <xf numFmtId="169" fontId="51" fillId="0" borderId="0" xfId="7" applyNumberFormat="1" applyFont="1">
      <alignment vertical="center"/>
    </xf>
    <xf numFmtId="1" fontId="0" fillId="11" borderId="0" xfId="0" applyNumberFormat="1" applyFill="1" applyAlignment="1">
      <alignment horizontal="center" vertical="center"/>
    </xf>
    <xf numFmtId="2" fontId="0" fillId="11" borderId="0" xfId="0" applyNumberFormat="1" applyFill="1" applyAlignment="1">
      <alignment vertical="center"/>
    </xf>
    <xf numFmtId="1" fontId="0" fillId="11" borderId="0" xfId="0" applyNumberFormat="1" applyFill="1" applyAlignment="1">
      <alignment vertical="center"/>
    </xf>
    <xf numFmtId="0" fontId="0" fillId="19" borderId="22" xfId="0" applyFill="1" applyBorder="1" applyAlignment="1">
      <alignment horizontal="center" vertical="center"/>
    </xf>
    <xf numFmtId="0" fontId="47" fillId="18" borderId="0" xfId="0" applyFont="1" applyFill="1" applyAlignment="1">
      <alignment horizontal="center" vertical="center"/>
    </xf>
    <xf numFmtId="0" fontId="46" fillId="19" borderId="44" xfId="0" applyFont="1" applyFill="1" applyBorder="1" applyAlignment="1">
      <alignment horizontal="center"/>
    </xf>
    <xf numFmtId="1" fontId="41" fillId="19" borderId="4" xfId="0" applyNumberFormat="1" applyFont="1" applyFill="1" applyBorder="1"/>
    <xf numFmtId="0" fontId="50" fillId="29" borderId="0" xfId="9" applyFont="1" applyFill="1" applyBorder="1" applyAlignment="1">
      <alignment horizontal="center" vertical="center"/>
    </xf>
    <xf numFmtId="0" fontId="33" fillId="29" borderId="0" xfId="7" applyFont="1" applyFill="1" applyBorder="1" applyAlignment="1">
      <alignment horizontal="center" vertical="center"/>
    </xf>
    <xf numFmtId="0" fontId="50" fillId="29" borderId="0" xfId="9" applyFont="1" applyFill="1" applyBorder="1" applyAlignment="1">
      <alignment horizontal="left" vertical="center"/>
    </xf>
    <xf numFmtId="0" fontId="33" fillId="0" borderId="0" xfId="7" applyFont="1" applyFill="1" applyBorder="1" applyAlignment="1">
      <alignment horizontal="center" vertical="center"/>
    </xf>
    <xf numFmtId="0" fontId="71" fillId="31" borderId="55" xfId="0" applyFont="1" applyFill="1" applyBorder="1"/>
    <xf numFmtId="0" fontId="71" fillId="31" borderId="56" xfId="0" applyFont="1" applyFill="1" applyBorder="1"/>
    <xf numFmtId="14" fontId="72" fillId="31" borderId="56" xfId="0" applyNumberFormat="1" applyFont="1" applyFill="1" applyBorder="1"/>
    <xf numFmtId="0" fontId="72" fillId="31" borderId="56" xfId="0" applyFont="1" applyFill="1" applyBorder="1"/>
    <xf numFmtId="1" fontId="41" fillId="11" borderId="15" xfId="0" applyNumberFormat="1" applyFont="1" applyFill="1" applyBorder="1" applyAlignment="1">
      <alignment horizontal="center"/>
    </xf>
    <xf numFmtId="1" fontId="41" fillId="20" borderId="15" xfId="0" applyNumberFormat="1" applyFont="1" applyFill="1" applyBorder="1" applyAlignment="1">
      <alignment horizontal="left"/>
    </xf>
    <xf numFmtId="1" fontId="45" fillId="0" borderId="15" xfId="0" applyNumberFormat="1" applyFont="1" applyBorder="1" applyAlignment="1">
      <alignment horizontal="center"/>
    </xf>
    <xf numFmtId="164" fontId="41" fillId="11" borderId="15" xfId="15" applyNumberFormat="1" applyFont="1" applyFill="1" applyBorder="1" applyAlignment="1">
      <alignment horizontal="right"/>
    </xf>
    <xf numFmtId="0" fontId="71" fillId="0" borderId="0" xfId="0" applyFont="1"/>
    <xf numFmtId="167" fontId="41" fillId="0" borderId="0" xfId="0" applyNumberFormat="1" applyFont="1"/>
    <xf numFmtId="0" fontId="41" fillId="11" borderId="22" xfId="0" applyFont="1" applyFill="1" applyBorder="1"/>
    <xf numFmtId="1" fontId="41" fillId="11" borderId="15" xfId="0" applyNumberFormat="1" applyFont="1" applyFill="1" applyBorder="1" applyAlignment="1">
      <alignment horizontal="right"/>
    </xf>
    <xf numFmtId="0" fontId="71" fillId="31" borderId="55" xfId="0" applyFont="1" applyFill="1" applyBorder="1" applyAlignment="1">
      <alignment horizontal="center"/>
    </xf>
    <xf numFmtId="0" fontId="71" fillId="31" borderId="55" xfId="0" applyFont="1" applyFill="1" applyBorder="1" applyAlignment="1">
      <alignment horizontal="center" vertical="center"/>
    </xf>
    <xf numFmtId="0" fontId="71" fillId="32" borderId="55" xfId="0" applyFont="1" applyFill="1" applyBorder="1"/>
    <xf numFmtId="0" fontId="71" fillId="32" borderId="56" xfId="0" applyFont="1" applyFill="1" applyBorder="1"/>
    <xf numFmtId="0" fontId="71" fillId="33" borderId="55" xfId="0" applyFont="1" applyFill="1" applyBorder="1"/>
    <xf numFmtId="0" fontId="71" fillId="33" borderId="56" xfId="0" applyFont="1" applyFill="1" applyBorder="1"/>
    <xf numFmtId="0" fontId="71" fillId="34" borderId="55" xfId="0" applyFont="1" applyFill="1" applyBorder="1"/>
    <xf numFmtId="0" fontId="71" fillId="34" borderId="56" xfId="0" applyFont="1" applyFill="1" applyBorder="1"/>
    <xf numFmtId="0" fontId="71" fillId="34" borderId="55" xfId="0" applyFont="1" applyFill="1" applyBorder="1" applyAlignment="1">
      <alignment horizontal="center" vertical="center"/>
    </xf>
    <xf numFmtId="14" fontId="72" fillId="32" borderId="56" xfId="0" applyNumberFormat="1" applyFont="1" applyFill="1" applyBorder="1"/>
    <xf numFmtId="14" fontId="72" fillId="33" borderId="56" xfId="0" applyNumberFormat="1" applyFont="1" applyFill="1" applyBorder="1"/>
    <xf numFmtId="0" fontId="72" fillId="33" borderId="55" xfId="0" applyFont="1" applyFill="1" applyBorder="1"/>
    <xf numFmtId="0" fontId="72" fillId="33" borderId="56" xfId="0" applyFont="1" applyFill="1" applyBorder="1"/>
    <xf numFmtId="0" fontId="72" fillId="32" borderId="55" xfId="0" applyFont="1" applyFill="1" applyBorder="1"/>
    <xf numFmtId="0" fontId="72" fillId="32" borderId="56" xfId="0" applyFont="1" applyFill="1" applyBorder="1"/>
    <xf numFmtId="0" fontId="71" fillId="32" borderId="55" xfId="0" applyFont="1" applyFill="1" applyBorder="1" applyAlignment="1">
      <alignment horizontal="center"/>
    </xf>
    <xf numFmtId="0" fontId="71" fillId="33" borderId="55" xfId="0" applyFont="1" applyFill="1" applyBorder="1" applyAlignment="1">
      <alignment horizontal="center"/>
    </xf>
    <xf numFmtId="0" fontId="71" fillId="33" borderId="0" xfId="0" applyFont="1" applyFill="1"/>
    <xf numFmtId="0" fontId="71" fillId="32" borderId="0" xfId="0" applyFont="1" applyFill="1"/>
    <xf numFmtId="0" fontId="41" fillId="33" borderId="0" xfId="0" applyFont="1" applyFill="1"/>
    <xf numFmtId="0" fontId="72" fillId="34" borderId="56" xfId="0" applyFont="1" applyFill="1" applyBorder="1"/>
    <xf numFmtId="0" fontId="0" fillId="23" borderId="0" xfId="0" applyFill="1" applyAlignment="1">
      <alignment horizontal="center"/>
    </xf>
    <xf numFmtId="0" fontId="72" fillId="31" borderId="55" xfId="0" applyFont="1" applyFill="1" applyBorder="1" applyAlignment="1">
      <alignment horizontal="center"/>
    </xf>
    <xf numFmtId="0" fontId="71" fillId="34" borderId="55" xfId="0" applyFont="1" applyFill="1" applyBorder="1" applyAlignment="1">
      <alignment horizontal="center"/>
    </xf>
    <xf numFmtId="0" fontId="71" fillId="34" borderId="0" xfId="0" applyFont="1" applyFill="1" applyAlignment="1">
      <alignment horizontal="center"/>
    </xf>
    <xf numFmtId="0" fontId="71" fillId="31" borderId="0" xfId="0" applyFont="1" applyFill="1" applyAlignment="1">
      <alignment horizontal="center"/>
    </xf>
    <xf numFmtId="0" fontId="72" fillId="34" borderId="0" xfId="0" applyFont="1" applyFill="1" applyAlignment="1">
      <alignment horizontal="center"/>
    </xf>
    <xf numFmtId="0" fontId="0" fillId="34" borderId="0" xfId="0" applyFill="1"/>
    <xf numFmtId="164" fontId="33" fillId="0" borderId="0" xfId="7" applyNumberFormat="1" applyFont="1">
      <alignment vertical="center"/>
    </xf>
    <xf numFmtId="164" fontId="53" fillId="0" borderId="0" xfId="0" applyNumberFormat="1" applyFont="1"/>
    <xf numFmtId="164" fontId="53" fillId="34" borderId="0" xfId="0" applyNumberFormat="1" applyFont="1" applyFill="1" applyAlignment="1">
      <alignment horizontal="center" vertical="center"/>
    </xf>
    <xf numFmtId="0" fontId="53" fillId="34" borderId="0" xfId="0" applyFont="1" applyFill="1" applyAlignment="1">
      <alignment horizontal="center" vertical="center"/>
    </xf>
    <xf numFmtId="164" fontId="53" fillId="0" borderId="57" xfId="0" applyNumberFormat="1" applyFont="1" applyBorder="1" applyAlignment="1">
      <alignment horizontal="center" vertical="center"/>
    </xf>
    <xf numFmtId="0" fontId="53" fillId="0" borderId="57" xfId="0" applyFont="1" applyBorder="1" applyAlignment="1">
      <alignment horizontal="center" vertical="center"/>
    </xf>
    <xf numFmtId="43" fontId="53" fillId="34" borderId="0" xfId="16" applyFont="1" applyFill="1" applyBorder="1" applyAlignment="1">
      <alignment horizontal="center" vertical="center"/>
    </xf>
    <xf numFmtId="43" fontId="53" fillId="0" borderId="15" xfId="16" applyFont="1" applyBorder="1" applyAlignment="1">
      <alignment horizontal="center" vertical="center"/>
    </xf>
    <xf numFmtId="43" fontId="53" fillId="0" borderId="57" xfId="16" applyFont="1" applyBorder="1" applyAlignment="1">
      <alignment horizontal="center" vertical="center"/>
    </xf>
    <xf numFmtId="0" fontId="51" fillId="0" borderId="0" xfId="7" applyFont="1" applyFill="1" applyBorder="1">
      <alignment vertical="center"/>
    </xf>
    <xf numFmtId="164" fontId="53" fillId="0" borderId="0" xfId="0" applyNumberFormat="1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164" fontId="58" fillId="0" borderId="0" xfId="0" applyNumberFormat="1" applyFont="1" applyAlignment="1">
      <alignment horizontal="center"/>
    </xf>
    <xf numFmtId="0" fontId="63" fillId="0" borderId="15" xfId="7" applyFont="1" applyBorder="1" applyAlignment="1">
      <alignment horizontal="center" vertical="center"/>
    </xf>
    <xf numFmtId="0" fontId="45" fillId="19" borderId="15" xfId="0" applyFont="1" applyFill="1" applyBorder="1" applyAlignment="1">
      <alignment horizontal="center" vertical="center"/>
    </xf>
    <xf numFmtId="1" fontId="37" fillId="0" borderId="58" xfId="0" applyNumberFormat="1" applyFont="1" applyBorder="1" applyAlignment="1">
      <alignment horizontal="center" vertical="center" wrapText="1"/>
    </xf>
    <xf numFmtId="44" fontId="0" fillId="19" borderId="59" xfId="15" applyFont="1" applyFill="1" applyBorder="1"/>
    <xf numFmtId="164" fontId="12" fillId="4" borderId="2" xfId="0" applyNumberFormat="1" applyFont="1" applyFill="1" applyBorder="1" applyAlignment="1">
      <alignment horizontal="center"/>
    </xf>
    <xf numFmtId="164" fontId="11" fillId="4" borderId="2" xfId="0" applyNumberFormat="1" applyFont="1" applyFill="1" applyBorder="1" applyAlignment="1">
      <alignment horizontal="center"/>
    </xf>
    <xf numFmtId="1" fontId="0" fillId="35" borderId="22" xfId="0" applyNumberFormat="1" applyFill="1" applyBorder="1" applyAlignment="1">
      <alignment horizontal="center"/>
    </xf>
    <xf numFmtId="1" fontId="51" fillId="18" borderId="60" xfId="0" applyNumberFormat="1" applyFont="1" applyFill="1" applyBorder="1" applyAlignment="1">
      <alignment horizontal="center" vertical="center"/>
    </xf>
    <xf numFmtId="2" fontId="37" fillId="0" borderId="60" xfId="0" applyNumberFormat="1" applyFont="1" applyBorder="1" applyAlignment="1">
      <alignment horizontal="center" vertical="center" wrapText="1"/>
    </xf>
    <xf numFmtId="44" fontId="0" fillId="8" borderId="60" xfId="15" applyFont="1" applyFill="1" applyBorder="1"/>
    <xf numFmtId="44" fontId="0" fillId="18" borderId="44" xfId="15" applyFont="1" applyFill="1" applyBorder="1"/>
    <xf numFmtId="0" fontId="0" fillId="0" borderId="61" xfId="0" applyBorder="1"/>
    <xf numFmtId="0" fontId="15" fillId="0" borderId="62" xfId="0" applyFont="1" applyBorder="1" applyAlignment="1">
      <alignment horizontal="center"/>
    </xf>
    <xf numFmtId="10" fontId="74" fillId="0" borderId="64" xfId="17" applyNumberFormat="1" applyFont="1" applyBorder="1" applyAlignment="1">
      <alignment horizontal="center" vertical="center"/>
    </xf>
    <xf numFmtId="10" fontId="73" fillId="0" borderId="64" xfId="17" applyNumberFormat="1" applyFont="1" applyBorder="1" applyAlignment="1">
      <alignment horizontal="center" vertical="center" wrapText="1"/>
    </xf>
    <xf numFmtId="10" fontId="73" fillId="0" borderId="63" xfId="17" applyNumberFormat="1" applyFont="1" applyBorder="1" applyAlignment="1">
      <alignment horizontal="center" vertical="center" wrapText="1"/>
    </xf>
    <xf numFmtId="0" fontId="75" fillId="0" borderId="66" xfId="0" applyFont="1" applyBorder="1" applyAlignment="1">
      <alignment horizontal="center"/>
    </xf>
    <xf numFmtId="0" fontId="76" fillId="0" borderId="0" xfId="0" applyFont="1" applyAlignment="1">
      <alignment vertical="top" wrapText="1"/>
    </xf>
    <xf numFmtId="0" fontId="7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81" fillId="0" borderId="0" xfId="0" applyFont="1" applyAlignment="1">
      <alignment horizontal="left" vertical="center" wrapText="1"/>
    </xf>
    <xf numFmtId="0" fontId="82" fillId="0" borderId="0" xfId="0" applyFont="1" applyAlignment="1">
      <alignment horizontal="left" vertical="center" wrapText="1"/>
    </xf>
    <xf numFmtId="0" fontId="81" fillId="0" borderId="71" xfId="0" applyFont="1" applyBorder="1" applyAlignment="1">
      <alignment horizontal="left" vertical="center" wrapText="1"/>
    </xf>
    <xf numFmtId="0" fontId="82" fillId="0" borderId="71" xfId="0" applyFont="1" applyBorder="1" applyAlignment="1">
      <alignment horizontal="left" vertical="center" wrapText="1"/>
    </xf>
    <xf numFmtId="0" fontId="78" fillId="0" borderId="65" xfId="0" applyFont="1" applyBorder="1" applyAlignment="1">
      <alignment horizontal="center" vertical="center" wrapText="1"/>
    </xf>
    <xf numFmtId="0" fontId="78" fillId="0" borderId="70" xfId="0" applyFont="1" applyBorder="1" applyAlignment="1">
      <alignment horizontal="center" vertical="center" wrapText="1"/>
    </xf>
    <xf numFmtId="0" fontId="51" fillId="0" borderId="0" xfId="0" applyFont="1"/>
    <xf numFmtId="0" fontId="78" fillId="0" borderId="0" xfId="0" applyFont="1" applyAlignment="1">
      <alignment horizontal="center" vertical="center" wrapText="1"/>
    </xf>
    <xf numFmtId="0" fontId="78" fillId="0" borderId="71" xfId="0" applyFont="1" applyBorder="1" applyAlignment="1">
      <alignment horizontal="center" vertical="center" wrapText="1"/>
    </xf>
    <xf numFmtId="0" fontId="78" fillId="0" borderId="0" xfId="0" applyFont="1" applyAlignment="1">
      <alignment horizontal="center" vertical="center"/>
    </xf>
    <xf numFmtId="0" fontId="78" fillId="0" borderId="71" xfId="0" applyFont="1" applyBorder="1" applyAlignment="1">
      <alignment horizontal="center" vertical="center"/>
    </xf>
    <xf numFmtId="0" fontId="51" fillId="36" borderId="0" xfId="0" applyFont="1" applyFill="1"/>
    <xf numFmtId="44" fontId="80" fillId="0" borderId="69" xfId="15" applyFont="1" applyBorder="1" applyAlignment="1">
      <alignment horizontal="left" vertical="center" shrinkToFit="1"/>
    </xf>
    <xf numFmtId="44" fontId="80" fillId="0" borderId="72" xfId="15" applyFont="1" applyBorder="1" applyAlignment="1">
      <alignment horizontal="left" vertical="center" shrinkToFit="1"/>
    </xf>
    <xf numFmtId="44" fontId="51" fillId="0" borderId="1" xfId="15" applyFont="1" applyBorder="1"/>
    <xf numFmtId="44" fontId="51" fillId="0" borderId="11" xfId="15" applyFont="1" applyBorder="1"/>
    <xf numFmtId="0" fontId="51" fillId="36" borderId="6" xfId="0" applyFont="1" applyFill="1" applyBorder="1" applyAlignment="1">
      <alignment horizontal="center" vertical="center"/>
    </xf>
    <xf numFmtId="0" fontId="51" fillId="36" borderId="3" xfId="0" applyFont="1" applyFill="1" applyBorder="1" applyAlignment="1">
      <alignment horizontal="center" vertical="center"/>
    </xf>
    <xf numFmtId="0" fontId="51" fillId="36" borderId="9" xfId="0" applyFont="1" applyFill="1" applyBorder="1" applyAlignment="1">
      <alignment horizontal="center" vertical="center"/>
    </xf>
    <xf numFmtId="0" fontId="51" fillId="0" borderId="7" xfId="0" applyFont="1" applyBorder="1" applyAlignment="1">
      <alignment horizontal="center" vertical="center"/>
    </xf>
    <xf numFmtId="0" fontId="51" fillId="36" borderId="8" xfId="0" applyFont="1" applyFill="1" applyBorder="1" applyAlignment="1">
      <alignment horizontal="center" vertical="center"/>
    </xf>
    <xf numFmtId="44" fontId="51" fillId="0" borderId="10" xfId="15" applyFont="1" applyBorder="1"/>
    <xf numFmtId="44" fontId="51" fillId="36" borderId="6" xfId="15" applyFont="1" applyFill="1" applyBorder="1" applyAlignment="1">
      <alignment horizontal="center" vertical="center"/>
    </xf>
    <xf numFmtId="0" fontId="84" fillId="0" borderId="0" xfId="18" applyFont="1" applyAlignment="1">
      <alignment vertical="center"/>
    </xf>
    <xf numFmtId="0" fontId="84" fillId="24" borderId="0" xfId="18" applyFont="1" applyFill="1" applyAlignment="1">
      <alignment vertical="center"/>
    </xf>
    <xf numFmtId="0" fontId="83" fillId="12" borderId="0" xfId="18" applyFont="1" applyFill="1"/>
    <xf numFmtId="0" fontId="86" fillId="12" borderId="0" xfId="18" applyFont="1" applyFill="1" applyAlignment="1">
      <alignment vertical="center"/>
    </xf>
    <xf numFmtId="0" fontId="86" fillId="12" borderId="0" xfId="18" applyFont="1" applyFill="1" applyAlignment="1">
      <alignment horizontal="left" vertical="center" indent="1"/>
    </xf>
    <xf numFmtId="0" fontId="84" fillId="11" borderId="0" xfId="18" applyFont="1" applyFill="1" applyAlignment="1">
      <alignment horizontal="left" vertical="center" indent="1"/>
    </xf>
    <xf numFmtId="0" fontId="87" fillId="11" borderId="0" xfId="18" applyFont="1" applyFill="1" applyAlignment="1">
      <alignment horizontal="left" vertical="center" indent="2"/>
    </xf>
    <xf numFmtId="0" fontId="88" fillId="11" borderId="0" xfId="18" applyFont="1" applyFill="1" applyAlignment="1">
      <alignment horizontal="left" vertical="center" indent="2"/>
    </xf>
    <xf numFmtId="0" fontId="84" fillId="24" borderId="0" xfId="18" applyFont="1" applyFill="1" applyAlignment="1">
      <alignment horizontal="left" vertical="center" indent="1"/>
    </xf>
    <xf numFmtId="44" fontId="88" fillId="11" borderId="0" xfId="18" applyNumberFormat="1" applyFont="1" applyFill="1" applyAlignment="1">
      <alignment horizontal="right" vertical="center" indent="2"/>
    </xf>
    <xf numFmtId="0" fontId="88" fillId="11" borderId="0" xfId="18" applyFont="1" applyFill="1" applyAlignment="1">
      <alignment horizontal="left" vertical="center"/>
    </xf>
    <xf numFmtId="0" fontId="84" fillId="0" borderId="0" xfId="18" applyFont="1" applyAlignment="1">
      <alignment horizontal="left" vertical="center" indent="1"/>
    </xf>
    <xf numFmtId="0" fontId="88" fillId="24" borderId="0" xfId="18" applyFont="1" applyFill="1" applyAlignment="1">
      <alignment horizontal="left" vertical="center" indent="2"/>
    </xf>
    <xf numFmtId="44" fontId="88" fillId="24" borderId="0" xfId="18" applyNumberFormat="1" applyFont="1" applyFill="1" applyAlignment="1">
      <alignment horizontal="left" vertical="center" indent="2"/>
    </xf>
    <xf numFmtId="0" fontId="89" fillId="24" borderId="76" xfId="18" applyFont="1" applyFill="1" applyBorder="1" applyAlignment="1">
      <alignment horizontal="right" vertical="center"/>
    </xf>
    <xf numFmtId="0" fontId="89" fillId="24" borderId="78" xfId="18" applyFont="1" applyFill="1" applyBorder="1" applyAlignment="1">
      <alignment horizontal="center" vertical="center"/>
    </xf>
    <xf numFmtId="0" fontId="89" fillId="24" borderId="80" xfId="18" applyFont="1" applyFill="1" applyBorder="1" applyAlignment="1">
      <alignment horizontal="right" vertical="center"/>
    </xf>
    <xf numFmtId="0" fontId="88" fillId="19" borderId="81" xfId="18" applyFont="1" applyFill="1" applyBorder="1" applyAlignment="1">
      <alignment horizontal="left" vertical="center" wrapText="1" indent="2"/>
    </xf>
    <xf numFmtId="44" fontId="89" fillId="24" borderId="78" xfId="18" applyNumberFormat="1" applyFont="1" applyFill="1" applyBorder="1" applyAlignment="1">
      <alignment horizontal="center" vertical="center"/>
    </xf>
    <xf numFmtId="0" fontId="88" fillId="37" borderId="0" xfId="18" applyFont="1" applyFill="1" applyAlignment="1">
      <alignment horizontal="center" vertical="center"/>
    </xf>
    <xf numFmtId="0" fontId="88" fillId="19" borderId="46" xfId="18" applyFont="1" applyFill="1" applyBorder="1" applyAlignment="1">
      <alignment horizontal="left" vertical="center" wrapText="1" indent="2"/>
    </xf>
    <xf numFmtId="0" fontId="89" fillId="24" borderId="82" xfId="18" applyFont="1" applyFill="1" applyBorder="1" applyAlignment="1">
      <alignment vertical="center"/>
    </xf>
    <xf numFmtId="44" fontId="88" fillId="24" borderId="78" xfId="18" applyNumberFormat="1" applyFont="1" applyFill="1" applyBorder="1" applyAlignment="1">
      <alignment horizontal="center" vertical="center"/>
    </xf>
    <xf numFmtId="0" fontId="77" fillId="24" borderId="78" xfId="18" applyFont="1" applyFill="1" applyBorder="1" applyAlignment="1">
      <alignment horizontal="left" vertical="center"/>
    </xf>
    <xf numFmtId="0" fontId="77" fillId="24" borderId="84" xfId="18" applyFont="1" applyFill="1" applyBorder="1" applyAlignment="1">
      <alignment horizontal="left" vertical="center"/>
    </xf>
    <xf numFmtId="44" fontId="88" fillId="24" borderId="84" xfId="18" applyNumberFormat="1" applyFont="1" applyFill="1" applyBorder="1" applyAlignment="1">
      <alignment horizontal="left" vertical="center"/>
    </xf>
    <xf numFmtId="0" fontId="88" fillId="24" borderId="0" xfId="18" applyFont="1" applyFill="1" applyAlignment="1">
      <alignment horizontal="left" vertical="center" wrapText="1" indent="2"/>
    </xf>
    <xf numFmtId="0" fontId="91" fillId="11" borderId="0" xfId="18" applyFont="1" applyFill="1" applyAlignment="1">
      <alignment horizontal="left" vertical="center" indent="2"/>
    </xf>
    <xf numFmtId="170" fontId="88" fillId="11" borderId="0" xfId="18" applyNumberFormat="1" applyFont="1" applyFill="1" applyAlignment="1">
      <alignment horizontal="left" vertical="center" indent="2"/>
    </xf>
    <xf numFmtId="44" fontId="84" fillId="0" borderId="0" xfId="18" applyNumberFormat="1" applyFont="1" applyAlignment="1">
      <alignment vertical="center"/>
    </xf>
    <xf numFmtId="0" fontId="87" fillId="24" borderId="0" xfId="18" applyFont="1" applyFill="1" applyAlignment="1">
      <alignment horizontal="center" vertical="center"/>
    </xf>
    <xf numFmtId="0" fontId="88" fillId="24" borderId="0" xfId="18" applyFont="1" applyFill="1" applyAlignment="1">
      <alignment horizontal="center" vertical="center"/>
    </xf>
    <xf numFmtId="0" fontId="89" fillId="24" borderId="0" xfId="18" applyFont="1" applyFill="1" applyAlignment="1">
      <alignment horizontal="right" vertical="center"/>
    </xf>
    <xf numFmtId="0" fontId="41" fillId="12" borderId="0" xfId="0" applyFont="1" applyFill="1" applyAlignment="1">
      <alignment horizontal="left" vertical="center" wrapText="1" indent="1"/>
    </xf>
    <xf numFmtId="0" fontId="41" fillId="12" borderId="0" xfId="0" applyFont="1" applyFill="1" applyAlignment="1">
      <alignment horizontal="left" vertical="center" indent="1"/>
    </xf>
    <xf numFmtId="0" fontId="84" fillId="24" borderId="0" xfId="18" applyFont="1" applyFill="1" applyAlignment="1">
      <alignment vertical="top"/>
    </xf>
    <xf numFmtId="0" fontId="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87" fillId="24" borderId="83" xfId="18" applyFont="1" applyFill="1" applyBorder="1" applyAlignment="1">
      <alignment vertical="center"/>
    </xf>
    <xf numFmtId="44" fontId="89" fillId="19" borderId="79" xfId="18" applyNumberFormat="1" applyFont="1" applyFill="1" applyBorder="1" applyAlignment="1">
      <alignment horizontal="center" vertical="center"/>
    </xf>
    <xf numFmtId="44" fontId="88" fillId="24" borderId="82" xfId="15" applyFont="1" applyFill="1" applyBorder="1" applyAlignment="1">
      <alignment horizontal="left" vertical="center" indent="2"/>
    </xf>
    <xf numFmtId="44" fontId="88" fillId="24" borderId="82" xfId="18" applyNumberFormat="1" applyFont="1" applyFill="1" applyBorder="1" applyAlignment="1">
      <alignment horizontal="left" vertical="center"/>
    </xf>
    <xf numFmtId="0" fontId="77" fillId="24" borderId="82" xfId="18" applyFont="1" applyFill="1" applyBorder="1" applyAlignment="1">
      <alignment horizontal="left" vertical="center"/>
    </xf>
    <xf numFmtId="0" fontId="88" fillId="19" borderId="22" xfId="18" applyFont="1" applyFill="1" applyBorder="1" applyAlignment="1">
      <alignment horizontal="left" vertical="center" wrapText="1" indent="2"/>
    </xf>
    <xf numFmtId="0" fontId="55" fillId="19" borderId="22" xfId="19" applyFont="1" applyFill="1" applyBorder="1" applyAlignment="1">
      <alignment horizontal="left" vertical="center" wrapText="1" indent="2"/>
    </xf>
    <xf numFmtId="0" fontId="88" fillId="19" borderId="77" xfId="18" applyFont="1" applyFill="1" applyBorder="1" applyAlignment="1">
      <alignment horizontal="left" vertical="center" wrapText="1" indent="2"/>
    </xf>
    <xf numFmtId="0" fontId="77" fillId="30" borderId="0" xfId="18" applyFont="1" applyFill="1" applyAlignment="1">
      <alignment horizontal="left" vertical="center" indent="1"/>
    </xf>
    <xf numFmtId="0" fontId="71" fillId="0" borderId="85" xfId="0" applyFont="1" applyBorder="1"/>
    <xf numFmtId="0" fontId="71" fillId="34" borderId="0" xfId="0" applyFont="1" applyFill="1" applyAlignment="1">
      <alignment horizontal="center" vertical="center"/>
    </xf>
    <xf numFmtId="0" fontId="45" fillId="19" borderId="2" xfId="0" applyFont="1" applyFill="1" applyBorder="1" applyAlignment="1">
      <alignment horizontal="center" vertical="center"/>
    </xf>
    <xf numFmtId="0" fontId="41" fillId="11" borderId="3" xfId="0" applyFont="1" applyFill="1" applyBorder="1"/>
    <xf numFmtId="0" fontId="61" fillId="26" borderId="16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1" fillId="26" borderId="16" xfId="0" applyFont="1" applyFill="1" applyBorder="1" applyAlignment="1">
      <alignment horizontal="center" vertical="center"/>
    </xf>
    <xf numFmtId="0" fontId="71" fillId="31" borderId="85" xfId="0" applyFont="1" applyFill="1" applyBorder="1"/>
    <xf numFmtId="0" fontId="71" fillId="31" borderId="0" xfId="0" applyFont="1" applyFill="1" applyAlignment="1">
      <alignment horizontal="center" vertical="center"/>
    </xf>
    <xf numFmtId="22" fontId="0" fillId="0" borderId="0" xfId="0" applyNumberFormat="1"/>
    <xf numFmtId="0" fontId="71" fillId="0" borderId="55" xfId="0" applyFont="1" applyBorder="1"/>
    <xf numFmtId="0" fontId="71" fillId="34" borderId="0" xfId="0" applyFont="1" applyFill="1"/>
    <xf numFmtId="0" fontId="71" fillId="34" borderId="86" xfId="0" applyFont="1" applyFill="1" applyBorder="1"/>
    <xf numFmtId="0" fontId="71" fillId="31" borderId="0" xfId="0" applyFont="1" applyFill="1"/>
    <xf numFmtId="0" fontId="71" fillId="31" borderId="86" xfId="0" applyFont="1" applyFill="1" applyBorder="1"/>
    <xf numFmtId="0" fontId="71" fillId="33" borderId="86" xfId="0" applyFont="1" applyFill="1" applyBorder="1"/>
    <xf numFmtId="0" fontId="71" fillId="33" borderId="0" xfId="0" applyFont="1" applyFill="1" applyAlignment="1">
      <alignment horizontal="center"/>
    </xf>
    <xf numFmtId="0" fontId="71" fillId="32" borderId="86" xfId="0" applyFont="1" applyFill="1" applyBorder="1"/>
    <xf numFmtId="0" fontId="71" fillId="32" borderId="0" xfId="0" applyFont="1" applyFill="1" applyAlignment="1">
      <alignment horizontal="center"/>
    </xf>
    <xf numFmtId="0" fontId="92" fillId="18" borderId="0" xfId="0" applyFont="1" applyFill="1"/>
    <xf numFmtId="44" fontId="0" fillId="0" borderId="0" xfId="15" applyFont="1"/>
    <xf numFmtId="43" fontId="0" fillId="0" borderId="0" xfId="16" applyFont="1"/>
    <xf numFmtId="0" fontId="85" fillId="24" borderId="0" xfId="18" applyFont="1" applyFill="1" applyAlignment="1">
      <alignment horizontal="center" vertical="center"/>
    </xf>
    <xf numFmtId="0" fontId="87" fillId="11" borderId="0" xfId="18" applyFont="1" applyFill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19" borderId="27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9" borderId="29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9" borderId="25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16" xfId="0" applyFont="1" applyBorder="1" applyAlignment="1">
      <alignment horizontal="center"/>
    </xf>
    <xf numFmtId="0" fontId="0" fillId="19" borderId="15" xfId="0" applyFill="1" applyBorder="1" applyAlignment="1">
      <alignment horizontal="center" vertical="center"/>
    </xf>
    <xf numFmtId="0" fontId="0" fillId="19" borderId="21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44" xfId="0" applyFont="1" applyBorder="1" applyAlignment="1">
      <alignment horizontal="center"/>
    </xf>
    <xf numFmtId="0" fontId="6" fillId="0" borderId="53" xfId="0" applyFont="1" applyBorder="1" applyAlignment="1">
      <alignment horizontal="center"/>
    </xf>
    <xf numFmtId="0" fontId="64" fillId="19" borderId="21" xfId="0" applyFont="1" applyFill="1" applyBorder="1" applyAlignment="1">
      <alignment horizontal="center" vertical="center"/>
    </xf>
    <xf numFmtId="0" fontId="64" fillId="19" borderId="17" xfId="0" applyFont="1" applyFill="1" applyBorder="1" applyAlignment="1">
      <alignment horizontal="center" vertical="center"/>
    </xf>
    <xf numFmtId="0" fontId="64" fillId="19" borderId="22" xfId="0" applyFont="1" applyFill="1" applyBorder="1" applyAlignment="1">
      <alignment horizontal="center" vertical="center"/>
    </xf>
    <xf numFmtId="0" fontId="65" fillId="19" borderId="21" xfId="0" applyFont="1" applyFill="1" applyBorder="1" applyAlignment="1">
      <alignment horizontal="center" vertical="center"/>
    </xf>
    <xf numFmtId="0" fontId="65" fillId="19" borderId="17" xfId="0" applyFont="1" applyFill="1" applyBorder="1" applyAlignment="1">
      <alignment horizontal="center" vertical="center"/>
    </xf>
    <xf numFmtId="0" fontId="65" fillId="19" borderId="22" xfId="0" applyFont="1" applyFill="1" applyBorder="1" applyAlignment="1">
      <alignment horizontal="center" vertical="center"/>
    </xf>
    <xf numFmtId="0" fontId="64" fillId="19" borderId="15" xfId="0" applyFont="1" applyFill="1" applyBorder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31" xfId="0" applyFont="1" applyBorder="1" applyAlignment="1">
      <alignment horizontal="right"/>
    </xf>
    <xf numFmtId="0" fontId="6" fillId="0" borderId="0" xfId="0" applyFont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40" fillId="11" borderId="15" xfId="0" applyFont="1" applyFill="1" applyBorder="1" applyAlignment="1">
      <alignment horizontal="center" vertical="center"/>
    </xf>
    <xf numFmtId="164" fontId="41" fillId="0" borderId="15" xfId="0" applyNumberFormat="1" applyFont="1" applyBorder="1" applyAlignment="1">
      <alignment horizontal="center" vertical="center" wrapText="1"/>
    </xf>
    <xf numFmtId="0" fontId="39" fillId="11" borderId="0" xfId="0" applyFont="1" applyFill="1" applyAlignment="1">
      <alignment horizontal="center" vertical="center"/>
    </xf>
    <xf numFmtId="164" fontId="45" fillId="0" borderId="16" xfId="0" applyNumberFormat="1" applyFont="1" applyBorder="1" applyAlignment="1">
      <alignment horizontal="center" vertical="center"/>
    </xf>
    <xf numFmtId="0" fontId="33" fillId="0" borderId="0" xfId="7" applyFont="1" applyAlignment="1">
      <alignment horizontal="center" vertical="center"/>
    </xf>
    <xf numFmtId="0" fontId="52" fillId="29" borderId="0" xfId="9" applyFont="1" applyFill="1" applyBorder="1" applyAlignment="1">
      <alignment horizontal="center" vertical="center"/>
    </xf>
    <xf numFmtId="0" fontId="52" fillId="29" borderId="16" xfId="9" applyFont="1" applyFill="1" applyBorder="1" applyAlignment="1">
      <alignment horizontal="center" vertical="center"/>
    </xf>
    <xf numFmtId="0" fontId="32" fillId="22" borderId="30" xfId="7" applyFont="1" applyFill="1" applyBorder="1" applyAlignment="1">
      <alignment horizontal="center"/>
    </xf>
    <xf numFmtId="0" fontId="32" fillId="22" borderId="53" xfId="7" applyFont="1" applyFill="1" applyBorder="1" applyAlignment="1">
      <alignment horizontal="center"/>
    </xf>
    <xf numFmtId="0" fontId="32" fillId="22" borderId="30" xfId="9" applyFont="1" applyFill="1" applyBorder="1" applyAlignment="1">
      <alignment horizontal="center" vertical="center"/>
    </xf>
    <xf numFmtId="0" fontId="32" fillId="22" borderId="53" xfId="9" applyFont="1" applyFill="1" applyBorder="1" applyAlignment="1">
      <alignment horizontal="center" vertical="center"/>
    </xf>
    <xf numFmtId="0" fontId="32" fillId="22" borderId="23" xfId="9" applyFont="1" applyFill="1" applyBorder="1" applyAlignment="1">
      <alignment horizontal="center" vertical="center"/>
    </xf>
    <xf numFmtId="0" fontId="32" fillId="22" borderId="46" xfId="9" applyFont="1" applyFill="1" applyBorder="1" applyAlignment="1">
      <alignment horizontal="center" vertical="center"/>
    </xf>
    <xf numFmtId="0" fontId="33" fillId="0" borderId="0" xfId="7" applyFont="1" applyFill="1" applyBorder="1" applyAlignment="1">
      <alignment horizontal="center" vertical="center"/>
    </xf>
    <xf numFmtId="0" fontId="32" fillId="22" borderId="25" xfId="9" applyFont="1" applyFill="1" applyBorder="1" applyAlignment="1">
      <alignment horizontal="center" vertical="center"/>
    </xf>
    <xf numFmtId="0" fontId="32" fillId="0" borderId="44" xfId="11" applyFont="1" applyBorder="1" applyAlignment="1">
      <alignment horizontal="center" wrapText="1"/>
    </xf>
    <xf numFmtId="0" fontId="32" fillId="0" borderId="16" xfId="11" applyFont="1" applyBorder="1" applyAlignment="1">
      <alignment horizontal="center" wrapText="1"/>
    </xf>
    <xf numFmtId="0" fontId="35" fillId="0" borderId="44" xfId="11" applyFont="1" applyBorder="1" applyAlignment="1">
      <alignment horizontal="center" vertical="center"/>
    </xf>
    <xf numFmtId="0" fontId="35" fillId="0" borderId="16" xfId="11" applyFont="1" applyBorder="1" applyAlignment="1">
      <alignment horizontal="center" vertical="center"/>
    </xf>
    <xf numFmtId="0" fontId="32" fillId="0" borderId="44" xfId="11" applyFont="1" applyBorder="1" applyAlignment="1">
      <alignment horizontal="center" vertical="center" wrapText="1"/>
    </xf>
    <xf numFmtId="0" fontId="32" fillId="0" borderId="16" xfId="11" applyFont="1" applyBorder="1" applyAlignment="1">
      <alignment horizontal="center" vertical="center" wrapText="1"/>
    </xf>
    <xf numFmtId="2" fontId="57" fillId="22" borderId="29" xfId="7" applyNumberFormat="1" applyFont="1" applyFill="1" applyBorder="1" applyAlignment="1">
      <alignment horizontal="center" vertical="center"/>
    </xf>
    <xf numFmtId="2" fontId="57" fillId="22" borderId="25" xfId="7" applyNumberFormat="1" applyFont="1" applyFill="1" applyBorder="1" applyAlignment="1">
      <alignment horizontal="center" vertical="center"/>
    </xf>
    <xf numFmtId="2" fontId="57" fillId="18" borderId="29" xfId="7" applyNumberFormat="1" applyFont="1" applyFill="1" applyBorder="1" applyAlignment="1">
      <alignment horizontal="center" vertical="center"/>
    </xf>
    <xf numFmtId="2" fontId="57" fillId="18" borderId="25" xfId="7" applyNumberFormat="1" applyFont="1" applyFill="1" applyBorder="1" applyAlignment="1">
      <alignment horizontal="center" vertical="center"/>
    </xf>
    <xf numFmtId="0" fontId="32" fillId="22" borderId="21" xfId="9" applyFont="1" applyFill="1" applyBorder="1" applyAlignment="1">
      <alignment horizontal="center" vertical="center"/>
    </xf>
    <xf numFmtId="0" fontId="32" fillId="22" borderId="22" xfId="9" applyFont="1" applyFill="1" applyBorder="1" applyAlignment="1">
      <alignment horizontal="center" vertical="center"/>
    </xf>
    <xf numFmtId="0" fontId="70" fillId="22" borderId="15" xfId="0" applyFont="1" applyFill="1" applyBorder="1" applyAlignment="1">
      <alignment horizontal="center" vertical="center"/>
    </xf>
    <xf numFmtId="0" fontId="70" fillId="22" borderId="30" xfId="0" applyFont="1" applyFill="1" applyBorder="1" applyAlignment="1">
      <alignment horizontal="center" vertical="center"/>
    </xf>
    <xf numFmtId="0" fontId="70" fillId="22" borderId="53" xfId="0" applyFont="1" applyFill="1" applyBorder="1" applyAlignment="1">
      <alignment horizontal="center" vertical="center"/>
    </xf>
    <xf numFmtId="0" fontId="70" fillId="22" borderId="23" xfId="0" applyFont="1" applyFill="1" applyBorder="1" applyAlignment="1">
      <alignment horizontal="center" vertical="center"/>
    </xf>
    <xf numFmtId="0" fontId="70" fillId="22" borderId="46" xfId="0" applyFont="1" applyFill="1" applyBorder="1" applyAlignment="1">
      <alignment horizontal="center" vertical="center"/>
    </xf>
    <xf numFmtId="0" fontId="32" fillId="22" borderId="21" xfId="9" applyFont="1" applyFill="1" applyBorder="1" applyAlignment="1">
      <alignment horizontal="center" vertical="center" wrapText="1"/>
    </xf>
    <xf numFmtId="0" fontId="32" fillId="22" borderId="22" xfId="9" applyFont="1" applyFill="1" applyBorder="1" applyAlignment="1">
      <alignment horizontal="center" vertical="center" wrapText="1"/>
    </xf>
    <xf numFmtId="0" fontId="10" fillId="2" borderId="0" xfId="0" applyFont="1" applyFill="1" applyAlignment="1" applyProtection="1">
      <alignment horizontal="center"/>
      <protection locked="0"/>
    </xf>
    <xf numFmtId="1" fontId="51" fillId="18" borderId="65" xfId="0" applyNumberFormat="1" applyFont="1" applyFill="1" applyBorder="1" applyAlignment="1">
      <alignment horizontal="center" vertical="center"/>
    </xf>
    <xf numFmtId="1" fontId="51" fillId="18" borderId="0" xfId="0" applyNumberFormat="1" applyFont="1" applyFill="1" applyAlignment="1">
      <alignment horizontal="center" vertical="center"/>
    </xf>
    <xf numFmtId="0" fontId="80" fillId="36" borderId="75" xfId="0" applyFont="1" applyFill="1" applyBorder="1" applyAlignment="1">
      <alignment horizontal="center" vertical="center"/>
    </xf>
    <xf numFmtId="0" fontId="80" fillId="36" borderId="73" xfId="0" applyFont="1" applyFill="1" applyBorder="1" applyAlignment="1">
      <alignment horizontal="center" vertical="center"/>
    </xf>
    <xf numFmtId="0" fontId="80" fillId="36" borderId="74" xfId="0" applyFont="1" applyFill="1" applyBorder="1" applyAlignment="1">
      <alignment horizontal="center" vertical="center"/>
    </xf>
    <xf numFmtId="0" fontId="79" fillId="36" borderId="67" xfId="0" applyFont="1" applyFill="1" applyBorder="1" applyAlignment="1">
      <alignment horizontal="center" vertical="center" wrapText="1"/>
    </xf>
    <xf numFmtId="0" fontId="79" fillId="36" borderId="61" xfId="0" applyFont="1" applyFill="1" applyBorder="1" applyAlignment="1">
      <alignment horizontal="center" vertical="center" wrapText="1"/>
    </xf>
    <xf numFmtId="0" fontId="79" fillId="36" borderId="68" xfId="0" applyFont="1" applyFill="1" applyBorder="1" applyAlignment="1">
      <alignment horizontal="center" vertical="center" wrapText="1"/>
    </xf>
    <xf numFmtId="0" fontId="6" fillId="30" borderId="0" xfId="0" applyFont="1" applyFill="1" applyAlignment="1">
      <alignment horizontal="center"/>
    </xf>
    <xf numFmtId="164" fontId="51" fillId="18" borderId="0" xfId="0" applyNumberFormat="1" applyFont="1" applyFill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56" fillId="0" borderId="0" xfId="0" applyFont="1" applyAlignment="1">
      <alignment horizontal="left" vertical="center" wrapText="1"/>
    </xf>
    <xf numFmtId="1" fontId="56" fillId="0" borderId="0" xfId="0" applyNumberFormat="1" applyFont="1" applyAlignment="1">
      <alignment horizontal="left" vertical="center" wrapText="1"/>
    </xf>
    <xf numFmtId="0" fontId="0" fillId="2" borderId="6" xfId="0" applyFill="1" applyBorder="1" applyAlignment="1"/>
    <xf numFmtId="0" fontId="6" fillId="7" borderId="9" xfId="0" applyFont="1" applyFill="1" applyBorder="1" applyAlignment="1" applyProtection="1">
      <protection locked="0"/>
    </xf>
  </cellXfs>
  <cellStyles count="20">
    <cellStyle name="Activity" xfId="9" xr:uid="{00000000-0005-0000-0000-000000000000}"/>
    <cellStyle name="Comma" xfId="16" builtinId="3"/>
    <cellStyle name="Currency" xfId="15" builtinId="4"/>
    <cellStyle name="Excel_BuiltIn_Currency" xfId="1" xr:uid="{00000000-0005-0000-0000-000002000000}"/>
    <cellStyle name="Excel_BuiltIn_Percent" xfId="2" xr:uid="{00000000-0005-0000-0000-000003000000}"/>
    <cellStyle name="Heading" xfId="3" xr:uid="{00000000-0005-0000-0000-000004000000}"/>
    <cellStyle name="Heading 1 2" xfId="12" xr:uid="{00000000-0005-0000-0000-000005000000}"/>
    <cellStyle name="Heading1" xfId="4" xr:uid="{00000000-0005-0000-0000-000006000000}"/>
    <cellStyle name="Hyperlink" xfId="19" builtinId="8"/>
    <cellStyle name="Label" xfId="13" xr:uid="{00000000-0005-0000-0000-000007000000}"/>
    <cellStyle name="Normal" xfId="0" builtinId="0" customBuiltin="1"/>
    <cellStyle name="Normal 2" xfId="7" xr:uid="{00000000-0005-0000-0000-000009000000}"/>
    <cellStyle name="Normal 3" xfId="18" xr:uid="{3A217440-7BA7-4D7F-9405-2D92A418428D}"/>
    <cellStyle name="Percent" xfId="17" builtinId="5"/>
    <cellStyle name="Percent Complete" xfId="8" xr:uid="{00000000-0005-0000-0000-00000A000000}"/>
    <cellStyle name="Period Headers" xfId="10" xr:uid="{00000000-0005-0000-0000-00000B000000}"/>
    <cellStyle name="Period Highlight Control" xfId="14" xr:uid="{00000000-0005-0000-0000-00000C000000}"/>
    <cellStyle name="Project Headers" xfId="11" xr:uid="{00000000-0005-0000-0000-00000D000000}"/>
    <cellStyle name="Result" xfId="5" xr:uid="{00000000-0005-0000-0000-00000E000000}"/>
    <cellStyle name="Result2" xfId="6" xr:uid="{00000000-0005-0000-0000-00000F000000}"/>
  </cellStyles>
  <dxfs count="21"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/mm/dd\ h:mm"/>
    </dxf>
    <dxf>
      <numFmt numFmtId="171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;;;"/>
    </dxf>
    <dxf>
      <numFmt numFmtId="172" formatCode=";;;"/>
    </dxf>
    <dxf>
      <numFmt numFmtId="172" formatCode=";;;"/>
    </dxf>
    <dxf>
      <font>
        <color theme="5" tint="0.79998168889431442"/>
      </font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Structure" Target="richData/rdrichvaluestructur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$A$18" lockText="1" noThreeD="1"/>
</file>

<file path=xl/ctrlProps/ctrlProp2.xml><?xml version="1.0" encoding="utf-8"?>
<formControlPr xmlns="http://schemas.microsoft.com/office/spreadsheetml/2009/9/main" objectType="CheckBox" fmlaLink="$A$60" lockText="1" noThreeD="1"/>
</file>

<file path=xl/ctrlProps/ctrlProp3.xml><?xml version="1.0" encoding="utf-8"?>
<formControlPr xmlns="http://schemas.microsoft.com/office/spreadsheetml/2009/9/main" objectType="CheckBox" fmlaLink="$A$83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124918</xdr:colOff>
      <xdr:row>7</xdr:row>
      <xdr:rowOff>16044</xdr:rowOff>
    </xdr:from>
    <xdr:to>
      <xdr:col>0</xdr:col>
      <xdr:colOff>898296</xdr:colOff>
      <xdr:row>8</xdr:row>
      <xdr:rowOff>16429</xdr:rowOff>
    </xdr:to>
    <xdr:sp macro="" textlink="">
      <xdr:nvSpPr>
        <xdr:cNvPr id="4" name="Rectangle: Rounded Corners 3" descr="Type in customer info first then press + button">
          <a:extLst>
            <a:ext uri="{FF2B5EF4-FFF2-40B4-BE49-F238E27FC236}">
              <a16:creationId xmlns:a16="http://schemas.microsoft.com/office/drawing/2014/main" id="{30DBE328-8835-4FAC-ABBC-6D6E5314346C}"/>
            </a:ext>
          </a:extLst>
        </xdr:cNvPr>
        <xdr:cNvSpPr/>
      </xdr:nvSpPr>
      <xdr:spPr>
        <a:xfrm>
          <a:off x="124918" y="1991310"/>
          <a:ext cx="773378" cy="19557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Save</a:t>
          </a:r>
        </a:p>
      </xdr:txBody>
    </xdr:sp>
    <xdr:clientData/>
  </xdr:twoCellAnchor>
  <xdr:twoCellAnchor>
    <xdr:from>
      <xdr:col>0</xdr:col>
      <xdr:colOff>53924</xdr:colOff>
      <xdr:row>15</xdr:row>
      <xdr:rowOff>46844</xdr:rowOff>
    </xdr:from>
    <xdr:to>
      <xdr:col>3</xdr:col>
      <xdr:colOff>3220543</xdr:colOff>
      <xdr:row>24</xdr:row>
      <xdr:rowOff>343524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4309BF1-7069-5C98-CD39-338971B2F0D2}"/>
            </a:ext>
          </a:extLst>
        </xdr:cNvPr>
        <xdr:cNvSpPr txBox="1"/>
      </xdr:nvSpPr>
      <xdr:spPr>
        <a:xfrm>
          <a:off x="53924" y="3794385"/>
          <a:ext cx="5972070" cy="390889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171450" indent="-171450">
            <a:buFont typeface="Arial" panose="020B0604020202020204" pitchFamily="34" charset="0"/>
            <a:buChar char="•"/>
          </a:pPr>
          <a:endParaRPr lang="en-CA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280988</xdr:colOff>
          <xdr:row>16</xdr:row>
          <xdr:rowOff>157163</xdr:rowOff>
        </xdr:from>
        <xdr:to>
          <xdr:col>0</xdr:col>
          <xdr:colOff>966788</xdr:colOff>
          <xdr:row>18</xdr:row>
          <xdr:rowOff>33338</xdr:rowOff>
        </xdr:to>
        <xdr:sp macro="" textlink="">
          <xdr:nvSpPr>
            <xdr:cNvPr id="9249" name="Shingles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1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Shingles?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381000</xdr:colOff>
          <xdr:row>4</xdr:row>
          <xdr:rowOff>100013</xdr:rowOff>
        </xdr:from>
        <xdr:to>
          <xdr:col>18</xdr:col>
          <xdr:colOff>4419600</xdr:colOff>
          <xdr:row>6</xdr:row>
          <xdr:rowOff>71438</xdr:rowOff>
        </xdr:to>
        <xdr:sp macro="" textlink="">
          <xdr:nvSpPr>
            <xdr:cNvPr id="7227" name="TextBox1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2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16</xdr:col>
      <xdr:colOff>9525</xdr:colOff>
      <xdr:row>4</xdr:row>
      <xdr:rowOff>53340</xdr:rowOff>
    </xdr:from>
    <xdr:to>
      <xdr:col>19</xdr:col>
      <xdr:colOff>76200</xdr:colOff>
      <xdr:row>6</xdr:row>
      <xdr:rowOff>114300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449425" y="1120140"/>
          <a:ext cx="6143625" cy="40386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ln>
              <a:solidFill>
                <a:schemeClr val="accent1">
                  <a:lumMod val="50000"/>
                </a:schemeClr>
              </a:solidFill>
            </a:ln>
            <a:noFill/>
          </a:endParaRPr>
        </a:p>
      </xdr:txBody>
    </xdr:sp>
    <xdr:clientData/>
  </xdr:twoCellAnchor>
  <xdr:twoCellAnchor>
    <xdr:from>
      <xdr:col>16</xdr:col>
      <xdr:colOff>19050</xdr:colOff>
      <xdr:row>4</xdr:row>
      <xdr:rowOff>59053</xdr:rowOff>
    </xdr:from>
    <xdr:to>
      <xdr:col>17</xdr:col>
      <xdr:colOff>367665</xdr:colOff>
      <xdr:row>6</xdr:row>
      <xdr:rowOff>102868</xdr:rowOff>
    </xdr:to>
    <xdr:sp macro="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16200000">
          <a:off x="14758987" y="825816"/>
          <a:ext cx="386715" cy="986790"/>
        </a:xfrm>
        <a:prstGeom prst="round2Same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n-CA" sz="2000" b="1">
              <a:solidFill>
                <a:schemeClr val="tx1"/>
              </a:solidFill>
            </a:rPr>
            <a:t>Search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59</xdr:row>
          <xdr:rowOff>14288</xdr:rowOff>
        </xdr:from>
        <xdr:to>
          <xdr:col>3</xdr:col>
          <xdr:colOff>1081088</xdr:colOff>
          <xdr:row>60</xdr:row>
          <xdr:rowOff>4763</xdr:rowOff>
        </xdr:to>
        <xdr:sp macro="" textlink="">
          <xdr:nvSpPr>
            <xdr:cNvPr id="7343" name="Check Box 175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00000000-0008-0000-0200-0000A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81</xdr:row>
          <xdr:rowOff>185738</xdr:rowOff>
        </xdr:from>
        <xdr:to>
          <xdr:col>3</xdr:col>
          <xdr:colOff>928688</xdr:colOff>
          <xdr:row>83</xdr:row>
          <xdr:rowOff>14288</xdr:rowOff>
        </xdr:to>
        <xdr:sp macro="" textlink="">
          <xdr:nvSpPr>
            <xdr:cNvPr id="7346" name="Check Box 178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00000000-0008-0000-0200-0000B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xdr:twoCellAnchor editAs="oneCell">
    <xdr:from>
      <xdr:col>12</xdr:col>
      <xdr:colOff>838612</xdr:colOff>
      <xdr:row>16</xdr:row>
      <xdr:rowOff>20706</xdr:rowOff>
    </xdr:from>
    <xdr:to>
      <xdr:col>18</xdr:col>
      <xdr:colOff>1056798</xdr:colOff>
      <xdr:row>25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A369985-E497-266B-D383-923EE1D25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02784" y="3318220"/>
          <a:ext cx="5327935" cy="1687582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A34A41D-CC0D-4815-B626-BBF72EF64675}" autoFormatId="16" applyNumberFormats="0" applyBorderFormats="0" applyFontFormats="0" applyPatternFormats="0" applyAlignmentFormats="0" applyWidthHeightFormats="0">
  <queryTableRefresh nextId="28">
    <queryTableFields count="27">
      <queryTableField id="1" name="Client Name" tableColumnId="1"/>
      <queryTableField id="2" name="Contact Name" tableColumnId="2"/>
      <queryTableField id="3" name="Contact Phone Number" tableColumnId="3"/>
      <queryTableField id="4" name="Contact Email" tableColumnId="4"/>
      <queryTableField id="5" name="Site Address" tableColumnId="5"/>
      <queryTableField id="6" name="Info/Other" tableColumnId="6"/>
      <queryTableField id="7" name="Color Tag" tableColumnId="7"/>
      <queryTableField id="8" name="Compliance Asset Id" tableColumnId="8"/>
      <queryTableField id="9" name="ID" tableColumnId="9"/>
      <queryTableField id="10" name="Content Type" tableColumnId="10"/>
      <queryTableField id="11" name="Modified" tableColumnId="11"/>
      <queryTableField id="12" name="Created" tableColumnId="12"/>
      <queryTableField id="13" name="Created By" tableColumnId="13"/>
      <queryTableField id="14" name="Modified By" tableColumnId="14"/>
      <queryTableField id="15" name="Version" tableColumnId="15"/>
      <queryTableField id="16" name="Attachments" tableColumnId="16"/>
      <queryTableField id="17" name="Edit" tableColumnId="17"/>
      <queryTableField id="18" name="Type" tableColumnId="18"/>
      <queryTableField id="19" name="Item Child Count" tableColumnId="19"/>
      <queryTableField id="20" name="Folder Child Count" tableColumnId="20"/>
      <queryTableField id="21" name="Label setting" tableColumnId="21"/>
      <queryTableField id="22" name="Retention label" tableColumnId="22"/>
      <queryTableField id="23" name="Retention label Applied" tableColumnId="23"/>
      <queryTableField id="24" name="Label applied by" tableColumnId="24"/>
      <queryTableField id="25" name="Item is a Record" tableColumnId="25"/>
      <queryTableField id="26" name="App Created By" tableColumnId="26"/>
      <queryTableField id="27" name="App Modified By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520E50B-37AF-4424-B3A2-1D3AC4C7864F}" autoFormatId="16" applyNumberFormats="0" applyBorderFormats="0" applyFontFormats="0" applyPatternFormats="0" applyAlignmentFormats="0" applyWidthHeightFormats="0">
  <queryTableRefresh nextId="8">
    <queryTableFields count="7">
      <queryTableField id="1" name="prtnum" tableColumnId="1"/>
      <queryTableField id="2" name="prtdsc" tableColumnId="2"/>
      <queryTableField id="3" name="untdsc" tableColumnId="3"/>
      <queryTableField id="4" name="linprc" tableColumnId="4"/>
      <queryTableField id="5" name="invdte" tableColumnId="5"/>
      <queryTableField id="6" name="vndnme" tableColumnId="6"/>
      <queryTableField id="7" name="source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92367C-0329-4631-A081-A05F5587DECC}" name="Customer_Book__SiteList" displayName="Customer_Book__SiteList" ref="A1:AA1748" tableType="queryTable" totalsRowShown="0">
  <autoFilter ref="A1:AA1748" xr:uid="{0292367C-0329-4631-A081-A05F5587DECC}"/>
  <sortState xmlns:xlrd2="http://schemas.microsoft.com/office/spreadsheetml/2017/richdata2" ref="A2:AA1748">
    <sortCondition ref="A1:A1748"/>
  </sortState>
  <tableColumns count="27">
    <tableColumn id="1" xr3:uid="{2074CEEC-567A-40C7-BF79-D98EC6BD187F}" uniqueName="1" name="Client Name" queryTableFieldId="1"/>
    <tableColumn id="2" xr3:uid="{CEC042FA-8AC5-4E7D-A719-78793CB4AFBE}" uniqueName="2" name="Contact Name" queryTableFieldId="2" dataDxfId="16"/>
    <tableColumn id="3" xr3:uid="{AE6F4761-9DD1-48CD-981C-F7E267A49D26}" uniqueName="3" name="Contact Phone Number" queryTableFieldId="3" dataDxfId="15"/>
    <tableColumn id="4" xr3:uid="{FCDEEA14-3863-48E1-8A96-AEE61475AD27}" uniqueName="4" name="Contact Email" queryTableFieldId="4" dataDxfId="14"/>
    <tableColumn id="5" xr3:uid="{56A61B30-44D4-48DF-A05C-33DBC518C910}" uniqueName="5" name="Site Address" queryTableFieldId="5" dataDxfId="13"/>
    <tableColumn id="6" xr3:uid="{590BD52F-729F-43C0-85BE-9B80EADE013D}" uniqueName="6" name="Info/Other" queryTableFieldId="6" dataDxfId="12"/>
    <tableColumn id="7" xr3:uid="{457A60D8-B9C4-4AA6-9DF7-5673A0B09B15}" uniqueName="7" name="Color Tag" queryTableFieldId="7" dataDxfId="11"/>
    <tableColumn id="8" xr3:uid="{6E58C5E8-E3B7-4561-BA28-05C1FDF6CD7F}" uniqueName="8" name="Compliance Asset Id" queryTableFieldId="8" dataDxfId="10"/>
    <tableColumn id="9" xr3:uid="{F8F3BEAB-C878-45F0-ACEE-10E27C9CD545}" uniqueName="9" name="ID" queryTableFieldId="9"/>
    <tableColumn id="10" xr3:uid="{C7C285EA-013D-40DC-860B-01043AE2EE8E}" uniqueName="10" name="Content Type" queryTableFieldId="10"/>
    <tableColumn id="11" xr3:uid="{FB1DB456-E5D0-4970-A578-69B10244DF39}" uniqueName="11" name="Modified" queryTableFieldId="11" dataDxfId="9"/>
    <tableColumn id="12" xr3:uid="{463F6185-F5DD-4E82-90D9-C4048B40469B}" uniqueName="12" name="Created" queryTableFieldId="12" dataDxfId="8"/>
    <tableColumn id="13" xr3:uid="{6F0F7578-9332-47B9-95AB-8210513AFC46}" uniqueName="13" name="Created By" queryTableFieldId="13"/>
    <tableColumn id="14" xr3:uid="{DB474A5B-44FE-420D-AF19-FA11284ECD89}" uniqueName="14" name="Modified By" queryTableFieldId="14"/>
    <tableColumn id="15" xr3:uid="{E36959DF-9155-4767-97B2-E9567D7F152B}" uniqueName="15" name="Version" queryTableFieldId="15" dataDxfId="7"/>
    <tableColumn id="16" xr3:uid="{DC9B86C3-FF62-475B-B358-AAC468FA28A9}" uniqueName="16" name="Attachments" queryTableFieldId="16" dataDxfId="6"/>
    <tableColumn id="17" xr3:uid="{3F3F16DF-11F9-4F9B-8D3F-2DA34425426B}" uniqueName="17" name="Edit" queryTableFieldId="17"/>
    <tableColumn id="18" xr3:uid="{48C4FA96-9EC1-48D4-B7F1-2056C076BB46}" uniqueName="18" name="Type" queryTableFieldId="18"/>
    <tableColumn id="19" xr3:uid="{7543A160-8955-455E-AE58-805F7E51844E}" uniqueName="19" name="Item Child Count" queryTableFieldId="19"/>
    <tableColumn id="20" xr3:uid="{A9148B5E-3177-4823-8F47-1EB927C6329F}" uniqueName="20" name="Folder Child Count" queryTableFieldId="20"/>
    <tableColumn id="21" xr3:uid="{65B81100-CA3E-4C51-857F-0818138D8DF2}" uniqueName="21" name="Label setting" queryTableFieldId="21"/>
    <tableColumn id="22" xr3:uid="{1AD5E0AE-3C5D-4E48-91F6-7DDB33E74A64}" uniqueName="22" name="Retention label" queryTableFieldId="22"/>
    <tableColumn id="23" xr3:uid="{38895B45-4F53-4471-B66A-29A926463948}" uniqueName="23" name="Retention label Applied" queryTableFieldId="23"/>
    <tableColumn id="24" xr3:uid="{758CC404-6105-4CD0-BE0B-77307B10EAA7}" uniqueName="24" name="Label applied by" queryTableFieldId="24"/>
    <tableColumn id="25" xr3:uid="{BAC836FF-1A2C-4825-9B9F-90D95D13B7C8}" uniqueName="25" name="Item is a Record" queryTableFieldId="25"/>
    <tableColumn id="26" xr3:uid="{7563B6A1-BE4D-42A9-946E-DB68BA3A1151}" uniqueName="26" name="App Created By" queryTableFieldId="26"/>
    <tableColumn id="27" xr3:uid="{C46F2E30-AA64-402B-8250-68B9705CC5C6}" uniqueName="27" name="App Modified By" queryTableField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9A2B84-F626-4F1B-B98B-6C46AD122D94}" name="prclst" displayName="prclst" ref="A1:G3241" tableType="queryTable" totalsRowShown="0">
  <autoFilter ref="A1:G3241" xr:uid="{129A2B84-F626-4F1B-B98B-6C46AD122D94}"/>
  <sortState xmlns:xlrd2="http://schemas.microsoft.com/office/spreadsheetml/2017/richdata2" ref="A2:G3220">
    <sortCondition descending="1" ref="E1:E3220"/>
  </sortState>
  <tableColumns count="7">
    <tableColumn id="1" xr3:uid="{3CB38F64-D436-47F5-A076-65E464600F75}" uniqueName="1" name="prtnum" queryTableFieldId="1" dataDxfId="5"/>
    <tableColumn id="2" xr3:uid="{ADD45ECF-D9A0-4FDF-A094-BA1811069276}" uniqueName="2" name="prtdsc" queryTableFieldId="2" dataDxfId="4"/>
    <tableColumn id="3" xr3:uid="{E46DDCB4-327C-43A8-ADF7-E4D7141F08A9}" uniqueName="3" name="untdsc" queryTableFieldId="3" dataDxfId="3"/>
    <tableColumn id="4" xr3:uid="{DF53FCCE-079F-45E0-A38D-3A4F0F73FC13}" uniqueName="4" name="linprc" queryTableFieldId="4"/>
    <tableColumn id="5" xr3:uid="{59347370-85C4-48A1-93D8-ACEC13A4382D}" uniqueName="5" name="invdte" queryTableFieldId="5" dataDxfId="2"/>
    <tableColumn id="6" xr3:uid="{45FE222E-48AB-4409-9EE6-C53CE3723A05}" uniqueName="6" name="vndnme" queryTableFieldId="6" dataDxfId="1"/>
    <tableColumn id="7" xr3:uid="{D3DDACEB-1D50-4EC2-91FD-36E108DC9BB1}" uniqueName="7" name="source" queryTableFieldId="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C3F70-F2A5-4771-A8BA-5BABE3889D81}">
  <sheetPr codeName="Sheet4">
    <pageSetUpPr fitToPage="1"/>
  </sheetPr>
  <dimension ref="A1:K39"/>
  <sheetViews>
    <sheetView zoomScale="122" zoomScaleNormal="100" workbookViewId="0">
      <selection activeCell="D5" sqref="D5"/>
    </sheetView>
  </sheetViews>
  <sheetFormatPr defaultColWidth="9" defaultRowHeight="15.75"/>
  <cols>
    <col min="1" max="1" width="12.375" style="643" customWidth="1"/>
    <col min="2" max="2" width="21.125" style="643" customWidth="1"/>
    <col min="3" max="3" width="3.25" style="643" customWidth="1"/>
    <col min="4" max="4" width="42.875" style="643" customWidth="1"/>
    <col min="5" max="5" width="2.25" style="643" customWidth="1"/>
    <col min="6" max="6" width="29.375" style="643" customWidth="1"/>
    <col min="7" max="7" width="8.25" style="643" customWidth="1"/>
    <col min="8" max="8" width="21.125" style="672" customWidth="1"/>
    <col min="9" max="9" width="14.625" style="643" customWidth="1"/>
    <col min="10" max="10" width="34.125" style="646" customWidth="1"/>
    <col min="11" max="11" width="9.875" style="646" bestFit="1" customWidth="1"/>
    <col min="12" max="15" width="9" style="643"/>
    <col min="16" max="16" width="6.875" style="643" customWidth="1"/>
    <col min="17" max="16384" width="9" style="643"/>
  </cols>
  <sheetData>
    <row r="1" spans="1:11" ht="50.25" customHeight="1">
      <c r="A1" s="644" t="e" cm="1">
        <f t="array" aca="1" ref="A1" ca="1">LEFT(MID(CELL("filename"), SEARCH("[", CELL("filename"))+1, SEARCH("]", CELL("filename"))-SEARCH("[", CELL("filename"))-1), 6)</f>
        <v>#VALUE!</v>
      </c>
      <c r="B1" s="711" t="s">
        <v>0</v>
      </c>
      <c r="C1" s="711"/>
      <c r="D1" s="711"/>
      <c r="E1" s="711"/>
      <c r="F1" s="711"/>
      <c r="G1" s="711"/>
      <c r="H1" s="711"/>
      <c r="I1" s="711"/>
      <c r="J1" s="645"/>
    </row>
    <row r="2" spans="1:11" s="654" customFormat="1" ht="30" customHeight="1">
      <c r="A2" s="648"/>
      <c r="B2" s="649" t="s">
        <v>1</v>
      </c>
      <c r="C2" s="650"/>
      <c r="D2" s="650"/>
      <c r="E2" s="651"/>
      <c r="F2" s="649" t="s">
        <v>2</v>
      </c>
      <c r="G2" s="650"/>
      <c r="H2" s="652"/>
      <c r="I2" s="653"/>
      <c r="J2" s="647"/>
      <c r="K2" s="647"/>
    </row>
    <row r="3" spans="1:11" ht="15" customHeight="1">
      <c r="A3" s="644"/>
      <c r="B3" s="655"/>
      <c r="C3" s="655"/>
      <c r="D3" s="655"/>
      <c r="E3" s="644"/>
      <c r="F3" s="655"/>
      <c r="G3" s="655"/>
      <c r="H3" s="656"/>
      <c r="I3" s="655"/>
    </row>
    <row r="4" spans="1:11" ht="15" customHeight="1">
      <c r="A4" s="644"/>
      <c r="B4" s="675" t="s">
        <v>3</v>
      </c>
      <c r="C4" s="655"/>
      <c r="D4" s="655"/>
      <c r="E4" s="644"/>
      <c r="F4" s="655"/>
      <c r="G4" s="655"/>
      <c r="H4" s="656"/>
      <c r="I4" s="655"/>
    </row>
    <row r="5" spans="1:11" ht="15" customHeight="1">
      <c r="A5" s="644"/>
      <c r="B5" s="675" t="s">
        <v>4</v>
      </c>
      <c r="C5" s="655"/>
      <c r="D5" s="655"/>
      <c r="E5" s="644"/>
      <c r="F5" s="655"/>
      <c r="G5" s="655"/>
      <c r="H5" s="656"/>
      <c r="I5" s="655"/>
    </row>
    <row r="6" spans="1:11" ht="15" customHeight="1">
      <c r="A6" s="644"/>
      <c r="B6" s="655"/>
      <c r="C6" s="655"/>
      <c r="D6" s="655"/>
      <c r="E6" s="644"/>
      <c r="F6" s="655"/>
      <c r="G6" s="655"/>
      <c r="H6" s="656"/>
      <c r="I6" s="655"/>
    </row>
    <row r="7" spans="1:11" s="654" customFormat="1">
      <c r="A7" s="651"/>
      <c r="B7" s="657" t="s">
        <v>5</v>
      </c>
      <c r="C7" s="655"/>
      <c r="D7" s="688"/>
      <c r="E7" s="651"/>
      <c r="F7" s="658" t="s">
        <v>6</v>
      </c>
      <c r="G7" s="655"/>
      <c r="H7" s="682"/>
      <c r="I7" s="655"/>
      <c r="J7" s="647"/>
      <c r="K7" s="647"/>
    </row>
    <row r="8" spans="1:11" s="654" customFormat="1">
      <c r="A8" s="651"/>
      <c r="B8" s="659" t="s">
        <v>7</v>
      </c>
      <c r="C8" s="655"/>
      <c r="D8" s="660"/>
      <c r="E8" s="689" t="str">
        <f>IFERROR(
     VLOOKUP(Summary!D9,'Customer Book (Sharepoint List)'!$E$1:$AA$2518, 5, FALSE),
     "")</f>
        <v/>
      </c>
      <c r="F8" s="658" t="s">
        <v>8</v>
      </c>
      <c r="G8" s="655"/>
      <c r="H8" s="661">
        <f>Bidmaster!G26</f>
        <v>19340.850000000002</v>
      </c>
      <c r="I8" s="662" t="s">
        <v>9</v>
      </c>
      <c r="J8" s="647"/>
      <c r="K8" s="647"/>
    </row>
    <row r="9" spans="1:11" s="654" customFormat="1">
      <c r="A9" s="651"/>
      <c r="B9" s="659" t="s">
        <v>10</v>
      </c>
      <c r="C9" s="655"/>
      <c r="D9" s="663"/>
      <c r="E9" s="651"/>
      <c r="F9" s="658" t="s">
        <v>11</v>
      </c>
      <c r="G9" s="664"/>
      <c r="H9" s="661">
        <f>Bidmaster!G11</f>
        <v>34776</v>
      </c>
      <c r="I9" s="662">
        <f>Bidmaster!E11</f>
        <v>621</v>
      </c>
      <c r="J9" s="647"/>
      <c r="K9" s="647"/>
    </row>
    <row r="10" spans="1:11" s="654" customFormat="1">
      <c r="A10" s="651"/>
      <c r="B10" s="659" t="s">
        <v>12</v>
      </c>
      <c r="C10" s="655"/>
      <c r="D10" s="686"/>
      <c r="E10" s="651"/>
      <c r="F10" s="658" t="s">
        <v>13</v>
      </c>
      <c r="G10" s="681"/>
      <c r="H10" s="661">
        <f>Bidmaster!G43</f>
        <v>138882</v>
      </c>
      <c r="I10" s="655"/>
      <c r="J10" s="647"/>
      <c r="K10" s="647"/>
    </row>
    <row r="11" spans="1:11" s="654" customFormat="1">
      <c r="A11" s="651"/>
      <c r="B11" s="659" t="s">
        <v>14</v>
      </c>
      <c r="C11" s="655"/>
      <c r="D11" s="687"/>
      <c r="E11" s="651"/>
      <c r="F11" s="651"/>
      <c r="G11" s="651"/>
      <c r="H11" s="651"/>
      <c r="I11" s="651"/>
      <c r="J11" s="647"/>
      <c r="K11" s="647"/>
    </row>
    <row r="12" spans="1:11" s="654" customFormat="1">
      <c r="A12" s="651"/>
      <c r="B12" s="659" t="s">
        <v>15</v>
      </c>
      <c r="C12" s="655"/>
      <c r="D12" s="687"/>
      <c r="E12" s="651"/>
      <c r="F12" s="673" t="s">
        <v>16</v>
      </c>
      <c r="G12" s="673" t="s">
        <v>17</v>
      </c>
      <c r="H12" s="673" t="s">
        <v>18</v>
      </c>
      <c r="I12" s="673" t="s">
        <v>19</v>
      </c>
      <c r="J12" s="647"/>
      <c r="K12" s="647"/>
    </row>
    <row r="13" spans="1:11" s="654" customFormat="1">
      <c r="A13" s="651"/>
      <c r="B13" s="659" t="s">
        <v>20</v>
      </c>
      <c r="C13" s="655"/>
      <c r="D13" s="686"/>
      <c r="E13" s="651"/>
      <c r="F13" s="666" t="str" cm="1">
        <f t="array" ref="F13:F26">IFERROR(INDEX(_xlfn._xlws.FILTER('Flat Roof Summary'!C17:C87, (ISNUMBER('Flat Roof Summary'!I17:I87)) * ('Flat Roof Summary'!I17:I87 &gt; 0), ""), _xlfn.SEQUENCE(14), 1), "")</f>
        <v>Elastophene SP 2.2</v>
      </c>
      <c r="G13" s="674" cm="1">
        <f t="array" ref="G13:G26">IFERROR(INDEX(_xlfn._xlws.FILTER('Flat Roof Summary'!I17:I87, (ISNUMBER('Flat Roof Summary'!I17:I87)) * ('Flat Roof Summary'!I17:I87 &gt; 0), ""), _xlfn.SEQUENCE(14), 1), "")</f>
        <v>1</v>
      </c>
      <c r="H13" s="665" t="str" cm="1">
        <f t="array" ref="H13:H26">IFERROR(INDEX(_xlfn._xlws.FILTER('Flat Roof Summary'!J17:J87, (ISNUMBER('Flat Roof Summary'!I17:I87)) * ('Flat Roof Summary'!I17:I87 &gt; 0), ""), _xlfn.SEQUENCE(14), 1), "")</f>
        <v>Torched</v>
      </c>
      <c r="I13" s="683" cm="1">
        <f t="array" ref="I13:I26">IFERROR(INDEX(_xlfn._xlws.FILTER('Flat Roof Summary'!K17:K87, (ISNUMBER('Flat Roof Summary'!I17:I87)) * ('Flat Roof Summary'!I17:I87 &gt; 0), ""), _xlfn.SEQUENCE(14), 1), "")</f>
        <v>824.5</v>
      </c>
      <c r="J13" s="647"/>
      <c r="K13" s="647"/>
    </row>
    <row r="14" spans="1:11">
      <c r="A14" s="644"/>
      <c r="B14" s="655"/>
      <c r="C14" s="655"/>
      <c r="D14" s="669"/>
      <c r="E14" s="644"/>
      <c r="F14" s="667" t="str">
        <v>2in. ISO Glass</v>
      </c>
      <c r="G14" s="655">
        <v>1</v>
      </c>
      <c r="H14" s="668" t="str">
        <v>Adhesive</v>
      </c>
      <c r="I14" s="683">
        <v>1947.5</v>
      </c>
    </row>
    <row r="15" spans="1:11" s="654" customFormat="1" ht="30" customHeight="1">
      <c r="A15" s="712" t="s">
        <v>21</v>
      </c>
      <c r="B15" s="712"/>
      <c r="C15" s="712"/>
      <c r="D15" s="712"/>
      <c r="E15" s="651"/>
      <c r="F15" s="667" t="str">
        <v>Tapered Insulation</v>
      </c>
      <c r="G15" s="655">
        <v>1.5</v>
      </c>
      <c r="H15" s="668" t="str">
        <v>Adhesive</v>
      </c>
      <c r="I15" s="683">
        <v>2375</v>
      </c>
      <c r="J15" s="647"/>
      <c r="K15" s="647"/>
    </row>
    <row r="16" spans="1:11" ht="34.15" customHeight="1">
      <c r="A16" s="678"/>
      <c r="B16" s="678"/>
      <c r="C16" s="678"/>
      <c r="D16" s="678"/>
      <c r="E16" s="644"/>
      <c r="F16" s="667" t="str">
        <v>Densdeck Primed 1/2in.</v>
      </c>
      <c r="G16" s="655">
        <v>1</v>
      </c>
      <c r="H16" s="668" t="str">
        <v>Adhesive</v>
      </c>
      <c r="I16" s="683">
        <v>1641.6000000000001</v>
      </c>
    </row>
    <row r="17" spans="1:11" s="654" customFormat="1" ht="30" customHeight="1">
      <c r="A17" s="678"/>
      <c r="B17" s="678"/>
      <c r="C17" s="678"/>
      <c r="D17" s="678"/>
      <c r="E17" s="651"/>
      <c r="F17" s="667" t="str">
        <v>Sopraply Base 520</v>
      </c>
      <c r="G17" s="655">
        <v>1</v>
      </c>
      <c r="H17" s="668" t="str">
        <v>Torched</v>
      </c>
      <c r="I17" s="683">
        <v>2036</v>
      </c>
      <c r="J17" s="647"/>
      <c r="K17" s="647"/>
    </row>
    <row r="18" spans="1:11" s="654" customFormat="1" ht="41.25" customHeight="1">
      <c r="A18" s="678"/>
      <c r="B18" s="678"/>
      <c r="C18" s="678"/>
      <c r="D18" s="678"/>
      <c r="E18" s="651"/>
      <c r="F18" s="667" t="str">
        <v xml:space="preserve">Sopraply Traffic Cap </v>
      </c>
      <c r="G18" s="655">
        <v>1</v>
      </c>
      <c r="H18" s="668" t="str">
        <v>Torched</v>
      </c>
      <c r="I18" s="683">
        <v>2539.1999999999998</v>
      </c>
      <c r="J18" s="676"/>
      <c r="K18" s="647"/>
    </row>
    <row r="19" spans="1:11" s="654" customFormat="1" ht="30" customHeight="1">
      <c r="A19" s="678"/>
      <c r="B19" s="678"/>
      <c r="C19" s="678"/>
      <c r="D19" s="678"/>
      <c r="E19" s="651"/>
      <c r="F19" s="667" t="str">
        <v xml:space="preserve">Sopraply Stick </v>
      </c>
      <c r="G19" s="655">
        <v>1</v>
      </c>
      <c r="H19" s="668" t="str">
        <v>Torched</v>
      </c>
      <c r="I19" s="683">
        <v>404.84999999999997</v>
      </c>
      <c r="J19" s="677"/>
      <c r="K19" s="647"/>
    </row>
    <row r="20" spans="1:11" s="654" customFormat="1" ht="30" customHeight="1">
      <c r="A20" s="678"/>
      <c r="B20" s="678"/>
      <c r="C20" s="678"/>
      <c r="D20" s="678"/>
      <c r="E20" s="651"/>
      <c r="F20" s="667" t="str">
        <v>Duotack</v>
      </c>
      <c r="G20" s="655">
        <v>3.5</v>
      </c>
      <c r="H20" s="668">
        <v>0</v>
      </c>
      <c r="I20" s="683">
        <v>2870.3999999999996</v>
      </c>
      <c r="J20" s="677"/>
      <c r="K20" s="647"/>
    </row>
    <row r="21" spans="1:11" s="654" customFormat="1" ht="30" customHeight="1">
      <c r="A21" s="678"/>
      <c r="B21" s="678"/>
      <c r="C21" s="678"/>
      <c r="D21" s="678"/>
      <c r="E21" s="651"/>
      <c r="F21" s="667" t="str">
        <v>Elastocol Stick (19L)</v>
      </c>
      <c r="G21" s="655">
        <v>1</v>
      </c>
      <c r="H21" s="668">
        <v>0</v>
      </c>
      <c r="I21" s="683">
        <v>160</v>
      </c>
      <c r="J21" s="677"/>
      <c r="K21" s="647"/>
    </row>
    <row r="22" spans="1:11" ht="30" customHeight="1">
      <c r="A22" s="678"/>
      <c r="B22" s="678"/>
      <c r="C22" s="678"/>
      <c r="D22" s="678"/>
      <c r="E22" s="644"/>
      <c r="F22" s="667" t="str">
        <v>Elastocol 500 (19L)</v>
      </c>
      <c r="G22" s="655">
        <v>2</v>
      </c>
      <c r="H22" s="668">
        <v>0</v>
      </c>
      <c r="I22" s="683">
        <v>375.15</v>
      </c>
      <c r="J22" s="677"/>
    </row>
    <row r="23" spans="1:11" s="654" customFormat="1" ht="30" customHeight="1">
      <c r="A23" s="678"/>
      <c r="B23" s="678"/>
      <c r="C23" s="678"/>
      <c r="D23" s="678"/>
      <c r="E23" s="651"/>
      <c r="F23" s="667" t="str">
        <v/>
      </c>
      <c r="G23" s="655" t="str">
        <v/>
      </c>
      <c r="H23" s="668" t="str">
        <v/>
      </c>
      <c r="I23" s="683" t="str">
        <v/>
      </c>
      <c r="J23" s="677"/>
      <c r="K23" s="647"/>
    </row>
    <row r="24" spans="1:11" s="654" customFormat="1" ht="30" customHeight="1">
      <c r="A24" s="678"/>
      <c r="B24" s="678"/>
      <c r="C24" s="678"/>
      <c r="D24" s="678"/>
      <c r="E24" s="651"/>
      <c r="F24" s="685" t="str">
        <v/>
      </c>
      <c r="G24" s="655" t="str">
        <v/>
      </c>
      <c r="H24" s="684" t="str">
        <v/>
      </c>
      <c r="I24" s="683" t="str">
        <v/>
      </c>
      <c r="J24" s="677"/>
      <c r="K24" s="647"/>
    </row>
    <row r="25" spans="1:11" s="654" customFormat="1" ht="30" customHeight="1">
      <c r="A25" s="678"/>
      <c r="B25" s="678"/>
      <c r="C25" s="678"/>
      <c r="D25" s="678"/>
      <c r="E25" s="651"/>
      <c r="F25" s="685" t="str">
        <v/>
      </c>
      <c r="G25" s="655" t="str">
        <v/>
      </c>
      <c r="H25" s="684" t="str">
        <v/>
      </c>
      <c r="I25" s="683" t="str">
        <v/>
      </c>
      <c r="J25" s="647"/>
      <c r="K25" s="647"/>
    </row>
    <row r="26" spans="1:11" ht="21.75" customHeight="1">
      <c r="A26" s="648"/>
      <c r="B26" s="670"/>
      <c r="C26" s="671"/>
      <c r="D26" s="650"/>
      <c r="E26" s="650"/>
      <c r="F26" s="650" t="str">
        <v/>
      </c>
      <c r="G26" s="650" t="str">
        <v/>
      </c>
      <c r="H26" s="650" t="str">
        <v/>
      </c>
      <c r="I26" s="650" t="str">
        <v/>
      </c>
    </row>
    <row r="27" spans="1:11" ht="21.75" customHeight="1"/>
    <row r="28" spans="1:11" ht="21.75" customHeight="1"/>
    <row r="29" spans="1:11" ht="21.75" customHeight="1"/>
    <row r="30" spans="1:11" ht="21.75" customHeight="1"/>
    <row r="31" spans="1:11" ht="21.75" customHeight="1"/>
    <row r="32" spans="1:11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</sheetData>
  <mergeCells count="2">
    <mergeCell ref="B1:I1"/>
    <mergeCell ref="A15:D15"/>
  </mergeCells>
  <conditionalFormatting sqref="F13:F25">
    <cfRule type="cellIs" dxfId="20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scale="58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AC9879A-5E26-4E6D-8AAE-60ED58D90AE0}">
          <x14:formula1>
            <xm:f>'Customer Book (Sharepoint List)'!$AC:$AC</xm:f>
          </x14:formula1>
          <xm:sqref>D8</xm:sqref>
        </x14:dataValidation>
        <x14:dataValidation type="list" allowBlank="1" showInputMessage="1" xr:uid="{7DD3F428-6F7B-460D-8DF4-D2568153F1AD}">
          <x14:formula1>
            <xm:f>'Customer Book (Sharepoint List)'!$AD:$AD</xm:f>
          </x14:formula1>
          <xm:sqref>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83"/>
  <sheetViews>
    <sheetView topLeftCell="A42" zoomScale="92" zoomScaleNormal="100" workbookViewId="0">
      <selection activeCell="G17" sqref="G17"/>
    </sheetView>
  </sheetViews>
  <sheetFormatPr defaultRowHeight="13.5"/>
  <cols>
    <col min="1" max="1" width="19.25" bestFit="1" customWidth="1"/>
    <col min="2" max="2" width="11.125" bestFit="1" customWidth="1"/>
    <col min="3" max="3" width="10.375" bestFit="1" customWidth="1"/>
    <col min="4" max="4" width="11.75" bestFit="1" customWidth="1"/>
    <col min="5" max="5" width="16" customWidth="1"/>
    <col min="6" max="6" width="14.375" bestFit="1" customWidth="1"/>
    <col min="7" max="7" width="13.875" bestFit="1" customWidth="1"/>
    <col min="8" max="8" width="12.375" bestFit="1" customWidth="1"/>
    <col min="9" max="9" width="10.875" bestFit="1" customWidth="1"/>
    <col min="10" max="10" width="14.125" bestFit="1" customWidth="1"/>
    <col min="11" max="11" width="17.875" bestFit="1" customWidth="1"/>
    <col min="12" max="13" width="11.875" bestFit="1" customWidth="1"/>
    <col min="14" max="14" width="9.75" bestFit="1" customWidth="1"/>
    <col min="15" max="15" width="12.25" bestFit="1" customWidth="1"/>
    <col min="16" max="16" width="11.875" bestFit="1" customWidth="1"/>
    <col min="17" max="17" width="8.5" bestFit="1" customWidth="1"/>
    <col min="18" max="18" width="12.25" bestFit="1" customWidth="1"/>
    <col min="19" max="258" width="8.375" customWidth="1"/>
    <col min="259" max="259" width="9" customWidth="1"/>
  </cols>
  <sheetData>
    <row r="1" spans="1:14" ht="46.9" customHeight="1">
      <c r="A1" s="402" t="s">
        <v>22</v>
      </c>
      <c r="B1" s="731">
        <f>Summary!D7</f>
        <v>0</v>
      </c>
      <c r="C1" s="732"/>
      <c r="D1" s="732"/>
      <c r="E1" s="733"/>
    </row>
    <row r="2" spans="1:14" ht="19.5" customHeight="1">
      <c r="A2" s="403" t="s">
        <v>23</v>
      </c>
      <c r="B2" s="734"/>
      <c r="C2" s="735"/>
      <c r="D2" s="735"/>
      <c r="E2" s="736"/>
    </row>
    <row r="3" spans="1:14" ht="23.65" customHeight="1">
      <c r="A3" s="451" t="s">
        <v>24</v>
      </c>
      <c r="B3" s="737">
        <v>1</v>
      </c>
      <c r="C3" s="737"/>
      <c r="D3" s="737"/>
      <c r="E3" s="737"/>
      <c r="J3" s="1" t="s">
        <v>25</v>
      </c>
      <c r="K3" s="1" t="s">
        <v>26</v>
      </c>
      <c r="M3" t="s">
        <v>27</v>
      </c>
      <c r="N3" t="s">
        <v>28</v>
      </c>
    </row>
    <row r="4" spans="1:14" ht="13.9">
      <c r="J4" s="1"/>
      <c r="K4" s="1"/>
    </row>
    <row r="5" spans="1:14" ht="13.9">
      <c r="A5" s="404" t="s">
        <v>29</v>
      </c>
      <c r="B5" s="1" t="s">
        <v>30</v>
      </c>
      <c r="C5" s="1" t="s">
        <v>31</v>
      </c>
      <c r="D5" s="1" t="s">
        <v>32</v>
      </c>
      <c r="E5" s="1" t="s">
        <v>33</v>
      </c>
      <c r="F5" s="1" t="s">
        <v>34</v>
      </c>
      <c r="J5" s="437">
        <v>1</v>
      </c>
      <c r="K5" s="437">
        <f>J5*0.0032808</f>
        <v>3.2807999999999999E-3</v>
      </c>
      <c r="M5" s="437">
        <v>1</v>
      </c>
      <c r="N5" s="437">
        <f t="shared" ref="N5:N11" si="0">M5*10.76391</f>
        <v>10.763909999999999</v>
      </c>
    </row>
    <row r="6" spans="1:14" ht="13.9">
      <c r="A6" s="404" t="s">
        <v>29</v>
      </c>
      <c r="B6" s="437" t="s">
        <v>35</v>
      </c>
      <c r="C6" s="438">
        <v>1</v>
      </c>
      <c r="D6" s="449">
        <v>90</v>
      </c>
      <c r="E6" s="449">
        <v>13</v>
      </c>
      <c r="F6" s="405">
        <f t="shared" ref="F6:F11" si="1">C6*D6*E6</f>
        <v>1170</v>
      </c>
      <c r="G6" s="406"/>
      <c r="J6" s="437"/>
      <c r="K6" s="437">
        <f t="shared" ref="K6:K11" si="2">J6*0.0032844</f>
        <v>0</v>
      </c>
      <c r="M6" s="437"/>
      <c r="N6" s="437">
        <f t="shared" si="0"/>
        <v>0</v>
      </c>
    </row>
    <row r="7" spans="1:14" ht="13.9">
      <c r="A7" s="404" t="s">
        <v>29</v>
      </c>
      <c r="B7" s="437" t="s">
        <v>36</v>
      </c>
      <c r="C7" s="438">
        <v>1</v>
      </c>
      <c r="D7" s="449">
        <v>40</v>
      </c>
      <c r="E7" s="449">
        <v>5</v>
      </c>
      <c r="F7" s="405">
        <f t="shared" si="1"/>
        <v>200</v>
      </c>
      <c r="J7" s="437"/>
      <c r="K7" s="437">
        <f t="shared" si="2"/>
        <v>0</v>
      </c>
      <c r="M7" s="437"/>
      <c r="N7" s="437">
        <f t="shared" si="0"/>
        <v>0</v>
      </c>
    </row>
    <row r="8" spans="1:14" ht="13.9">
      <c r="A8" s="404" t="s">
        <v>29</v>
      </c>
      <c r="B8" s="437" t="s">
        <v>37</v>
      </c>
      <c r="C8" s="438">
        <v>1</v>
      </c>
      <c r="D8" s="449">
        <v>0</v>
      </c>
      <c r="E8" s="449">
        <v>0</v>
      </c>
      <c r="F8" s="405">
        <f t="shared" si="1"/>
        <v>0</v>
      </c>
      <c r="J8" s="437"/>
      <c r="K8" s="437">
        <f t="shared" si="2"/>
        <v>0</v>
      </c>
      <c r="M8" s="437"/>
      <c r="N8" s="437">
        <f t="shared" si="0"/>
        <v>0</v>
      </c>
    </row>
    <row r="9" spans="1:14" ht="13.9">
      <c r="A9" s="404" t="s">
        <v>29</v>
      </c>
      <c r="B9" s="437" t="s">
        <v>38</v>
      </c>
      <c r="C9" s="438">
        <v>1</v>
      </c>
      <c r="D9" s="449">
        <v>0</v>
      </c>
      <c r="E9" s="449">
        <v>0</v>
      </c>
      <c r="F9" s="405">
        <f t="shared" si="1"/>
        <v>0</v>
      </c>
      <c r="J9" s="437"/>
      <c r="K9" s="437">
        <f t="shared" si="2"/>
        <v>0</v>
      </c>
      <c r="M9" s="437"/>
      <c r="N9" s="437">
        <f t="shared" si="0"/>
        <v>0</v>
      </c>
    </row>
    <row r="10" spans="1:14" ht="13.9">
      <c r="A10" s="404" t="s">
        <v>29</v>
      </c>
      <c r="B10" s="437" t="s">
        <v>39</v>
      </c>
      <c r="C10" s="438">
        <v>1</v>
      </c>
      <c r="D10" s="449">
        <v>0</v>
      </c>
      <c r="E10" s="449">
        <v>0</v>
      </c>
      <c r="F10" s="405">
        <f t="shared" si="1"/>
        <v>0</v>
      </c>
      <c r="J10" s="437"/>
      <c r="K10" s="437">
        <f t="shared" si="2"/>
        <v>0</v>
      </c>
      <c r="M10" s="437"/>
      <c r="N10" s="437">
        <f t="shared" si="0"/>
        <v>0</v>
      </c>
    </row>
    <row r="11" spans="1:14" ht="13.9">
      <c r="A11" s="404" t="s">
        <v>29</v>
      </c>
      <c r="B11" s="437" t="s">
        <v>40</v>
      </c>
      <c r="C11" s="439">
        <v>1</v>
      </c>
      <c r="D11" s="450">
        <v>0</v>
      </c>
      <c r="E11" s="450">
        <v>0</v>
      </c>
      <c r="F11" s="405">
        <f t="shared" si="1"/>
        <v>0</v>
      </c>
      <c r="J11" s="437"/>
      <c r="K11" s="437">
        <f t="shared" si="2"/>
        <v>0</v>
      </c>
      <c r="M11" s="437"/>
      <c r="N11" s="437">
        <f t="shared" si="0"/>
        <v>0</v>
      </c>
    </row>
    <row r="12" spans="1:14">
      <c r="C12" s="62"/>
      <c r="E12" s="2"/>
      <c r="F12" s="407"/>
      <c r="H12" s="2"/>
      <c r="I12" s="2"/>
    </row>
    <row r="13" spans="1:14">
      <c r="C13" s="62"/>
      <c r="D13">
        <f>SUM(D6:D12)</f>
        <v>130</v>
      </c>
      <c r="E13" s="2">
        <f>SUM(E6:E12)</f>
        <v>18</v>
      </c>
      <c r="F13" s="400">
        <f>SUM(F6:F11)</f>
        <v>1370</v>
      </c>
      <c r="G13" t="s">
        <v>41</v>
      </c>
      <c r="H13" s="2"/>
      <c r="I13" s="2"/>
      <c r="J13" s="2"/>
    </row>
    <row r="14" spans="1:14" ht="13.9">
      <c r="C14" s="62"/>
      <c r="D14" s="10"/>
      <c r="F14" s="401">
        <f>ROUNDUP(F13/100,0)</f>
        <v>14</v>
      </c>
      <c r="G14" t="s">
        <v>42</v>
      </c>
      <c r="H14" s="408"/>
      <c r="I14" s="408"/>
      <c r="J14" s="408"/>
    </row>
    <row r="16" spans="1:14" ht="13.9">
      <c r="C16" s="738" t="s">
        <v>43</v>
      </c>
      <c r="D16" s="738"/>
      <c r="E16" s="739"/>
      <c r="F16" s="437">
        <v>10</v>
      </c>
      <c r="G16" t="s">
        <v>44</v>
      </c>
    </row>
    <row r="18" spans="1:9">
      <c r="A18" s="527" t="b">
        <v>0</v>
      </c>
      <c r="C18" s="62"/>
    </row>
    <row r="19" spans="1:9" ht="13.9">
      <c r="A19" s="404" t="s">
        <v>45</v>
      </c>
      <c r="B19" s="1" t="s">
        <v>30</v>
      </c>
      <c r="C19" s="1" t="s">
        <v>31</v>
      </c>
      <c r="D19" s="1" t="s">
        <v>32</v>
      </c>
      <c r="E19" s="1" t="s">
        <v>33</v>
      </c>
      <c r="F19" s="1" t="s">
        <v>34</v>
      </c>
    </row>
    <row r="20" spans="1:9" ht="13.9">
      <c r="A20" s="404" t="s">
        <v>45</v>
      </c>
      <c r="B20" s="437" t="s">
        <v>35</v>
      </c>
      <c r="C20" s="439">
        <v>0</v>
      </c>
      <c r="D20" s="450">
        <v>0</v>
      </c>
      <c r="E20" s="450">
        <v>0</v>
      </c>
      <c r="F20" s="405">
        <f t="shared" ref="F20:F25" si="3">E20*D20*C20</f>
        <v>0</v>
      </c>
    </row>
    <row r="21" spans="1:9" ht="13.9">
      <c r="A21" s="404" t="s">
        <v>45</v>
      </c>
      <c r="B21" s="437" t="s">
        <v>36</v>
      </c>
      <c r="C21" s="439">
        <v>0</v>
      </c>
      <c r="D21" s="450">
        <v>0</v>
      </c>
      <c r="E21" s="450">
        <v>0</v>
      </c>
      <c r="F21" s="405">
        <f t="shared" si="3"/>
        <v>0</v>
      </c>
    </row>
    <row r="22" spans="1:9" ht="13.9">
      <c r="A22" s="404" t="s">
        <v>45</v>
      </c>
      <c r="B22" s="437" t="s">
        <v>37</v>
      </c>
      <c r="C22" s="439">
        <v>0</v>
      </c>
      <c r="D22" s="450">
        <v>0</v>
      </c>
      <c r="E22" s="450">
        <v>0</v>
      </c>
      <c r="F22" s="405">
        <f t="shared" si="3"/>
        <v>0</v>
      </c>
    </row>
    <row r="23" spans="1:9" ht="13.9">
      <c r="A23" s="404" t="s">
        <v>45</v>
      </c>
      <c r="B23" s="437" t="s">
        <v>38</v>
      </c>
      <c r="C23" s="439">
        <v>0</v>
      </c>
      <c r="D23" s="450">
        <v>0</v>
      </c>
      <c r="E23" s="450">
        <v>0</v>
      </c>
      <c r="F23" s="405">
        <f t="shared" si="3"/>
        <v>0</v>
      </c>
    </row>
    <row r="24" spans="1:9" ht="13.9">
      <c r="A24" s="404" t="s">
        <v>45</v>
      </c>
      <c r="B24" s="437" t="s">
        <v>39</v>
      </c>
      <c r="C24" s="439">
        <v>0</v>
      </c>
      <c r="D24" s="450">
        <v>0</v>
      </c>
      <c r="E24" s="450">
        <v>0</v>
      </c>
      <c r="F24" s="405">
        <f t="shared" si="3"/>
        <v>0</v>
      </c>
    </row>
    <row r="25" spans="1:9" ht="13.9">
      <c r="A25" s="404" t="s">
        <v>45</v>
      </c>
      <c r="B25" s="437" t="s">
        <v>40</v>
      </c>
      <c r="C25" s="439">
        <v>0</v>
      </c>
      <c r="D25" s="450">
        <v>0</v>
      </c>
      <c r="E25" s="450">
        <v>0</v>
      </c>
      <c r="F25" s="405">
        <f t="shared" si="3"/>
        <v>0</v>
      </c>
    </row>
    <row r="26" spans="1:9">
      <c r="E26" s="2"/>
      <c r="F26" s="407"/>
    </row>
    <row r="27" spans="1:9">
      <c r="D27">
        <f>SUM(D20:D26)</f>
        <v>0</v>
      </c>
      <c r="E27" s="2">
        <f>SUM(E20:E26)</f>
        <v>0</v>
      </c>
      <c r="F27" s="400">
        <f>SUM(F20:F26)</f>
        <v>0</v>
      </c>
      <c r="G27" t="s">
        <v>41</v>
      </c>
    </row>
    <row r="28" spans="1:9" ht="13.9">
      <c r="D28" s="10"/>
      <c r="F28" s="401">
        <f>ROUNDUP(F27/100,0)</f>
        <v>0</v>
      </c>
      <c r="G28" t="s">
        <v>42</v>
      </c>
    </row>
    <row r="31" spans="1:9" ht="13.9">
      <c r="A31" s="1" t="s">
        <v>46</v>
      </c>
      <c r="C31" s="1" t="s">
        <v>31</v>
      </c>
      <c r="D31" s="1" t="s">
        <v>47</v>
      </c>
      <c r="E31" s="1" t="s">
        <v>48</v>
      </c>
      <c r="F31" s="1" t="s">
        <v>49</v>
      </c>
      <c r="H31" s="1" t="s">
        <v>50</v>
      </c>
      <c r="I31" s="211" t="s">
        <v>9</v>
      </c>
    </row>
    <row r="32" spans="1:9">
      <c r="A32" s="212" t="s">
        <v>51</v>
      </c>
      <c r="B32" s="413" t="s">
        <v>52</v>
      </c>
      <c r="C32" s="439">
        <v>0</v>
      </c>
      <c r="D32" s="440">
        <v>0</v>
      </c>
      <c r="E32" s="440">
        <v>0</v>
      </c>
      <c r="F32" s="439">
        <v>0</v>
      </c>
      <c r="G32" s="405">
        <f>(D32*2+E32*2*(F32/12))*C32</f>
        <v>0</v>
      </c>
      <c r="H32" s="409">
        <f>C32*(D32+E32)*2</f>
        <v>0</v>
      </c>
      <c r="I32" s="410">
        <f>SUMPRODUCT((F32&lt;25)*(H32/22.5))
+ SUMPRODUCT((F32&gt;=25)*(F32&lt;=69)*(H32/18))
+ SUMPRODUCT((F32&gt;69)*(H32/15))
+ SUMPRODUCT((F32&lt;25)*(H32/15))
+ SUMPRODUCT((F32&gt;=25)*(F32&lt;=69)*(H32/12))
+ SUMPRODUCT((F32&gt;69)*(H32/9))</f>
        <v>0</v>
      </c>
    </row>
    <row r="33" spans="1:9">
      <c r="A33" s="212"/>
      <c r="B33" s="413" t="s">
        <v>53</v>
      </c>
      <c r="C33" s="439">
        <v>0</v>
      </c>
      <c r="D33" s="440">
        <v>0</v>
      </c>
      <c r="E33" s="440">
        <v>0</v>
      </c>
      <c r="F33" s="439">
        <v>0</v>
      </c>
      <c r="G33" s="405">
        <f>(D33*2+E33*2*(F33/12))*C33</f>
        <v>0</v>
      </c>
      <c r="H33" s="409">
        <f>C33*(D33+E33)*2</f>
        <v>0</v>
      </c>
      <c r="I33" s="410">
        <f>SUMPRODUCT((F33&lt;25)*(H33/22.5))
+ SUMPRODUCT((F33&gt;=25)*(F33&lt;=69)*(H33/18))
+ SUMPRODUCT((F33&gt;69)*(H33/15))
+ SUMPRODUCT((F33&lt;25)*(H33/15))
+ SUMPRODUCT((F33&gt;=25)*(F33&lt;=69)*(H33/12))
+ SUMPRODUCT((F33&gt;69)*(H33/9))</f>
        <v>0</v>
      </c>
    </row>
    <row r="34" spans="1:9">
      <c r="A34" s="212"/>
      <c r="B34" s="413" t="s">
        <v>54</v>
      </c>
      <c r="C34" s="439">
        <v>0</v>
      </c>
      <c r="D34" s="440">
        <v>0</v>
      </c>
      <c r="E34" s="440">
        <v>0</v>
      </c>
      <c r="F34" s="439">
        <v>0</v>
      </c>
      <c r="G34" s="405">
        <f>(D34*2+E34*2*(F34/12))*C34</f>
        <v>0</v>
      </c>
      <c r="H34" s="409">
        <f>C34*(D34+E34)*2</f>
        <v>0</v>
      </c>
      <c r="I34" s="410">
        <f>SUMPRODUCT((F34&lt;25)*(H34/22.5))
+ SUMPRODUCT((F34&gt;=25)*(F34&lt;=69)*(H34/18))
+ SUMPRODUCT((F34&gt;69)*(H34/15))
+ SUMPRODUCT((F34&lt;25)*(H34/15))
+ SUMPRODUCT((F34&gt;=25)*(F34&lt;=69)*(H34/12))
+ SUMPRODUCT((F34&gt;69)*(H34/9))</f>
        <v>0</v>
      </c>
    </row>
    <row r="35" spans="1:9">
      <c r="A35" s="212"/>
      <c r="B35" s="413" t="s">
        <v>55</v>
      </c>
      <c r="C35" s="439">
        <v>0</v>
      </c>
      <c r="D35" s="440">
        <v>0</v>
      </c>
      <c r="E35" s="440">
        <v>0</v>
      </c>
      <c r="F35" s="439">
        <v>0</v>
      </c>
      <c r="G35" s="405">
        <f>(D35*2+E35*2*(F35/12))*C35</f>
        <v>0</v>
      </c>
      <c r="H35" s="409">
        <f>C35*(D35+E35)*2</f>
        <v>0</v>
      </c>
      <c r="I35" s="410">
        <f>SUMPRODUCT((F35&lt;25)*(H35/22.5))
+ SUMPRODUCT((F35&gt;=25)*(F35&lt;=69)*(H35/18))
+ SUMPRODUCT((F35&gt;69)*(H35/15))
+ SUMPRODUCT((F35&lt;25)*(H35/15))
+ SUMPRODUCT((F35&gt;=25)*(F35&lt;=69)*(H35/12))
+ SUMPRODUCT((F35&gt;69)*(H35/9))</f>
        <v>0</v>
      </c>
    </row>
    <row r="36" spans="1:9">
      <c r="A36" s="212"/>
      <c r="E36" s="2"/>
      <c r="G36" s="537">
        <f>SUM(G32:G35)</f>
        <v>0</v>
      </c>
      <c r="H36" s="411">
        <f>SUM(H32:H35)</f>
        <v>0</v>
      </c>
      <c r="I36" s="536">
        <f>SUM(I32:I35)</f>
        <v>0</v>
      </c>
    </row>
    <row r="37" spans="1:9" ht="13.9">
      <c r="A37" s="212"/>
      <c r="C37" s="740" t="s">
        <v>56</v>
      </c>
      <c r="D37" s="741"/>
      <c r="E37" s="539">
        <v>0</v>
      </c>
      <c r="G37" s="538">
        <f>ROUNDUP(G36/100,0)</f>
        <v>0</v>
      </c>
    </row>
    <row r="38" spans="1:9" ht="14.25" customHeight="1">
      <c r="A38" s="212"/>
    </row>
    <row r="39" spans="1:9" ht="14.25" customHeight="1"/>
    <row r="40" spans="1:9" ht="14.25" customHeight="1">
      <c r="A40" s="1" t="s">
        <v>57</v>
      </c>
      <c r="B40" s="1"/>
      <c r="C40" s="1" t="s">
        <v>31</v>
      </c>
      <c r="D40" s="727" t="s">
        <v>58</v>
      </c>
      <c r="E40" s="727"/>
      <c r="G40" s="62" t="s">
        <v>59</v>
      </c>
      <c r="H40" s="412" t="s">
        <v>60</v>
      </c>
    </row>
    <row r="41" spans="1:9" ht="14.25" customHeight="1">
      <c r="A41" s="212" t="s">
        <v>51</v>
      </c>
      <c r="B41" s="413" t="s">
        <v>61</v>
      </c>
      <c r="C41" s="439">
        <v>0</v>
      </c>
      <c r="F41" s="413">
        <f t="shared" ref="F41:F48" si="4">C41</f>
        <v>0</v>
      </c>
      <c r="G41" s="411">
        <v>0.5</v>
      </c>
      <c r="H41" s="411">
        <v>0</v>
      </c>
    </row>
    <row r="42" spans="1:9" ht="14.25" customHeight="1">
      <c r="A42" s="212"/>
      <c r="B42" s="463" t="s">
        <v>62</v>
      </c>
      <c r="C42" s="439">
        <v>0</v>
      </c>
      <c r="F42" s="413">
        <f t="shared" si="4"/>
        <v>0</v>
      </c>
      <c r="G42" s="414">
        <v>3</v>
      </c>
      <c r="H42" s="411">
        <v>0</v>
      </c>
    </row>
    <row r="43" spans="1:9" ht="14.25" customHeight="1">
      <c r="A43" s="212"/>
      <c r="B43" s="463" t="s">
        <v>63</v>
      </c>
      <c r="C43" s="439">
        <v>0</v>
      </c>
      <c r="D43" s="725" t="s">
        <v>64</v>
      </c>
      <c r="E43" s="726"/>
      <c r="F43" s="413">
        <f t="shared" si="4"/>
        <v>0</v>
      </c>
      <c r="G43" s="414">
        <v>5</v>
      </c>
      <c r="H43" s="411" t="str">
        <f>IF(D43="Normal", -1,
IF(D43="Hard", 1,"0"))</f>
        <v>0</v>
      </c>
    </row>
    <row r="44" spans="1:9" ht="14.25" customHeight="1">
      <c r="A44" s="212"/>
      <c r="B44" s="463" t="s">
        <v>65</v>
      </c>
      <c r="C44" s="439">
        <v>0</v>
      </c>
      <c r="D44" s="725" t="s">
        <v>66</v>
      </c>
      <c r="E44" s="726"/>
      <c r="F44" s="413">
        <f t="shared" si="4"/>
        <v>0</v>
      </c>
      <c r="G44" s="414">
        <v>3</v>
      </c>
      <c r="H44" s="411" t="str">
        <f>IF(D44="Thaler SJ-26", -1,
IF(D44="SBS/Alsans", 2,"0"))</f>
        <v>0</v>
      </c>
    </row>
    <row r="45" spans="1:9">
      <c r="A45" s="212"/>
      <c r="B45" s="463" t="s">
        <v>67</v>
      </c>
      <c r="C45" s="439">
        <v>0</v>
      </c>
      <c r="F45" s="413">
        <f t="shared" si="4"/>
        <v>0</v>
      </c>
      <c r="G45" s="414">
        <v>2</v>
      </c>
      <c r="H45" s="411">
        <v>0</v>
      </c>
    </row>
    <row r="46" spans="1:9">
      <c r="A46" s="212"/>
      <c r="B46" s="463" t="s">
        <v>68</v>
      </c>
      <c r="C46" s="439">
        <v>0</v>
      </c>
      <c r="D46" s="725" t="s">
        <v>69</v>
      </c>
      <c r="E46" s="726"/>
      <c r="F46" s="413">
        <f t="shared" si="4"/>
        <v>0</v>
      </c>
      <c r="G46" s="414">
        <v>4</v>
      </c>
      <c r="H46" s="411" t="str">
        <f>IF(D46="Easy",-1,
IF(D46="Hard",2,"0"))</f>
        <v>0</v>
      </c>
    </row>
    <row r="47" spans="1:9">
      <c r="A47" s="212"/>
      <c r="B47" s="463" t="s">
        <v>70</v>
      </c>
      <c r="C47" s="439">
        <v>0</v>
      </c>
      <c r="F47" s="413">
        <f t="shared" si="4"/>
        <v>0</v>
      </c>
      <c r="G47" s="414">
        <v>2</v>
      </c>
      <c r="H47" s="411">
        <v>0</v>
      </c>
    </row>
    <row r="48" spans="1:9">
      <c r="A48" s="212"/>
      <c r="B48" s="463" t="s">
        <v>71</v>
      </c>
      <c r="C48" s="439">
        <v>6</v>
      </c>
      <c r="D48" s="725" t="s">
        <v>72</v>
      </c>
      <c r="E48" s="726"/>
      <c r="F48" s="413">
        <f t="shared" si="4"/>
        <v>6</v>
      </c>
      <c r="G48" s="414">
        <v>3</v>
      </c>
      <c r="H48" s="411">
        <f>IF(D48="Drop Drain", -1,
IF(D48="Mechanical Attachment", 1,"0"))</f>
        <v>-1</v>
      </c>
    </row>
    <row r="49" spans="1:18">
      <c r="D49" t="s">
        <v>73</v>
      </c>
      <c r="F49" s="4"/>
    </row>
    <row r="50" spans="1:18" ht="13.9">
      <c r="F50" s="415">
        <f>SUM(F41:F49)</f>
        <v>6</v>
      </c>
      <c r="G50" t="s">
        <v>74</v>
      </c>
      <c r="M50" s="1" t="s">
        <v>75</v>
      </c>
      <c r="N50" s="1"/>
    </row>
    <row r="51" spans="1:18" ht="13.9">
      <c r="E51" s="1"/>
      <c r="H51" s="728" t="s">
        <v>76</v>
      </c>
      <c r="I51" s="729"/>
      <c r="J51" s="730"/>
      <c r="M51" s="1" t="s">
        <v>77</v>
      </c>
      <c r="N51" s="1" t="s">
        <v>78</v>
      </c>
      <c r="O51" s="1" t="s">
        <v>79</v>
      </c>
      <c r="P51" s="713" t="s">
        <v>76</v>
      </c>
      <c r="Q51" s="714"/>
      <c r="R51" s="715"/>
    </row>
    <row r="52" spans="1:18" ht="13.9">
      <c r="A52" s="1" t="s">
        <v>50</v>
      </c>
      <c r="B52" s="1" t="s">
        <v>30</v>
      </c>
      <c r="C52" s="416" t="s">
        <v>80</v>
      </c>
      <c r="D52" s="1" t="s">
        <v>81</v>
      </c>
      <c r="E52" s="1" t="s">
        <v>82</v>
      </c>
      <c r="F52" s="416" t="s">
        <v>83</v>
      </c>
      <c r="G52" s="1" t="s">
        <v>84</v>
      </c>
      <c r="H52" s="510" t="s">
        <v>85</v>
      </c>
      <c r="I52" s="211" t="s">
        <v>86</v>
      </c>
      <c r="J52" s="509" t="s">
        <v>87</v>
      </c>
      <c r="K52" s="1" t="s">
        <v>88</v>
      </c>
      <c r="L52" s="1"/>
      <c r="M52" s="1" t="s">
        <v>89</v>
      </c>
      <c r="N52" s="1" t="s">
        <v>89</v>
      </c>
      <c r="O52" s="1" t="s">
        <v>90</v>
      </c>
      <c r="P52" s="510" t="s">
        <v>89</v>
      </c>
      <c r="Q52" s="1" t="s">
        <v>91</v>
      </c>
      <c r="R52" s="509" t="s">
        <v>92</v>
      </c>
    </row>
    <row r="53" spans="1:18">
      <c r="A53" s="212" t="s">
        <v>51</v>
      </c>
      <c r="B53" s="439" t="s">
        <v>93</v>
      </c>
      <c r="C53" s="438">
        <v>8</v>
      </c>
      <c r="D53" s="438">
        <v>0</v>
      </c>
      <c r="E53" s="439" t="s">
        <v>94</v>
      </c>
      <c r="F53" s="439">
        <v>215</v>
      </c>
      <c r="G53" s="417">
        <f>IF(E53="Parapet w/o facing", C53+D53+10,IF(E53="Parapet w/ facing", C53+D53+10, IF(E53="Interior Walls", C53+6, IF(E53="Cant",8+6, IF(E53="Divider w/ facing", 2*(C53+D53+10), IF(E53="Choose",0,""))))))</f>
        <v>14</v>
      </c>
      <c r="H53" s="417">
        <f>IF(E53="Parapet w/o facing",D53+14,IF(E53="Parapet w/ facing",D53+C53+14,IF(E53="Interior Walls",6,IF(E53="Divider w/ facing",D53+2*C53+14,IF(E53="Cant",8+4,IF(E53="Choose",0,""))))))</f>
        <v>6</v>
      </c>
      <c r="I53" s="441" t="s">
        <v>95</v>
      </c>
      <c r="J53" s="441" t="s">
        <v>95</v>
      </c>
      <c r="K53" s="417">
        <f>IF(E53="Parapet w/o facing", D53+4,IF(E53="Parapet w/ facing", D53+4,IF(E53="Divider w/ facing", D53+4, IF(E53="Cant", 0,  IF(E53="Interior Walls",0, IF(E53="Choose", 0, ""))))))</f>
        <v>0</v>
      </c>
      <c r="L53" s="62"/>
      <c r="M53" s="512">
        <f>F53*(G53/12)</f>
        <v>250.83333333333334</v>
      </c>
      <c r="N53" s="512">
        <f>F53*((G53-K53)/12)</f>
        <v>250.83333333333334</v>
      </c>
      <c r="O53" s="512">
        <f xml:space="preserve"> IF((G53-6-K53)/12*F53 &lt; 0,0,(G53-6-K53)/12*F53)</f>
        <v>143.33333333333331</v>
      </c>
      <c r="P53" s="512">
        <f>F53*(H53/12)</f>
        <v>107.5</v>
      </c>
      <c r="Q53" s="410">
        <f>ROUNDUP((Takeoff!F53/8/8)+((Takeoff!P53/30)*1.5),0)</f>
        <v>9</v>
      </c>
      <c r="R53" s="513">
        <f>(
(Takeoff!F53/7.5)
/
(
IF(Takeoff!J53="Hard",
Project!R38+(IF(Project!D5&gt;3,T41,0)+
IF(Project!D18=TRUE,Project!T42,0)+
IF(Project!D19=TRUE,Project!T43,0)+
IF(Project!D20=TRUE,Project!T45,0)+
IF(Project!D21=TRUE,Project!T46,0)),
IF(Takeoff!J53="Normal",
Project!R37+(IF(Project!D5&gt;3,T41,0)+
IF(Project!D18=TRUE,Project!T42,0)+
IF(Project!D19=TRUE,Project!T43,0)+
IF(Project!D20=TRUE,Project!T45,0)+
IF(Project!D21=TRUE,Project!T46,0)),
IF(Takeoff!J53="Easy",
Project!R39+(IF(Project!D5&gt;3,T41,0)+
IF(Project!D18=TRUE,Project!T42,0)+
IF(Project!D19=TRUE,Project!T43,0)+
IF(Project!D20=TRUE,Project!T45,0)+
IF(Project!D21=TRUE,Project!T46,0)),0))
)
))</f>
        <v>28.666666666666668</v>
      </c>
    </row>
    <row r="54" spans="1:18">
      <c r="A54" s="212"/>
      <c r="B54" s="439" t="s">
        <v>96</v>
      </c>
      <c r="C54" s="438">
        <v>0</v>
      </c>
      <c r="D54" s="438">
        <v>0</v>
      </c>
      <c r="E54" s="439" t="s">
        <v>97</v>
      </c>
      <c r="F54" s="439">
        <v>0</v>
      </c>
      <c r="G54" s="417">
        <f>IF(E54="Parapet w/o facing", C54+D54+10,IF(E54="Parapet w/ facing", C54+D54+10, IF(E54="Interior Walls", C54+6, IF(E54="Cant",8+6, IF(E54="Divider w/ facing", 2*(C54+D54+10), IF(E54="Choose",0,""))))))</f>
        <v>0</v>
      </c>
      <c r="H54" s="417">
        <f>IF(E54="Parapet w/o facing",D54+14,IF(E54="Parapet w/ facing",D54+C54+14,IF(E54="Interior Walls",6,IF(E54="Divider w/ facing",D54+2*C54+14,IF(E54="Cant",8+4,IF(E54="Choose",0,""))))))</f>
        <v>0</v>
      </c>
      <c r="I54" s="441" t="s">
        <v>95</v>
      </c>
      <c r="J54" s="441" t="s">
        <v>95</v>
      </c>
      <c r="K54" s="417">
        <f>IF(E54="Parapet w/o facing", D54+4,IF(E54="Parapet w/ facing", D54+4,IF(E54="Divider w/ facing", D54+4, IF(E54="Cant", 0,  IF(E54="Interior Walls",0, IF(E54="Choose", 0, ""))))))</f>
        <v>0</v>
      </c>
      <c r="L54" s="62"/>
      <c r="M54" s="512">
        <f>F54*(G54/12)</f>
        <v>0</v>
      </c>
      <c r="N54" s="512">
        <f>F54*((G54-K54)/12)</f>
        <v>0</v>
      </c>
      <c r="O54" s="512">
        <f xml:space="preserve"> IF((G54-6-K54)/12*F54 &lt; 0,0,(G54-6-K54)/12*F54)</f>
        <v>0</v>
      </c>
      <c r="P54" s="512">
        <f>F54*(H54/12)</f>
        <v>0</v>
      </c>
      <c r="Q54" s="410">
        <f>ROUNDUP((Takeoff!F54/8/8)+((Takeoff!P54/30)*1.5),0)</f>
        <v>0</v>
      </c>
      <c r="R54" s="513">
        <f>(
(Takeoff!F54/7.5)
/
(
IF(Takeoff!J54="Hard",
Project!R38+(IF(Project!D5&gt;3,T41,0)+
IF(Project!D18=TRUE,Project!T42,0)+
IF(Project!D19=TRUE,Project!T43,0)+
IF(Project!D20=TRUE,Project!T45,0)+
IF(Project!D21=TRUE,Project!T46,0)),
IF(Takeoff!J54="Normal",
Project!R37+(IF(Project!D5&gt;3,T41,0)+
IF(Project!D18=TRUE,Project!T42,0)+
IF(Project!D19=TRUE,Project!T43,0)+
IF(Project!D20=TRUE,Project!T45,0)+
IF(Project!D21=TRUE,Project!T46,0)),
IF(Takeoff!J54="Easy",
Project!R39+(IF(Project!D5&gt;3,T41,0)+
IF(Project!D18=TRUE,Project!T42,0)+
IF(Project!D19=TRUE,Project!T43,0)+
IF(Project!D20=TRUE,Project!T45,0)+
IF(Project!D21=TRUE,Project!T46,0)),0))
)
))</f>
        <v>0</v>
      </c>
    </row>
    <row r="55" spans="1:18">
      <c r="A55" s="212"/>
      <c r="B55" s="439" t="s">
        <v>98</v>
      </c>
      <c r="C55" s="439">
        <v>0</v>
      </c>
      <c r="D55" s="439">
        <v>0</v>
      </c>
      <c r="E55" s="439" t="s">
        <v>97</v>
      </c>
      <c r="F55" s="439">
        <v>0</v>
      </c>
      <c r="G55" s="417">
        <f>IF(E55="Parapet w/o facing", C55+D55+10,IF(E55="Parapet w/ facing", C55+D55+10, IF(E55="Interior Walls", C55+6, IF(E55="Cant",8+6, IF(E55="Divider w/ facing", 2*(C55+D55+10), IF(E55="Choose",0,""))))))</f>
        <v>0</v>
      </c>
      <c r="H55" s="417">
        <f>IF(E55="Parapet w/o facing",D55+14,IF(E55="Parapet w/ facing",D55+C55+14,IF(E55="Interior Walls",6,IF(E55="Divider w/ facing",D55+2*C55+14,IF(E55="Cant",8+4,IF(E55="Choose",0,""))))))</f>
        <v>0</v>
      </c>
      <c r="I55" s="441" t="s">
        <v>95</v>
      </c>
      <c r="J55" s="441" t="s">
        <v>95</v>
      </c>
      <c r="K55" s="417">
        <f>IF(E55="Parapet w/o facing", D55+4,IF(E55="Parapet w/ facing", D55+4,IF(E55="Divider w/ facing", D55+4, IF(E55="Cant", 0,  IF(E55="Interior Walls",0, IF(E55="Choose", 0, ""))))))</f>
        <v>0</v>
      </c>
      <c r="L55" s="62"/>
      <c r="M55" s="512">
        <f>F55*(G55/12)</f>
        <v>0</v>
      </c>
      <c r="N55" s="512">
        <f>F55*((G55-K55)/12)</f>
        <v>0</v>
      </c>
      <c r="O55" s="512">
        <f xml:space="preserve"> IF((G55-6-K55)/12*F55 &lt; 0,0,(G55-6-K55)/12*F55)</f>
        <v>0</v>
      </c>
      <c r="P55" s="512">
        <f>F55*(H55/12)</f>
        <v>0</v>
      </c>
      <c r="Q55" s="410">
        <f>ROUNDUP((Takeoff!F55/8/8)+((Takeoff!P55/30)*1.5),0)</f>
        <v>0</v>
      </c>
      <c r="R55" s="513">
        <f>(
(Takeoff!F55/7.5)
/
(
IF(Takeoff!J55="Hard",
Project!R38+(IF(Project!D5&gt;3,T41,0)+
IF(Project!D18=TRUE,Project!T42,0)+
IF(Project!D19=TRUE,Project!T43,0)+
IF(Project!D20=TRUE,Project!T45,0)+
IF(Project!D21=TRUE,Project!T46,0)),
IF(Takeoff!J55="Normal",
Project!R37+(IF(Project!D5&gt;3,T41,0)+
IF(Project!D18=TRUE,Project!T42,0)+
IF(Project!D19=TRUE,Project!T43,0)+
IF(Project!D20=TRUE,Project!T45,0)+
IF(Project!D21=TRUE,Project!T46,0)),
IF(Takeoff!J55="Easy",
Project!R39+(IF(Project!D5&gt;3,T41,0)+
IF(Project!D18=TRUE,Project!T42,0)+
IF(Project!D19=TRUE,Project!T43,0)+
IF(Project!D20=TRUE,Project!T45,0)+
IF(Project!D21=TRUE,Project!T46,0)),0))
)
))</f>
        <v>0</v>
      </c>
    </row>
    <row r="56" spans="1:18">
      <c r="A56" s="212"/>
      <c r="B56" s="439" t="s">
        <v>99</v>
      </c>
      <c r="C56" s="439">
        <v>0</v>
      </c>
      <c r="D56" s="439">
        <v>0</v>
      </c>
      <c r="E56" s="439" t="s">
        <v>97</v>
      </c>
      <c r="F56" s="439">
        <v>0</v>
      </c>
      <c r="G56" s="417">
        <f>IF(E56="Parapet w/o facing", C56+D56+10,IF(E56="Parapet w/ facing", C56+D56+10, IF(E56="Interior Walls", C56+6, IF(E56="Cant",8+6, IF(E56="Divider w/ facing", 2*(C56+D56+10), IF(E56="Choose",0,""))))))</f>
        <v>0</v>
      </c>
      <c r="H56" s="417">
        <f>IF(E56="Parapet w/o facing",D56+14,IF(E56="Parapet w/ facing",D56+C56+14,IF(E56="Interior Walls",6,IF(E56="Divider w/ facing",D56+2*C56+14,IF(E56="Cant",8+4,IF(E56="Choose",0,""))))))</f>
        <v>0</v>
      </c>
      <c r="I56" s="441" t="s">
        <v>95</v>
      </c>
      <c r="J56" s="441" t="s">
        <v>95</v>
      </c>
      <c r="K56" s="417">
        <f>IF(E56="Parapet w/o facing", D56+4,IF(E56="Parapet w/ facing", D56+4,IF(E56="Divider w/ facing", D56+4, IF(E56="Cant", 0,  IF(E56="Interior Walls",0, IF(E56="Choose", 0, ""))))))</f>
        <v>0</v>
      </c>
      <c r="L56" s="62"/>
      <c r="M56" s="512">
        <f>F56*(G56/12)</f>
        <v>0</v>
      </c>
      <c r="N56" s="512">
        <f>F56*((G56-K56)/12)</f>
        <v>0</v>
      </c>
      <c r="O56" s="512">
        <f xml:space="preserve"> IF((G56-6-K56)/12*F56 &lt; 0,0,(G56-6-K56)/12*F56)</f>
        <v>0</v>
      </c>
      <c r="P56" s="512">
        <f>F56*(H56/12)</f>
        <v>0</v>
      </c>
      <c r="Q56" s="410">
        <f>ROUNDUP((Takeoff!F56/8/8)+((Takeoff!P56/30)*1.5),0)</f>
        <v>0</v>
      </c>
      <c r="R56" s="513">
        <f>(
(Takeoff!F56/7.5)
/
(
IF(Takeoff!J56="Hard",
Project!R38+(IF(Project!D5&gt;3,T41,0)+
IF(Project!D18=TRUE,Project!T42,0)+
IF(Project!D19=TRUE,Project!T43,0)+
IF(Project!D20=TRUE,Project!T45,0)+
IF(Project!D21=TRUE,Project!T46,0)),
IF(Takeoff!J56="Normal",
Project!R37+(IF(Project!D5&gt;3,T41,0)+
IF(Project!D18=TRUE,Project!T42,0)+
IF(Project!D19=TRUE,Project!T43,0)+
IF(Project!D20=TRUE,Project!T45,0)+
IF(Project!D21=TRUE,Project!T46,0)),
IF(Takeoff!J56="Easy",
Project!R39+(IF(Project!D5&gt;3,T41,0)+
IF(Project!D18=TRUE,Project!T42,0)+
IF(Project!D19=TRUE,Project!T43,0)+
IF(Project!D20=TRUE,Project!T45,0)+
IF(Project!D21=TRUE,Project!T46,0)),0))
)
))</f>
        <v>0</v>
      </c>
    </row>
    <row r="57" spans="1:18">
      <c r="A57" s="212"/>
      <c r="B57" s="439" t="s">
        <v>100</v>
      </c>
      <c r="C57" s="439">
        <v>0</v>
      </c>
      <c r="D57" s="439">
        <v>0</v>
      </c>
      <c r="E57" s="439" t="s">
        <v>97</v>
      </c>
      <c r="F57" s="439">
        <v>0</v>
      </c>
      <c r="G57" s="417">
        <f>IF(E57="Parapet w/o facing", C57+D57+10,IF(E57="Parapet w/ facing", C57+D57+10, IF(E57="Interior Walls", C57+6, IF(E57="Cant",8+6, IF(E57="Divider w/ facing", 2*(C57+D57+10), IF(E57="Choose",0,""))))))</f>
        <v>0</v>
      </c>
      <c r="H57" s="417">
        <f>IF(E57="Parapet w/o facing",D57+14,IF(E57="Parapet w/ facing",D57+C57+14,IF(E57="Interior Walls",6,IF(E57="Divider w/ facing",D57+2*C57+14,IF(E57="Cant",8+4,IF(E57="Choose",0,""))))))</f>
        <v>0</v>
      </c>
      <c r="I57" s="441" t="s">
        <v>95</v>
      </c>
      <c r="J57" s="441" t="s">
        <v>95</v>
      </c>
      <c r="K57" s="417">
        <f>IF(E57="Parapet w/o facing", D57+4,IF(E57="Parapet w/ facing", D57+4,IF(E57="Divider w/ facing", D57+4, IF(E57="Cant", 0,  IF(E57="Interior Walls",0, IF(E57="Choose", 0, ""))))))</f>
        <v>0</v>
      </c>
      <c r="L57" s="62"/>
      <c r="M57" s="512">
        <f>F57*(G57/12)</f>
        <v>0</v>
      </c>
      <c r="N57" s="512">
        <f>F57*((G57-K57)/12)</f>
        <v>0</v>
      </c>
      <c r="O57" s="512">
        <f xml:space="preserve"> IF((G57-6-K57)/12*F57 &lt; 0,0,(G57-6-K57)/12*F57)</f>
        <v>0</v>
      </c>
      <c r="P57" s="512">
        <f>F57*(H57/12)</f>
        <v>0</v>
      </c>
      <c r="Q57" s="410">
        <f>ROUNDUP((Takeoff!F57/8/8)+((Takeoff!P57/30)*1.5),0)</f>
        <v>0</v>
      </c>
      <c r="R57" s="513">
        <f>(
(Takeoff!F57/7.5)
/
(
IF(Takeoff!J57="Hard",
Project!R38+(IF(Project!D5&gt;3,T41,0)+
IF(Project!D18=TRUE,Project!T42,0)+
IF(Project!D19=TRUE,Project!T43,0)+
IF(Project!D20=TRUE,Project!T45,0)+
IF(Project!D21=TRUE,Project!T46,0)),
IF(Takeoff!J57="Normal",
Project!R37+(IF(Project!D5&gt;3,T41,0)+
IF(Project!D18=TRUE,Project!T42,0)+
IF(Project!D19=TRUE,Project!T43,0)+
IF(Project!D20=TRUE,Project!T45,0)+
IF(Project!D21=TRUE,Project!T46,0)),
IF(Takeoff!J57="Easy",
Project!R39+(IF(Project!D5&gt;3,T41,0)+
IF(Project!D18=TRUE,Project!T42,0)+
IF(Project!D19=TRUE,Project!T43,0)+
IF(Project!D20=TRUE,Project!T45,0)+
IF(Project!D21=TRUE,Project!T46,0)),0))
)
))</f>
        <v>0</v>
      </c>
    </row>
    <row r="58" spans="1:18">
      <c r="A58" s="212"/>
      <c r="B58" s="62"/>
      <c r="F58" s="413">
        <f>SUM(F53:F57)</f>
        <v>215</v>
      </c>
      <c r="G58" t="s">
        <v>101</v>
      </c>
      <c r="L58" t="s">
        <v>34</v>
      </c>
      <c r="M58" s="512">
        <f>SUM(M53:M57)</f>
        <v>250.83333333333334</v>
      </c>
      <c r="N58" s="512">
        <f>SUM(N53:N57)</f>
        <v>250.83333333333334</v>
      </c>
      <c r="O58" s="512">
        <f>SUM(O53:O57)</f>
        <v>143.33333333333331</v>
      </c>
      <c r="P58" s="512">
        <f>SUM(P53:P57)</f>
        <v>107.5</v>
      </c>
      <c r="Q58" s="2" t="s">
        <v>102</v>
      </c>
    </row>
    <row r="60" spans="1:18" ht="13.9">
      <c r="A60" s="10" t="s">
        <v>103</v>
      </c>
      <c r="B60" s="211" t="s">
        <v>30</v>
      </c>
      <c r="C60" s="211" t="s">
        <v>104</v>
      </c>
      <c r="D60" s="211" t="s">
        <v>105</v>
      </c>
      <c r="E60" s="516" t="s">
        <v>106</v>
      </c>
      <c r="F60" s="211" t="s">
        <v>107</v>
      </c>
      <c r="G60" s="211" t="s">
        <v>108</v>
      </c>
      <c r="I60" s="507" t="s">
        <v>109</v>
      </c>
      <c r="J60" s="1" t="s">
        <v>108</v>
      </c>
      <c r="K60" s="211" t="s">
        <v>110</v>
      </c>
      <c r="M60" s="211" t="s">
        <v>111</v>
      </c>
      <c r="N60" s="211" t="s">
        <v>112</v>
      </c>
      <c r="O60" s="211" t="s">
        <v>92</v>
      </c>
      <c r="P60" s="211" t="s">
        <v>113</v>
      </c>
    </row>
    <row r="61" spans="1:18">
      <c r="A61" s="212"/>
      <c r="B61" s="441" t="s">
        <v>93</v>
      </c>
      <c r="C61" s="441">
        <v>0</v>
      </c>
      <c r="D61" s="441">
        <v>0</v>
      </c>
      <c r="E61" s="441" t="s">
        <v>114</v>
      </c>
      <c r="F61" s="720" t="b">
        <v>0</v>
      </c>
      <c r="G61" s="409">
        <f>C61*D61</f>
        <v>0</v>
      </c>
      <c r="I61" s="441" t="s">
        <v>93</v>
      </c>
      <c r="J61" s="441">
        <v>0</v>
      </c>
      <c r="K61" s="441" t="s">
        <v>97</v>
      </c>
      <c r="M61" s="409">
        <f>SUM(G61-J61)</f>
        <v>0</v>
      </c>
      <c r="N61" s="513">
        <f>(D61/3)*1.1</f>
        <v>0</v>
      </c>
      <c r="O61" s="513" t="b">
        <f>IF(AND(C61&gt;0,C61&lt;=4),
   N61/MAX(Project!U54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IF(AND(C61&gt;4, C61&lt;=8),
   N61/MAX(Project!U55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IF(AND(C61&gt;8, C61&lt;=11),
   N61/MAX(Project!U56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IF(C61&gt;11,
   N61/MAX(Project!U57 +
           IF(E61="Mechanical", Project!U60, 0) +
           IF(E61="Exposed", Project!U61, 0) +
           IF(F61=TRUE, Project!U59, 0) +
           IF(K61="Easy", Project!U62, 0) +
           IF(K61="Normal", Project!U63, 0) +
           IF(K61="Hard", Project!U64, 0), 0.1)))))</f>
        <v>0</v>
      </c>
      <c r="P61" s="409" t="b">
        <f>IF(AND(C61&gt;0,C61&lt;=4),
   MAX(Project!U54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IF(AND(C61&gt;4, C61&lt;=8),
   MAX(Project!U55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IF(AND(C61&gt;8, C61&lt;=11),
   MAX(Project!U56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IF(C61&gt;11,
   MAX(Project!U57 +
           IF(E61="Mechanical", Project!U60, 0) +
           IF(E61="Exposed", Project!U61, 0) +
           IF(F61=TRUE, Project!U59, 0) +
           IF(K61="Easy", Project!U62, 0) +
           IF(K61="Normal", Project!U63, 0) +
           IF(K61="Hard", Project!U64, 0), 0.1)))))</f>
        <v>0</v>
      </c>
    </row>
    <row r="62" spans="1:18">
      <c r="A62" s="418"/>
      <c r="B62" s="441" t="s">
        <v>96</v>
      </c>
      <c r="C62" s="441">
        <v>0</v>
      </c>
      <c r="D62" s="441">
        <v>0</v>
      </c>
      <c r="E62" s="441" t="s">
        <v>114</v>
      </c>
      <c r="F62" s="721"/>
      <c r="G62" s="409">
        <f>C62*D62</f>
        <v>0</v>
      </c>
      <c r="I62" s="441" t="s">
        <v>96</v>
      </c>
      <c r="J62" s="441">
        <v>0</v>
      </c>
      <c r="K62" s="441" t="s">
        <v>97</v>
      </c>
      <c r="M62" s="409">
        <f>SUM(G62-J62)</f>
        <v>0</v>
      </c>
      <c r="N62" s="513">
        <f t="shared" ref="N62:N64" si="5">(D62/3)*1.1</f>
        <v>0</v>
      </c>
      <c r="O62" s="513" t="b">
        <f>IF(AND(C62&gt;0,C62&lt;=4),
   N62/MAX(Project!U54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IF(AND(C62&gt;4, C62&lt;=8),
   N62/MAX(Project!U55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IF(AND(C62&gt;8, C62&lt;=11),
   N62/MAX(Project!U56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IF(C62&gt;11,
   N62/MAX(Project!U57 +
           IF(E62="Mechanical", Project!U60, 0) +
           IF(E62="Exposed", Project!U61, 0) +
           IF(F61=TRUE, Project!U59, 0) +
           IF(K62="Easy", Project!U62, 0) +
           IF(K62="Normal", Project!U63, 0) +
           IF(K62="Hard", Project!U64, 0), 0.1)))))</f>
        <v>0</v>
      </c>
      <c r="P62" s="409" t="b">
        <f>IF(AND(C62&gt;0,C62&lt;=4),
   MAX(Project!U54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IF(AND(C62&gt;4, C62&lt;=8),
   MAX(Project!U55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IF(AND(C62&gt;8, C62&lt;=11),
   MAX(Project!U56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IF(C62&gt;11,
   MAX(Project!U57 +
           IF(E62="Mechanical", Project!U60, 0) +
           IF(E62="Exposed", Project!U61, 0) +
           IF(F61=TRUE, Project!U59, 0) +
           IF(K62="Easy", Project!U62, 0) +
           IF(K62="Normal", Project!U63, 0) +
           IF(K62="Hard", Project!U64, 0), 0.1)))))</f>
        <v>0</v>
      </c>
    </row>
    <row r="63" spans="1:18">
      <c r="A63" s="418"/>
      <c r="B63" s="441" t="s">
        <v>98</v>
      </c>
      <c r="C63" s="441">
        <v>0</v>
      </c>
      <c r="D63" s="441">
        <v>0</v>
      </c>
      <c r="E63" s="441" t="s">
        <v>114</v>
      </c>
      <c r="F63" s="721"/>
      <c r="G63" s="409">
        <f>C63*D63</f>
        <v>0</v>
      </c>
      <c r="I63" s="441" t="s">
        <v>98</v>
      </c>
      <c r="J63" s="441">
        <v>0</v>
      </c>
      <c r="K63" s="441" t="s">
        <v>97</v>
      </c>
      <c r="M63" s="409">
        <f>SUM(G63-J63)</f>
        <v>0</v>
      </c>
      <c r="N63" s="513">
        <f t="shared" si="5"/>
        <v>0</v>
      </c>
      <c r="O63" s="513" t="b">
        <f>IF(AND(C63&gt;0,C63&lt;=4),
   N63/MAX(Project!U54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IF(AND(C63&gt;4, C63&lt;=8),
   N63/MAX(Project!U55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IF(AND(C63&gt;8, C63&lt;=11),
   N63/MAX(Project!U56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IF(C63&gt;11,
   N63/MAX(Project!U57 +
           IF(E63="Mechanical", Project!U60, 0) +
           IF(E63="Exposed", Project!U61, 0) +
           IF(F61=TRUE, Project!U59, 0) +
           IF(K63="Easy", Project!U62, 0) +
           IF(K63="Normal", Project!U63, 0) +
           IF(K63="Hard", Project!U64, 0), 0.1)))))</f>
        <v>0</v>
      </c>
      <c r="P63" s="409" t="b">
        <f>IF(AND(C63&gt;0,C63&lt;=4),
   MAX(Project!U54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IF(AND(C63&gt;4, C63&lt;=8),
   MAX(Project!U55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IF(AND(C63&gt;8, C63&lt;=11),
   MAX(Project!U56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IF(C63&gt;11,
   MAX(Project!U57 +
           IF(E63="Mechanical", Project!U60, 0) +
           IF(E63="Exposed", Project!U61, 0) +
           IF(F61=TRUE, Project!U59, 0) +
           IF(K63="Easy", Project!U62, 0) +
           IF(K63="Normal", Project!U63, 0) +
           IF(K63="Hard", Project!U64, 0), 0.1)))))</f>
        <v>0</v>
      </c>
    </row>
    <row r="64" spans="1:18">
      <c r="A64" s="418"/>
      <c r="B64" s="441" t="s">
        <v>99</v>
      </c>
      <c r="C64" s="441">
        <v>0</v>
      </c>
      <c r="D64" s="441">
        <v>0</v>
      </c>
      <c r="E64" s="441" t="s">
        <v>114</v>
      </c>
      <c r="F64" s="722"/>
      <c r="G64" s="409">
        <f>C64*D64</f>
        <v>0</v>
      </c>
      <c r="I64" s="441" t="s">
        <v>99</v>
      </c>
      <c r="J64" s="441">
        <v>0</v>
      </c>
      <c r="K64" s="441" t="s">
        <v>97</v>
      </c>
      <c r="M64" s="409">
        <f>SUM(G64-J64)</f>
        <v>0</v>
      </c>
      <c r="N64" s="513">
        <f t="shared" si="5"/>
        <v>0</v>
      </c>
      <c r="O64" s="513" t="b">
        <f>IF(AND(C64&gt;0,C64&lt;=4),
   N64/MAX(Project!U54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IF(AND(C64&gt;4, C64&lt;=8),
   N64/MAX(Project!U55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IF(AND(C64&gt;8, C64&lt;=11),
   N64/MAX(Project!U56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IF(C64&gt;11,
   N64/MAX(Project!U57 +
           IF(E64="Mechanical", Project!U60, 0) +
           IF(E64="Exposed", Project!U61, 0) +
           IF(F61=TRUE, Project!U59, 0) +
           IF(K64="Easy", Project!U62, 0) +
           IF(K64="Normal", Project!U63, 0) +
           IF(K64="Hard", Project!U64, 0), 0.1)))))</f>
        <v>0</v>
      </c>
      <c r="P64" s="409" t="b">
        <f>IF(AND(C64&gt;0,C64&lt;=4),
   MAX(Project!U54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IF(AND(C64&gt;4, C64&lt;=8),
   MAX(Project!U55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IF(AND(C64&gt;8, C64&lt;=11),
   MAX(Project!U56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IF(C64&gt;11,
   MAX(Project!U57 +
           IF(E64="Mechanical", Project!U60, 0) +
           IF(E64="Exposed", Project!U61, 0) +
           IF(F61=TRUE, Project!U59, 0) +
           IF(K64="Easy", Project!U62, 0) +
           IF(K64="Normal", Project!U63, 0) +
           IF(K64="Hard", Project!U64, 0), 0.1)))))</f>
        <v>0</v>
      </c>
    </row>
    <row r="65" spans="1:15">
      <c r="J65" s="716"/>
      <c r="K65" s="716"/>
      <c r="L65" t="s">
        <v>34</v>
      </c>
      <c r="M65" s="409">
        <f>SUM(M61:M64)</f>
        <v>0</v>
      </c>
      <c r="N65" s="410">
        <f>ROUNDUP(SUM(N61:N64),0)</f>
        <v>0</v>
      </c>
      <c r="O65" s="513">
        <f>SUM(O61:O64)</f>
        <v>0</v>
      </c>
    </row>
    <row r="66" spans="1:15" ht="13.9">
      <c r="A66" s="10" t="s">
        <v>115</v>
      </c>
    </row>
    <row r="67" spans="1:15" ht="13.9">
      <c r="A67" s="212"/>
      <c r="B67" s="1" t="s">
        <v>30</v>
      </c>
      <c r="C67" s="1" t="s">
        <v>80</v>
      </c>
      <c r="D67" s="416" t="s">
        <v>116</v>
      </c>
      <c r="E67" s="1" t="s">
        <v>82</v>
      </c>
      <c r="F67" s="1" t="s">
        <v>83</v>
      </c>
      <c r="G67" s="416" t="s">
        <v>17</v>
      </c>
      <c r="H67" s="1" t="s">
        <v>117</v>
      </c>
      <c r="I67" s="723" t="s">
        <v>118</v>
      </c>
      <c r="J67" s="723"/>
      <c r="K67" s="723"/>
      <c r="L67" s="723"/>
    </row>
    <row r="68" spans="1:15">
      <c r="A68" s="418"/>
      <c r="B68" s="441" t="s">
        <v>119</v>
      </c>
      <c r="C68" s="439">
        <v>0</v>
      </c>
      <c r="D68" s="439">
        <v>0</v>
      </c>
      <c r="E68" s="439" t="s">
        <v>97</v>
      </c>
      <c r="F68" s="439">
        <v>0</v>
      </c>
      <c r="G68" s="439">
        <v>0</v>
      </c>
      <c r="H68" s="417">
        <f t="shared" ref="H68:H76" si="6">IF(E68="Choose",0,
IF(E68="Vertical",ROUNDUP((((G68*F68/(D68/12))+1)/(ROUNDDOWN(10*12/C68,0))*1.1),0),
IF(E68="Horizontal",ROUNDUP((F68/10*G68)*1.1,0),
IF(E68="Plywood",ROUNDUP((F68/(ROUNDDOWN(48/C68,0))/8)*1.1,0),""))))</f>
        <v>0</v>
      </c>
      <c r="I68" s="717"/>
      <c r="J68" s="718"/>
      <c r="K68" s="718"/>
      <c r="L68" s="719"/>
    </row>
    <row r="69" spans="1:15">
      <c r="A69" s="418"/>
      <c r="B69" s="441" t="s">
        <v>120</v>
      </c>
      <c r="C69" s="439">
        <v>0</v>
      </c>
      <c r="D69" s="439">
        <v>0</v>
      </c>
      <c r="E69" s="439" t="s">
        <v>97</v>
      </c>
      <c r="F69" s="439">
        <v>0</v>
      </c>
      <c r="G69" s="439">
        <v>0</v>
      </c>
      <c r="H69" s="417">
        <f t="shared" si="6"/>
        <v>0</v>
      </c>
      <c r="I69" s="717"/>
      <c r="J69" s="718"/>
      <c r="K69" s="718"/>
      <c r="L69" s="719"/>
    </row>
    <row r="70" spans="1:15">
      <c r="A70" s="418"/>
      <c r="B70" s="441" t="s">
        <v>121</v>
      </c>
      <c r="C70" s="439">
        <v>0</v>
      </c>
      <c r="D70" s="439">
        <v>0</v>
      </c>
      <c r="E70" s="439" t="s">
        <v>97</v>
      </c>
      <c r="F70" s="439">
        <v>0</v>
      </c>
      <c r="G70" s="439">
        <v>0</v>
      </c>
      <c r="H70" s="417">
        <f t="shared" si="6"/>
        <v>0</v>
      </c>
      <c r="I70" s="717"/>
      <c r="J70" s="718"/>
      <c r="K70" s="718"/>
      <c r="L70" s="719"/>
    </row>
    <row r="71" spans="1:15">
      <c r="A71" s="418"/>
      <c r="B71" s="441" t="s">
        <v>122</v>
      </c>
      <c r="C71" s="439">
        <v>0</v>
      </c>
      <c r="D71" s="439">
        <v>0</v>
      </c>
      <c r="E71" s="439" t="s">
        <v>97</v>
      </c>
      <c r="F71" s="439">
        <v>0</v>
      </c>
      <c r="G71" s="439">
        <v>0</v>
      </c>
      <c r="H71" s="417">
        <f t="shared" si="6"/>
        <v>0</v>
      </c>
      <c r="I71" s="717"/>
      <c r="J71" s="718"/>
      <c r="K71" s="718"/>
      <c r="L71" s="719"/>
    </row>
    <row r="72" spans="1:15">
      <c r="A72" s="418"/>
      <c r="B72" s="441" t="s">
        <v>123</v>
      </c>
      <c r="C72" s="439">
        <v>0</v>
      </c>
      <c r="D72" s="439">
        <v>0</v>
      </c>
      <c r="E72" s="439" t="s">
        <v>97</v>
      </c>
      <c r="F72" s="439">
        <v>0</v>
      </c>
      <c r="G72" s="439">
        <v>0</v>
      </c>
      <c r="H72" s="417">
        <f t="shared" si="6"/>
        <v>0</v>
      </c>
      <c r="I72" s="717"/>
      <c r="J72" s="718"/>
      <c r="K72" s="718"/>
      <c r="L72" s="719"/>
    </row>
    <row r="73" spans="1:15">
      <c r="A73" s="418"/>
      <c r="B73" s="441" t="s">
        <v>124</v>
      </c>
      <c r="C73" s="439">
        <v>0</v>
      </c>
      <c r="D73" s="439">
        <v>0</v>
      </c>
      <c r="E73" s="439" t="s">
        <v>97</v>
      </c>
      <c r="F73" s="439">
        <v>0</v>
      </c>
      <c r="G73" s="439">
        <v>0</v>
      </c>
      <c r="H73" s="417">
        <f t="shared" si="6"/>
        <v>0</v>
      </c>
      <c r="I73" s="717"/>
      <c r="J73" s="718"/>
      <c r="K73" s="718"/>
      <c r="L73" s="719"/>
    </row>
    <row r="74" spans="1:15">
      <c r="A74" s="418"/>
      <c r="B74" s="441" t="s">
        <v>125</v>
      </c>
      <c r="C74" s="439">
        <v>0</v>
      </c>
      <c r="D74" s="439">
        <v>0</v>
      </c>
      <c r="E74" s="439" t="s">
        <v>97</v>
      </c>
      <c r="F74" s="439">
        <v>0</v>
      </c>
      <c r="G74" s="439">
        <v>0</v>
      </c>
      <c r="H74" s="417">
        <f t="shared" si="6"/>
        <v>0</v>
      </c>
      <c r="I74" s="717"/>
      <c r="J74" s="718"/>
      <c r="K74" s="718"/>
      <c r="L74" s="719"/>
    </row>
    <row r="75" spans="1:15">
      <c r="A75" s="418"/>
      <c r="B75" s="441" t="s">
        <v>126</v>
      </c>
      <c r="C75" s="439">
        <v>0</v>
      </c>
      <c r="D75" s="439">
        <v>0</v>
      </c>
      <c r="E75" s="439" t="s">
        <v>97</v>
      </c>
      <c r="F75" s="439">
        <v>0</v>
      </c>
      <c r="G75" s="439">
        <v>0</v>
      </c>
      <c r="H75" s="417">
        <f t="shared" si="6"/>
        <v>0</v>
      </c>
      <c r="I75" s="717"/>
      <c r="J75" s="718"/>
      <c r="K75" s="718"/>
      <c r="L75" s="719"/>
    </row>
    <row r="76" spans="1:15">
      <c r="A76" s="418"/>
      <c r="B76" s="441" t="s">
        <v>127</v>
      </c>
      <c r="C76" s="439">
        <v>0</v>
      </c>
      <c r="D76" s="439">
        <v>0</v>
      </c>
      <c r="E76" s="439" t="s">
        <v>97</v>
      </c>
      <c r="F76" s="439">
        <v>0</v>
      </c>
      <c r="G76" s="439">
        <v>0</v>
      </c>
      <c r="H76" s="417">
        <f t="shared" si="6"/>
        <v>0</v>
      </c>
      <c r="I76" s="717"/>
      <c r="J76" s="718"/>
      <c r="K76" s="718"/>
      <c r="L76" s="719"/>
    </row>
    <row r="77" spans="1:15" ht="13.9">
      <c r="A77" s="10" t="s">
        <v>128</v>
      </c>
    </row>
    <row r="78" spans="1:15" ht="13.9">
      <c r="A78" s="212" t="s">
        <v>129</v>
      </c>
      <c r="B78" s="211" t="s">
        <v>30</v>
      </c>
      <c r="C78" s="211" t="s">
        <v>130</v>
      </c>
      <c r="D78" s="211" t="s">
        <v>82</v>
      </c>
      <c r="E78" s="211" t="s">
        <v>131</v>
      </c>
      <c r="F78" s="211" t="s">
        <v>17</v>
      </c>
      <c r="G78" s="211" t="s">
        <v>117</v>
      </c>
      <c r="H78" s="516" t="s">
        <v>118</v>
      </c>
      <c r="I78" s="516"/>
      <c r="J78" s="516"/>
      <c r="K78" s="516"/>
    </row>
    <row r="79" spans="1:15">
      <c r="A79" s="418"/>
      <c r="B79" s="441" t="s">
        <v>93</v>
      </c>
      <c r="C79" s="441">
        <v>0</v>
      </c>
      <c r="D79" s="441" t="s">
        <v>97</v>
      </c>
      <c r="E79" s="441">
        <v>0</v>
      </c>
      <c r="F79" s="441">
        <v>0</v>
      </c>
      <c r="G79" s="410" t="b">
        <f>IF(D79="2x4",ROUNDUP((C79*E79)/59.4*1.1*F79,0),
IF(D79="2x6",ROUNDUP((C79*E79)/39.8*1.1*F79,0)))</f>
        <v>0</v>
      </c>
      <c r="H79" s="441"/>
      <c r="I79" s="441"/>
      <c r="J79" s="441"/>
      <c r="K79" s="441"/>
    </row>
    <row r="80" spans="1:15">
      <c r="A80" s="418"/>
      <c r="B80" s="441" t="s">
        <v>96</v>
      </c>
      <c r="C80" s="441">
        <v>0</v>
      </c>
      <c r="D80" s="441" t="s">
        <v>97</v>
      </c>
      <c r="E80" s="441">
        <v>0</v>
      </c>
      <c r="F80" s="441">
        <v>0</v>
      </c>
      <c r="G80" s="410" t="b">
        <f>IF(D80="2x4",ROUNDUP((C80*E80)/59.4*1.1*F80,0),
IF(D80="2x6",ROUNDUP((C80*E80)/39.8*1.1*F80,0)))</f>
        <v>0</v>
      </c>
      <c r="H80" s="724"/>
      <c r="I80" s="724"/>
      <c r="J80" s="724"/>
      <c r="K80" s="724"/>
    </row>
    <row r="81" spans="1:11">
      <c r="A81" s="418"/>
      <c r="B81" s="441" t="s">
        <v>98</v>
      </c>
      <c r="C81" s="441">
        <v>0</v>
      </c>
      <c r="D81" s="441" t="s">
        <v>97</v>
      </c>
      <c r="E81" s="441">
        <v>0</v>
      </c>
      <c r="F81" s="441">
        <v>0</v>
      </c>
      <c r="G81" s="410" t="b">
        <f>IF(D81="2x4",ROUNDUP((C81*E81)/59.4*1.1*F81,0),
IF(D81="2x6",ROUNDUP((C81*E81)/39.8*1.1*F81,0)))</f>
        <v>0</v>
      </c>
      <c r="H81" s="724"/>
      <c r="I81" s="724"/>
      <c r="J81" s="724"/>
      <c r="K81" s="724"/>
    </row>
    <row r="82" spans="1:11">
      <c r="A82" s="418"/>
      <c r="B82" s="441" t="s">
        <v>99</v>
      </c>
      <c r="C82" s="441">
        <v>0</v>
      </c>
      <c r="D82" s="441" t="s">
        <v>97</v>
      </c>
      <c r="E82" s="441">
        <v>0</v>
      </c>
      <c r="F82" s="441">
        <v>0</v>
      </c>
      <c r="G82" s="410" t="b">
        <f>IF(D82="2x4",ROUNDUP((C82*E82)/59.4*1.1*F82,0),
IF(D82="2x6",ROUNDUP((C82*E82)/39.8*1.1*F82,0)))</f>
        <v>0</v>
      </c>
      <c r="H82" s="724"/>
      <c r="I82" s="724"/>
      <c r="J82" s="724"/>
      <c r="K82" s="724"/>
    </row>
    <row r="83" spans="1:11">
      <c r="A83" s="418"/>
      <c r="B83" s="441" t="s">
        <v>100</v>
      </c>
      <c r="C83" s="441">
        <v>0</v>
      </c>
      <c r="D83" s="441" t="s">
        <v>97</v>
      </c>
      <c r="E83" s="441">
        <v>0</v>
      </c>
      <c r="F83" s="441">
        <v>0</v>
      </c>
      <c r="G83" s="410" t="b">
        <f>IF(D83="2x4",ROUNDUP((C83*E83)/59.4*1.1*F83,0),
IF(D83="2x6",ROUNDUP((C83*E83)/39.8*1.1*F83,0)))</f>
        <v>0</v>
      </c>
      <c r="H83" s="724"/>
      <c r="I83" s="724"/>
      <c r="J83" s="724"/>
      <c r="K83" s="724"/>
    </row>
  </sheetData>
  <mergeCells count="28">
    <mergeCell ref="B1:E1"/>
    <mergeCell ref="B2:E2"/>
    <mergeCell ref="D43:E43"/>
    <mergeCell ref="D44:E44"/>
    <mergeCell ref="D46:E46"/>
    <mergeCell ref="B3:E3"/>
    <mergeCell ref="C16:E16"/>
    <mergeCell ref="C37:D37"/>
    <mergeCell ref="H81:K81"/>
    <mergeCell ref="H82:K82"/>
    <mergeCell ref="H83:K83"/>
    <mergeCell ref="D48:E48"/>
    <mergeCell ref="D40:E40"/>
    <mergeCell ref="I73:L73"/>
    <mergeCell ref="I74:L74"/>
    <mergeCell ref="I75:L75"/>
    <mergeCell ref="I76:L76"/>
    <mergeCell ref="H80:K80"/>
    <mergeCell ref="H51:J51"/>
    <mergeCell ref="P51:R51"/>
    <mergeCell ref="J65:K65"/>
    <mergeCell ref="I71:L71"/>
    <mergeCell ref="I72:L72"/>
    <mergeCell ref="F61:F64"/>
    <mergeCell ref="I68:L68"/>
    <mergeCell ref="I69:L69"/>
    <mergeCell ref="I70:L70"/>
    <mergeCell ref="I67:L67"/>
  </mergeCells>
  <phoneticPr fontId="29" type="noConversion"/>
  <conditionalFormatting sqref="A19:F28">
    <cfRule type="expression" dxfId="19" priority="1">
      <formula>$A$18=FALSE</formula>
    </cfRule>
  </conditionalFormatting>
  <dataValidations count="9">
    <dataValidation type="list" allowBlank="1" showInputMessage="1" showErrorMessage="1" sqref="D43" xr:uid="{0D26254B-08AB-43B3-8C6A-CB1E8C8DF99C}">
      <formula1>"Normal or Hard, Normal, Hard"</formula1>
    </dataValidation>
    <dataValidation type="list" allowBlank="1" showInputMessage="1" showErrorMessage="1" sqref="D44" xr:uid="{71C0B1B9-A21E-4405-818C-A977FB8F08BE}">
      <formula1>"Thaler SJ-26 or SBS/Alsans, Thaler SJ-26, SBS/Alsans"</formula1>
    </dataValidation>
    <dataValidation type="list" allowBlank="1" showInputMessage="1" showErrorMessage="1" sqref="D46" xr:uid="{BB36FE3D-A281-4A71-944D-8B320EF40247}">
      <formula1>"Easy or Hard, Easy, Hard"</formula1>
    </dataValidation>
    <dataValidation type="list" allowBlank="1" showInputMessage="1" showErrorMessage="1" sqref="D48" xr:uid="{AA447D99-F233-48BC-91B2-7B80597ED7D9}">
      <formula1>"Drop Drain or Mech Attachment, Drop Drain, Mechanical Attachment"</formula1>
    </dataValidation>
    <dataValidation type="list" allowBlank="1" showInputMessage="1" showErrorMessage="1" sqref="E68:E76" xr:uid="{67833AAD-70EC-496F-BC47-76EF55D0D0AF}">
      <formula1>"Choose, Horizontal, Vertical, Plywood"</formula1>
    </dataValidation>
    <dataValidation type="list" allowBlank="1" showInputMessage="1" showErrorMessage="1" sqref="E53:E57" xr:uid="{29C7021E-5A4B-470B-886C-B1FF3ABC4797}">
      <formula1>"Choose, Parapet w/o facing, Parapet w/ facing, Cant, Divider w/ facing, Interior Walls"</formula1>
    </dataValidation>
    <dataValidation type="list" allowBlank="1" showInputMessage="1" showErrorMessage="1" sqref="K61:K64 I53:J57" xr:uid="{D3D291F9-8DF8-42DB-A654-4840999EA0F7}">
      <formula1>"Choose, Easy, Normal, Hard"</formula1>
    </dataValidation>
    <dataValidation type="list" allowBlank="1" showInputMessage="1" showErrorMessage="1" sqref="D79:D83" xr:uid="{31374541-A752-4A01-AABA-CCFB31939218}">
      <formula1>"Choose, 2x4, 2x6"</formula1>
    </dataValidation>
    <dataValidation type="list" allowBlank="1" showInputMessage="1" showErrorMessage="1" sqref="E61:E64" xr:uid="{791002BF-7DBE-4D4E-BD05-0A65ACEE0DC1}">
      <formula1>"Choose, Mechanical, Exposed"</formula1>
    </dataValidation>
  </dataValidations>
  <pageMargins left="0.74803149606299213" right="0.74803149606299213" top="1.2795275590551181" bottom="1.2795275590551181" header="0.98385826771653495" footer="0.98385826771653495"/>
  <pageSetup fitToWidth="0" fitToHeight="0" pageOrder="overThenDown" orientation="portrait" r:id="rId1"/>
  <headerFooter alignWithMargins="0"/>
  <ignoredErrors>
    <ignoredError sqref="N6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49" r:id="rId4" name="Shingles">
              <controlPr defaultSize="0" autoFill="0" autoLine="0" autoPict="0">
                <anchor moveWithCells="1">
                  <from>
                    <xdr:col>0</xdr:col>
                    <xdr:colOff>280988</xdr:colOff>
                    <xdr:row>16</xdr:row>
                    <xdr:rowOff>157163</xdr:rowOff>
                  </from>
                  <to>
                    <xdr:col>0</xdr:col>
                    <xdr:colOff>966788</xdr:colOff>
                    <xdr:row>18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3"/>
  <sheetViews>
    <sheetView topLeftCell="A101" zoomScaleNormal="100" workbookViewId="0">
      <selection activeCell="F120" sqref="F120"/>
    </sheetView>
  </sheetViews>
  <sheetFormatPr defaultColWidth="8.875" defaultRowHeight="13.5"/>
  <cols>
    <col min="1" max="1" width="1.5" style="228" customWidth="1"/>
    <col min="2" max="2" width="22.75" style="228" customWidth="1"/>
    <col min="3" max="3" width="29.875" style="228" bestFit="1" customWidth="1"/>
    <col min="4" max="4" width="17.625" style="228" bestFit="1" customWidth="1"/>
    <col min="5" max="5" width="8.5" style="223" customWidth="1"/>
    <col min="6" max="6" width="15.875" style="227" customWidth="1"/>
    <col min="7" max="7" width="9.375" style="233" bestFit="1" customWidth="1"/>
    <col min="8" max="8" width="23.75" style="228" customWidth="1"/>
    <col min="9" max="9" width="10" style="228" bestFit="1" customWidth="1"/>
    <col min="10" max="10" width="11.125" style="227" bestFit="1" customWidth="1"/>
    <col min="11" max="11" width="10.5" style="227" customWidth="1"/>
    <col min="12" max="12" width="12.125" style="228" customWidth="1"/>
    <col min="13" max="13" width="11.5" style="228" customWidth="1"/>
    <col min="14" max="14" width="17.125" style="228" customWidth="1"/>
    <col min="15" max="15" width="8.25" style="228" bestFit="1" customWidth="1"/>
    <col min="16" max="17" width="8.375" style="228" customWidth="1"/>
    <col min="18" max="18" width="13.875" style="228" customWidth="1"/>
    <col min="19" max="19" width="58.375" style="228" customWidth="1"/>
    <col min="20" max="20" width="8.375" style="228" customWidth="1"/>
    <col min="21" max="21" width="11.25" style="228" customWidth="1"/>
    <col min="22" max="22" width="10.625" style="229" bestFit="1" customWidth="1"/>
    <col min="23" max="23" width="30" style="228" bestFit="1" customWidth="1"/>
    <col min="24" max="24" width="16.875" style="228" bestFit="1" customWidth="1"/>
    <col min="25" max="25" width="8.875" style="230" bestFit="1" customWidth="1"/>
    <col min="26" max="26" width="8.375" style="230" customWidth="1"/>
    <col min="27" max="27" width="5.625" style="228" customWidth="1"/>
    <col min="28" max="28" width="17.25" style="228" customWidth="1"/>
    <col min="29" max="29" width="38.25" style="228" customWidth="1"/>
    <col min="30" max="30" width="20.375" style="228" customWidth="1"/>
    <col min="31" max="258" width="8.375" style="228" customWidth="1"/>
    <col min="259" max="1026" width="10.75" style="228" customWidth="1"/>
    <col min="1027" max="1027" width="9" style="228" customWidth="1"/>
    <col min="1028" max="16384" width="8.875" style="228"/>
  </cols>
  <sheetData>
    <row r="1" spans="1:30" ht="20.65">
      <c r="A1" s="495"/>
      <c r="B1" s="221" t="s">
        <v>22</v>
      </c>
      <c r="C1" s="744">
        <f>Takeoff!B1</f>
        <v>0</v>
      </c>
      <c r="D1" s="744"/>
      <c r="E1" s="222"/>
      <c r="F1" s="491" t="s">
        <v>132</v>
      </c>
      <c r="G1" s="232"/>
      <c r="H1" s="491" t="s">
        <v>133</v>
      </c>
      <c r="I1" s="274"/>
      <c r="J1" s="236"/>
      <c r="K1" s="491" t="s">
        <v>134</v>
      </c>
    </row>
    <row r="2" spans="1:30" ht="20.65">
      <c r="A2" s="495"/>
      <c r="B2" s="231" t="s">
        <v>23</v>
      </c>
      <c r="C2" s="744">
        <f>Takeoff!B2</f>
        <v>0</v>
      </c>
      <c r="D2" s="744"/>
      <c r="E2" s="228"/>
      <c r="F2" s="223"/>
      <c r="G2" s="227"/>
      <c r="H2" s="233"/>
      <c r="I2" s="226"/>
      <c r="J2" s="226"/>
      <c r="K2" s="228"/>
      <c r="L2" s="227"/>
    </row>
    <row r="3" spans="1:30" ht="20.65">
      <c r="A3" s="495"/>
      <c r="B3" s="234"/>
      <c r="C3" s="235"/>
      <c r="D3" s="226"/>
      <c r="E3" s="228"/>
      <c r="F3" s="223"/>
      <c r="G3" s="224"/>
      <c r="H3" s="225"/>
      <c r="I3" s="237"/>
      <c r="J3" s="237"/>
      <c r="L3" s="227"/>
      <c r="R3" s="275" t="s">
        <v>135</v>
      </c>
    </row>
    <row r="4" spans="1:30" ht="17.649999999999999">
      <c r="A4" s="495"/>
      <c r="B4" s="492" t="s">
        <v>136</v>
      </c>
      <c r="C4" s="275" t="s">
        <v>137</v>
      </c>
      <c r="D4" s="275"/>
      <c r="E4" s="745" t="s">
        <v>138</v>
      </c>
      <c r="F4" s="745"/>
      <c r="G4" s="240" t="s">
        <v>17</v>
      </c>
      <c r="H4" s="240" t="s">
        <v>139</v>
      </c>
      <c r="J4" s="228"/>
      <c r="K4" s="227" t="s">
        <v>140</v>
      </c>
      <c r="L4" s="227"/>
    </row>
    <row r="5" spans="1:30">
      <c r="A5" s="495"/>
      <c r="C5" s="262"/>
      <c r="E5" s="432" t="str" cm="1">
        <f t="array" ref="E5:E13">IFERROR(INDEX(_xlfn._xlws.FILTER('Flat Roof Summary'!C17:C87, (ISNUMBER('Flat Roof Summary'!I17:I87)) * ('Flat Roof Summary'!I17:I87 &gt; 0), ""), _xlfn.SEQUENCE(9), 1), "")</f>
        <v>Elastophene SP 2.2</v>
      </c>
      <c r="F5" s="557"/>
      <c r="G5" s="250" cm="1">
        <f t="array" ref="G5:G13">IFERROR(INDEX(_xlfn._xlws.FILTER(I17:I87, (ISNUMBER(I17:I87)) * (I17:I87 &gt; 0), ""), _xlfn.SEQUENCE(9), 1), "")</f>
        <v>1</v>
      </c>
      <c r="H5" s="246" t="str" cm="1">
        <f t="array" ref="H5:H13">IFERROR(INDEX(_xlfn._xlws.FILTER(J17:J87, (ISNUMBER(I17:I87)) * (I17:I87 &gt; 0), ""), _xlfn.SEQUENCE(9), 1), "")</f>
        <v>Torched</v>
      </c>
      <c r="J5" s="228"/>
      <c r="K5" s="743"/>
      <c r="L5" s="743"/>
      <c r="M5" s="743"/>
      <c r="N5" s="743"/>
    </row>
    <row r="6" spans="1:30">
      <c r="A6" s="495"/>
      <c r="C6" s="262"/>
      <c r="E6" s="432" t="str">
        <v>2in. ISO Glass</v>
      </c>
      <c r="F6" s="557"/>
      <c r="G6" s="250">
        <v>1</v>
      </c>
      <c r="H6" s="246" t="str">
        <v>Adhesive</v>
      </c>
      <c r="J6" s="228"/>
      <c r="K6" s="743"/>
      <c r="L6" s="743"/>
      <c r="M6" s="743"/>
      <c r="N6" s="743"/>
      <c r="Q6" s="244"/>
      <c r="R6" s="244"/>
      <c r="S6" s="245" t="s">
        <v>141</v>
      </c>
    </row>
    <row r="7" spans="1:30">
      <c r="A7" s="495"/>
      <c r="C7" s="262"/>
      <c r="E7" s="432" t="str">
        <v>Tapered Insulation</v>
      </c>
      <c r="F7" s="557"/>
      <c r="G7" s="250">
        <v>1.5</v>
      </c>
      <c r="H7" s="246" t="str">
        <v>Adhesive</v>
      </c>
      <c r="J7" s="228"/>
      <c r="K7" s="743"/>
      <c r="L7" s="743"/>
      <c r="M7" s="743"/>
      <c r="N7" s="743"/>
    </row>
    <row r="8" spans="1:30" ht="13.9">
      <c r="A8" s="495"/>
      <c r="C8" s="262"/>
      <c r="E8" s="432" t="str">
        <v>Densdeck Primed 1/2in.</v>
      </c>
      <c r="F8" s="557"/>
      <c r="G8" s="250">
        <v>1</v>
      </c>
      <c r="H8" s="246" t="str">
        <v>Adhesive</v>
      </c>
      <c r="J8" s="228"/>
      <c r="K8" s="743"/>
      <c r="L8" s="743"/>
      <c r="M8" s="743"/>
      <c r="N8" s="743"/>
      <c r="R8" s="247" t="s">
        <v>142</v>
      </c>
      <c r="S8" s="247" t="s">
        <v>143</v>
      </c>
      <c r="T8" s="247" t="s">
        <v>144</v>
      </c>
      <c r="U8" s="247" t="s">
        <v>145</v>
      </c>
      <c r="V8" s="248" t="s">
        <v>146</v>
      </c>
      <c r="W8" s="247" t="s">
        <v>147</v>
      </c>
      <c r="X8" s="247" t="s">
        <v>148</v>
      </c>
      <c r="Y8" s="230" t="s">
        <v>149</v>
      </c>
      <c r="Z8" s="230" t="s">
        <v>150</v>
      </c>
      <c r="AA8"/>
      <c r="AB8"/>
      <c r="AC8"/>
      <c r="AD8"/>
    </row>
    <row r="9" spans="1:30" ht="14.65" customHeight="1">
      <c r="A9" s="495"/>
      <c r="C9" s="262"/>
      <c r="E9" s="432" t="str">
        <v>Sopraply Base 520</v>
      </c>
      <c r="F9" s="557"/>
      <c r="G9" s="250">
        <v>1</v>
      </c>
      <c r="H9" s="246" t="str">
        <v>Torched</v>
      </c>
      <c r="J9" s="228"/>
      <c r="K9" s="743"/>
      <c r="L9" s="743"/>
      <c r="M9" s="743"/>
      <c r="N9" s="743"/>
      <c r="R9" s="228" t="str" cm="1">
        <f t="array" ref="R9:X17">IF(S6="","",
   _xlfn.LET(
      _xlpm.filteredData, _xlfn._xlws.FILTER(
         prclst[#Data],
         ISNUMBER(SEARCH(S6, prclst[prtdsc])) + ISNUMBER(SEARCH(S6, prclst[prtnum])),
         "No records found"
      ),
      _xlpm.adjustedDates, IF(INDEX(_xlpm.filteredData,,5)=DATE(1900,1,0),"",INDEX(_xlpm.filteredData,,5)),
      _xlpm.chosenData, CHOOSE({1,2,3,4,5,6,7},
         INDEX(_xlpm.filteredData,,1),
         INDEX(_xlpm.filteredData,,2),
         INDEX(_xlpm.filteredData,,3),
         INDEX(_xlpm.filteredData,,4),
         _xlpm.adjustedDates,
         INDEX(_xlpm.filteredData,,6),
         INDEX(_xlpm.filteredData,,7)
      ),
      _xlfn._xlws.SORT(_xlpm.chosenData, 5, -1)
   )
)</f>
        <v>b300092.0</v>
      </c>
      <c r="S9" s="228" t="str">
        <v>SOP ELASTOPHENE PS 1.5Sq</v>
      </c>
      <c r="T9" s="228" t="str">
        <v>RL</v>
      </c>
      <c r="U9" s="228">
        <v>71.17</v>
      </c>
      <c r="V9" s="229">
        <v>45748</v>
      </c>
      <c r="W9" s="228">
        <v>0</v>
      </c>
      <c r="X9" s="228" t="str">
        <v>Beacon SBS 2025</v>
      </c>
      <c r="Z9" s="230" t="b" cm="1">
        <f t="array" ref="Z9">ISNUMBER(_xlfn.ANCHORARRAY(Y9))</f>
        <v>0</v>
      </c>
      <c r="AA9"/>
      <c r="AB9"/>
    </row>
    <row r="10" spans="1:30" ht="15.75" customHeight="1">
      <c r="A10" s="495"/>
      <c r="C10" s="262"/>
      <c r="E10" s="432" t="str">
        <v xml:space="preserve">Sopraply Traffic Cap </v>
      </c>
      <c r="F10" s="557"/>
      <c r="G10" s="250">
        <v>1</v>
      </c>
      <c r="H10" s="246" t="str">
        <v>Torched</v>
      </c>
      <c r="J10" s="228"/>
      <c r="K10" s="743"/>
      <c r="L10" s="743"/>
      <c r="M10" s="743"/>
      <c r="N10" s="743"/>
      <c r="R10" s="228" t="str">
        <v>b300109.0</v>
      </c>
      <c r="S10" s="228" t="str">
        <v>SOP ELASTOPHENE SANDED 1.5 SQ</v>
      </c>
      <c r="T10" s="228" t="str">
        <v>RL</v>
      </c>
      <c r="U10" s="228">
        <v>67.400000000000006</v>
      </c>
      <c r="V10" s="229">
        <v>45748</v>
      </c>
      <c r="W10" s="228">
        <v>0</v>
      </c>
      <c r="X10" s="228" t="str">
        <v>Beacon SBS 2025</v>
      </c>
      <c r="AA10"/>
      <c r="AB10"/>
    </row>
    <row r="11" spans="1:30" ht="14.25" customHeight="1">
      <c r="A11" s="495"/>
      <c r="C11" s="262"/>
      <c r="E11" s="432" t="str">
        <v xml:space="preserve">Sopraply Stick </v>
      </c>
      <c r="F11" s="557"/>
      <c r="G11" s="250">
        <v>1</v>
      </c>
      <c r="H11" s="246" t="str">
        <v>Torched</v>
      </c>
      <c r="J11" s="228"/>
      <c r="L11" s="227"/>
      <c r="R11" s="228" t="str">
        <v>b300115.0</v>
      </c>
      <c r="S11" s="228" t="str">
        <v>SOP ELASTOPHENE 180 PS 1.5SQ</v>
      </c>
      <c r="T11" s="228" t="str">
        <v>RL</v>
      </c>
      <c r="U11" s="228">
        <v>85.25</v>
      </c>
      <c r="V11" s="229">
        <v>45748</v>
      </c>
      <c r="W11" s="228">
        <v>0</v>
      </c>
      <c r="X11" s="228" t="str">
        <v>Beacon SBS 2025</v>
      </c>
      <c r="AA11"/>
      <c r="AB11"/>
    </row>
    <row r="12" spans="1:30" ht="14.25" customHeight="1">
      <c r="A12" s="495"/>
      <c r="C12" s="262"/>
      <c r="E12" s="432" t="str">
        <v>Duotack</v>
      </c>
      <c r="F12" s="557"/>
      <c r="G12" s="250">
        <v>3.5</v>
      </c>
      <c r="H12" s="246">
        <v>0</v>
      </c>
      <c r="J12" s="228"/>
      <c r="L12" s="227"/>
      <c r="R12" s="228" t="str">
        <v>c510</v>
      </c>
      <c r="S12" s="228" t="str">
        <v>ELASTOPHENE 180 PS 1MX15M</v>
      </c>
      <c r="T12" s="228" t="str">
        <v>ROLL</v>
      </c>
      <c r="U12" s="228">
        <v>90.25</v>
      </c>
      <c r="V12" s="229">
        <v>45748</v>
      </c>
      <c r="W12" s="228">
        <v>0</v>
      </c>
      <c r="X12" s="228" t="str">
        <v>Convoy 2025</v>
      </c>
      <c r="AA12"/>
      <c r="AB12"/>
    </row>
    <row r="13" spans="1:30" ht="14.25" customHeight="1">
      <c r="A13" s="495"/>
      <c r="C13" s="262"/>
      <c r="E13" s="432" t="str">
        <v>Elastocol Stick (19L)</v>
      </c>
      <c r="F13" s="557"/>
      <c r="G13" s="250">
        <v>1</v>
      </c>
      <c r="H13" s="246">
        <v>0</v>
      </c>
      <c r="J13" s="228"/>
      <c r="L13" s="227"/>
      <c r="R13" s="228" t="str">
        <v>c80500</v>
      </c>
      <c r="S13" s="228" t="str">
        <v>ELASTOPHENE PS 1MX15M</v>
      </c>
      <c r="T13" s="228" t="str">
        <v>ROLL</v>
      </c>
      <c r="U13" s="228">
        <v>67.7</v>
      </c>
      <c r="V13" s="229">
        <v>45748</v>
      </c>
      <c r="W13" s="228">
        <v>0</v>
      </c>
      <c r="X13" s="228" t="str">
        <v>Convoy 2025</v>
      </c>
      <c r="AA13"/>
      <c r="AB13"/>
    </row>
    <row r="14" spans="1:30" ht="15.75" customHeight="1">
      <c r="A14" s="495"/>
      <c r="R14" s="228" t="str">
        <v>s340001</v>
      </c>
      <c r="S14" s="228" t="str">
        <v>Elastophene 180 Sanded</v>
      </c>
      <c r="T14" s="228" t="str">
        <v>30</v>
      </c>
      <c r="U14" s="228">
        <v>67.400000000000006</v>
      </c>
      <c r="V14" s="229">
        <v>45723</v>
      </c>
      <c r="W14" s="228" t="str">
        <v>Convoy Supply Alberta Ltd</v>
      </c>
      <c r="X14" s="228" t="str">
        <v>Sage</v>
      </c>
      <c r="AA14"/>
      <c r="AB14"/>
    </row>
    <row r="15" spans="1:30" ht="18.75" customHeight="1">
      <c r="A15" s="495"/>
      <c r="B15" s="238" t="s">
        <v>151</v>
      </c>
      <c r="C15" s="239">
        <f>Takeoff!F14</f>
        <v>14</v>
      </c>
      <c r="D15" s="226"/>
      <c r="F15" s="224"/>
      <c r="G15" s="225"/>
      <c r="H15" s="226"/>
      <c r="I15" s="226"/>
      <c r="R15" s="228" t="str">
        <v>s340012</v>
      </c>
      <c r="S15" s="228" t="str">
        <v>Elastophene Flam 2.2 mm</v>
      </c>
      <c r="T15" s="228" t="str">
        <v>30</v>
      </c>
      <c r="U15" s="228">
        <v>90.6</v>
      </c>
      <c r="V15" s="229">
        <v>45464</v>
      </c>
      <c r="W15" s="228" t="str">
        <v>Convoy Supply Alberta Ltd</v>
      </c>
      <c r="X15" s="228" t="str">
        <v>Sage</v>
      </c>
      <c r="AA15"/>
      <c r="AB15"/>
    </row>
    <row r="16" spans="1:30" ht="18" customHeight="1">
      <c r="A16" s="498" t="s">
        <v>142</v>
      </c>
      <c r="B16" s="240" t="s">
        <v>152</v>
      </c>
      <c r="C16" s="240" t="s">
        <v>153</v>
      </c>
      <c r="D16" s="240" t="s">
        <v>154</v>
      </c>
      <c r="E16" s="240" t="s">
        <v>155</v>
      </c>
      <c r="F16" s="276" t="s">
        <v>117</v>
      </c>
      <c r="G16" s="277" t="s">
        <v>156</v>
      </c>
      <c r="H16" s="240" t="s">
        <v>157</v>
      </c>
      <c r="I16" s="240" t="s">
        <v>17</v>
      </c>
      <c r="J16" s="240" t="s">
        <v>18</v>
      </c>
      <c r="K16" s="277" t="s">
        <v>19</v>
      </c>
      <c r="L16" s="240" t="s">
        <v>158</v>
      </c>
      <c r="M16" s="240" t="s">
        <v>159</v>
      </c>
      <c r="R16" s="228" t="str">
        <v>s340043</v>
      </c>
      <c r="S16" s="228" t="str">
        <v>Elastophene 180 PS</v>
      </c>
      <c r="T16" s="228" t="str">
        <v>Roll</v>
      </c>
      <c r="U16" s="228">
        <v>90.25</v>
      </c>
      <c r="V16" s="229">
        <v>44985</v>
      </c>
      <c r="W16" s="228" t="str">
        <v>Convoy Supply Alberta Ltd</v>
      </c>
      <c r="X16" s="228" t="str">
        <v>Sage</v>
      </c>
      <c r="AA16"/>
      <c r="AB16"/>
    </row>
    <row r="17" spans="1:28" ht="15.75" customHeight="1">
      <c r="A17" s="495">
        <f>VLOOKUP(C17, Dropdown!A2:B25, 2, FALSE)</f>
        <v>0</v>
      </c>
      <c r="B17" s="278" t="s">
        <v>160</v>
      </c>
      <c r="C17" s="279" t="s">
        <v>161</v>
      </c>
      <c r="D17" s="280"/>
      <c r="E17" s="241">
        <f>SUM(C15*100)</f>
        <v>1400</v>
      </c>
      <c r="F17" s="241">
        <f>IFERROR(ROUNDUP(E17 / VLOOKUP(C17, Dropdown!A2:C25, 3, FALSE) * 1.05 *I17, 0), 0)</f>
        <v>10</v>
      </c>
      <c r="G17" s="267">
        <v>82.45</v>
      </c>
      <c r="H17" s="246" t="str">
        <f>IFERROR(
    INDEX(prclst[source], MATCH('Flat Roof Summary'!A17, prclst[prtnum], 0)) &amp;
    IF(
        ISNUMBER(INDEX(prclst[invdte], MATCH('Flat Roof Summary'!A17, prclst[prtnum], 0))),
        " " &amp; TEXT(INDEX(prclst[invdte], MATCH('Flat Roof Summary'!A17, prclst[prtnum], 0)), "yyyy"),
        ""
    ),
    "N/A"
)</f>
        <v>N/A</v>
      </c>
      <c r="I17" s="242">
        <v>1</v>
      </c>
      <c r="J17" s="243" t="s">
        <v>162</v>
      </c>
      <c r="K17" s="435">
        <f>SUM(G17*F17)</f>
        <v>824.5</v>
      </c>
      <c r="L17" s="385" t="b">
        <v>0</v>
      </c>
      <c r="R17" s="228" t="str">
        <v>s340044</v>
      </c>
      <c r="S17" s="228" t="str">
        <v>Elastophene PS</v>
      </c>
      <c r="T17" s="228" t="str">
        <v>roll</v>
      </c>
      <c r="U17" s="228">
        <v>76</v>
      </c>
      <c r="V17" s="229">
        <v>44951</v>
      </c>
      <c r="W17" s="228" t="str">
        <v>Convoy Supply Alberta Ltd</v>
      </c>
      <c r="X17" s="228" t="str">
        <v>Sage</v>
      </c>
      <c r="AA17"/>
      <c r="AB17"/>
    </row>
    <row r="18" spans="1:28">
      <c r="A18" s="496"/>
      <c r="B18" s="278" t="s">
        <v>160</v>
      </c>
      <c r="C18" s="266" t="s">
        <v>163</v>
      </c>
      <c r="D18" s="280"/>
      <c r="E18" s="241"/>
      <c r="F18" s="241">
        <f>IF(F17&gt;0,C15/20)</f>
        <v>0.7</v>
      </c>
      <c r="G18" s="267">
        <v>50</v>
      </c>
      <c r="H18" s="246"/>
      <c r="I18" s="420"/>
      <c r="J18" s="246"/>
      <c r="K18" s="435">
        <f>SUM(G18*F18)</f>
        <v>35</v>
      </c>
      <c r="L18" s="385" t="b">
        <v>0</v>
      </c>
      <c r="N18" s="493"/>
      <c r="AA18"/>
      <c r="AB18"/>
    </row>
    <row r="19" spans="1:28">
      <c r="A19" s="496"/>
      <c r="B19" s="278"/>
      <c r="C19" s="468"/>
      <c r="D19" s="273"/>
      <c r="E19" s="273"/>
      <c r="F19" s="273"/>
      <c r="G19" s="273"/>
      <c r="H19" s="244"/>
      <c r="I19" s="244"/>
      <c r="J19" s="244"/>
      <c r="K19" s="467"/>
    </row>
    <row r="20" spans="1:28" ht="19.899999999999999" customHeight="1">
      <c r="A20" s="495" t="str">
        <f>VLOOKUP(C20, Dropdown!D2:E25, 2, FALSE)</f>
        <v>s320002</v>
      </c>
      <c r="B20" s="278" t="s">
        <v>164</v>
      </c>
      <c r="C20" s="279" t="s">
        <v>165</v>
      </c>
      <c r="D20" s="281"/>
      <c r="E20" s="241"/>
      <c r="F20" s="265">
        <f>ROUNDUP(Takeoff!F13/16*1.1*I20,0)</f>
        <v>95</v>
      </c>
      <c r="G20" s="267">
        <f>IFERROR(INDEX(prclst[linprc], MATCH('Flat Roof Summary'!A20, prclst[prtnum], 0)), 0)</f>
        <v>20.5</v>
      </c>
      <c r="H20" s="246" t="str">
        <f>IFERROR(
    INDEX(prclst[source], MATCH('Flat Roof Summary'!A20, prclst[prtnum], 0)) &amp;
    IF(
        ISNUMBER(INDEX(prclst[invdte], MATCH('Flat Roof Summary'!A20, prclst[prtnum], 0))),
        " " &amp; TEXT(INDEX(prclst[invdte], MATCH('Flat Roof Summary'!A20, prclst[prtnum], 0)), "yyyy"),
        ""
    ),
    "N/A"
)</f>
        <v>Sage 2024</v>
      </c>
      <c r="I20" s="242">
        <v>1</v>
      </c>
      <c r="J20" s="243" t="s">
        <v>166</v>
      </c>
      <c r="K20" s="435">
        <f>SUM(G20*F20)</f>
        <v>1947.5</v>
      </c>
      <c r="L20" s="385" t="b">
        <v>0</v>
      </c>
    </row>
    <row r="21" spans="1:28" ht="16.899999999999999" customHeight="1">
      <c r="A21" s="495"/>
      <c r="B21" s="278" t="s">
        <v>164</v>
      </c>
      <c r="C21" s="282" t="s">
        <v>167</v>
      </c>
      <c r="D21" s="395" t="b">
        <v>1</v>
      </c>
      <c r="E21" s="312" t="s">
        <v>168</v>
      </c>
      <c r="F21" s="265">
        <f>IF(D21=TRUE,ROUNDUP(Takeoff!F13/16*1.1,),0)</f>
        <v>95</v>
      </c>
      <c r="G21" s="267">
        <v>25</v>
      </c>
      <c r="H21" s="246" t="str">
        <f>IFERROR(
    INDEX(prclst[source], MATCH('Flat Roof Summary'!A21, prclst[prtnum], 0)) &amp;
    IF(
        ISNUMBER(INDEX(prclst[invdte], MATCH('Flat Roof Summary'!A21, prclst[prtnum], 0))),
        " " &amp; TEXT(INDEX(prclst[invdte], MATCH('Flat Roof Summary'!A21, prclst[prtnum], 0)), "yyyy"),
        ""
    ),
    "N/A"
)</f>
        <v>N/A</v>
      </c>
      <c r="I21" s="242">
        <v>1.5</v>
      </c>
      <c r="J21" s="243" t="s">
        <v>166</v>
      </c>
      <c r="K21" s="435">
        <f t="shared" ref="K21:K23" si="0">SUM(G21*F21)</f>
        <v>2375</v>
      </c>
      <c r="L21" s="385" t="b">
        <v>0</v>
      </c>
      <c r="M21" s="228" t="s">
        <v>169</v>
      </c>
      <c r="N21" s="494"/>
    </row>
    <row r="22" spans="1:28" ht="13.9">
      <c r="A22" s="495" t="e">
        <f>VLOOKUP(C22, Dropdown!D2:E25, 2, FALSE)</f>
        <v>#N/A</v>
      </c>
      <c r="B22" s="278" t="s">
        <v>164</v>
      </c>
      <c r="C22" s="279" t="s">
        <v>170</v>
      </c>
      <c r="D22" s="283" t="s">
        <v>171</v>
      </c>
      <c r="E22" s="241"/>
      <c r="F22" s="265">
        <f>ROUNDUP(Takeoff!F13/16*1.1*I22,0)</f>
        <v>0</v>
      </c>
      <c r="G22" s="267">
        <f>IFERROR(INDEX(prclst[linprc], MATCH('Flat Roof Summary'!A22, prclst[prtnum], 0)), 0)</f>
        <v>0</v>
      </c>
      <c r="H22" s="246" t="str">
        <f>IFERROR(
    INDEX(prclst[source], MATCH('Flat Roof Summary'!A22, prclst[prtnum], 0)) &amp;
    IF(
        ISNUMBER(INDEX(prclst[invdte], MATCH('Flat Roof Summary'!A22, prclst[prtnum], 0))),
        " " &amp; TEXT(INDEX(prclst[invdte], MATCH('Flat Roof Summary'!A22, prclst[prtnum], 0)), "yyyy"),
        ""
    ),
    "N/A"
)</f>
        <v>N/A</v>
      </c>
      <c r="I22" s="242">
        <v>0</v>
      </c>
      <c r="J22" s="243" t="s">
        <v>172</v>
      </c>
      <c r="K22" s="435">
        <f t="shared" si="0"/>
        <v>0</v>
      </c>
      <c r="L22" s="385" t="b">
        <v>0</v>
      </c>
      <c r="N22" s="493"/>
    </row>
    <row r="23" spans="1:28" ht="13.9">
      <c r="A23" s="495" t="e">
        <f>VLOOKUP(C23, Dropdown!D2:E25, 2, FALSE)</f>
        <v>#N/A</v>
      </c>
      <c r="B23" s="278" t="s">
        <v>164</v>
      </c>
      <c r="C23" s="279" t="s">
        <v>170</v>
      </c>
      <c r="D23" s="283" t="s">
        <v>173</v>
      </c>
      <c r="E23" s="241"/>
      <c r="F23" s="265">
        <f>ROUNDUP(Takeoff!F13/16*1.1*I23,0)</f>
        <v>0</v>
      </c>
      <c r="G23" s="267">
        <f>IFERROR(INDEX(prclst[linprc], MATCH('Flat Roof Summary'!A23, prclst[prtnum], 0)), 0)</f>
        <v>0</v>
      </c>
      <c r="H23" s="246" t="str">
        <f>IFERROR(
    INDEX(prclst[source], MATCH('Flat Roof Summary'!A23, prclst[prtnum], 0)) &amp;
    IF(
        ISNUMBER(INDEX(prclst[invdte], MATCH('Flat Roof Summary'!A23, prclst[prtnum], 0))),
        " " &amp; TEXT(INDEX(prclst[invdte], MATCH('Flat Roof Summary'!A23, prclst[prtnum], 0)), "yyyy"),
        ""
    ),
    "N/A"
)</f>
        <v>N/A</v>
      </c>
      <c r="I23" s="242">
        <v>0</v>
      </c>
      <c r="J23" s="243" t="s">
        <v>172</v>
      </c>
      <c r="K23" s="435">
        <f t="shared" si="0"/>
        <v>0</v>
      </c>
      <c r="L23" s="385" t="b">
        <v>0</v>
      </c>
      <c r="N23" s="493"/>
    </row>
    <row r="24" spans="1:28">
      <c r="A24" s="496"/>
      <c r="B24" s="278"/>
      <c r="C24" s="468"/>
      <c r="D24" s="273"/>
      <c r="E24" s="273"/>
      <c r="F24" s="273"/>
      <c r="G24" s="273"/>
      <c r="H24" s="244"/>
      <c r="I24" s="244"/>
      <c r="J24" s="244"/>
      <c r="K24" s="467"/>
      <c r="N24" s="493"/>
    </row>
    <row r="25" spans="1:28" ht="13.9">
      <c r="A25" s="495" t="e">
        <f>VLOOKUP(C25, Dropdown!F2:G25, 2, FALSE)</f>
        <v>#N/A</v>
      </c>
      <c r="B25" s="278" t="s">
        <v>174</v>
      </c>
      <c r="C25" s="279" t="s">
        <v>175</v>
      </c>
      <c r="D25" s="395" t="b">
        <v>0</v>
      </c>
      <c r="E25" s="265">
        <f>Takeoff!F13</f>
        <v>1370</v>
      </c>
      <c r="F25" s="265">
        <f>IF(D25=TRUE,ROUNDUP(E25/32*1.1*I25,0),0)</f>
        <v>0</v>
      </c>
      <c r="G25" s="267">
        <f>IFERROR(INDEX(prclst[linprc], MATCH('Flat Roof Summary'!A25, prclst[prtnum], 0)), 0)</f>
        <v>0</v>
      </c>
      <c r="H25" s="246" t="str">
        <f>IFERROR(
    INDEX(prclst[source], MATCH('Flat Roof Summary'!A25, prclst[prtnum], 0)) &amp;
    IF(
        ISNUMBER(INDEX(prclst[invdte], MATCH('Flat Roof Summary'!A25, prclst[prtnum], 0))),
        " " &amp; TEXT(INDEX(prclst[invdte], MATCH('Flat Roof Summary'!A25, prclst[prtnum], 0)), "yyyy"),
        ""
    ),
    "N/A"
)</f>
        <v>N/A</v>
      </c>
      <c r="I25" s="242">
        <v>0</v>
      </c>
      <c r="J25" s="243" t="s">
        <v>172</v>
      </c>
      <c r="K25" s="435">
        <f>SUM(G25*F25)</f>
        <v>0</v>
      </c>
      <c r="L25" s="385" t="b">
        <v>0</v>
      </c>
    </row>
    <row r="26" spans="1:28" ht="13.9">
      <c r="A26" s="495" t="str">
        <f>VLOOKUP(C26, Dropdown!H2:I25, 2, FALSE)</f>
        <v>p110928</v>
      </c>
      <c r="B26" s="278" t="s">
        <v>174</v>
      </c>
      <c r="C26" s="279" t="s">
        <v>176</v>
      </c>
      <c r="D26" s="395" t="b">
        <v>1</v>
      </c>
      <c r="E26" s="265">
        <f>Takeoff!F13</f>
        <v>1370</v>
      </c>
      <c r="F26" s="265">
        <f>IF(D26=TRUE,ROUNDUP(E26/32*1.1*I26,0))</f>
        <v>48</v>
      </c>
      <c r="G26" s="267">
        <f>IFERROR(INDEX(prclst[linprc], MATCH('Flat Roof Summary'!A26, prclst[prtnum], 0)), 0)</f>
        <v>34.200000000000003</v>
      </c>
      <c r="H26" s="246" t="str">
        <f>IFERROR(
    INDEX(prclst[source], MATCH('Flat Roof Summary'!A26, prclst[prtnum], 0)) &amp;
    IF(
        ISNUMBER(INDEX(prclst[invdte], MATCH('Flat Roof Summary'!A26, prclst[prtnum], 0))),
        " " &amp; TEXT(INDEX(prclst[invdte], MATCH('Flat Roof Summary'!A26, prclst[prtnum], 0)), "yyyy"),
        ""
    ),
    "N/A"
)</f>
        <v>Proline 2025 2025</v>
      </c>
      <c r="I26" s="242">
        <v>1</v>
      </c>
      <c r="J26" s="243" t="s">
        <v>166</v>
      </c>
      <c r="K26" s="435">
        <f t="shared" ref="K26:K29" si="1">SUM(G26*F26)</f>
        <v>1641.6000000000001</v>
      </c>
      <c r="L26" s="385" t="b">
        <v>0</v>
      </c>
    </row>
    <row r="27" spans="1:28" ht="13.9">
      <c r="A27" s="495" t="e">
        <f>VLOOKUP(C27, Dropdown!J2:K25, 2, FALSE)</f>
        <v>#N/A</v>
      </c>
      <c r="B27" s="278" t="s">
        <v>174</v>
      </c>
      <c r="C27" s="279" t="s">
        <v>177</v>
      </c>
      <c r="D27" s="395" t="b">
        <v>0</v>
      </c>
      <c r="E27" s="265">
        <f>Takeoff!F13</f>
        <v>1370</v>
      </c>
      <c r="F27" s="265" t="b">
        <f>IF(D27=TRUE,ROUNDUP(E27/24*1.05*I27,0))</f>
        <v>0</v>
      </c>
      <c r="G27" s="267">
        <f>IFERROR(INDEX(prclst[linprc], MATCH('Flat Roof Summary'!A27, prclst[prtnum], 0)), 0)</f>
        <v>0</v>
      </c>
      <c r="H27" s="246" t="str">
        <f>IFERROR(
    INDEX(prclst[source], MATCH('Flat Roof Summary'!A27, prclst[prtnum], 0)) &amp;
    IF(
        ISNUMBER(INDEX(prclst[invdte], MATCH('Flat Roof Summary'!A27, prclst[prtnum], 0))),
        " " &amp; TEXT(INDEX(prclst[invdte], MATCH('Flat Roof Summary'!A27, prclst[prtnum], 0)), "yyyy"),
        ""
    ),
    "N/A"
)</f>
        <v>N/A</v>
      </c>
      <c r="I27" s="242">
        <v>0</v>
      </c>
      <c r="J27" s="243" t="s">
        <v>172</v>
      </c>
      <c r="K27" s="435">
        <f t="shared" si="1"/>
        <v>0</v>
      </c>
      <c r="L27" s="385" t="b">
        <v>0</v>
      </c>
    </row>
    <row r="28" spans="1:28" ht="13.9">
      <c r="A28" s="495" t="str">
        <f>VLOOKUP(C28, Dropdown!L2:M25, 2, FALSE)</f>
        <v>p260505</v>
      </c>
      <c r="B28" s="278" t="s">
        <v>174</v>
      </c>
      <c r="C28" s="279" t="s">
        <v>178</v>
      </c>
      <c r="D28" s="395" t="b">
        <v>0</v>
      </c>
      <c r="E28" s="265">
        <f>Takeoff!F13</f>
        <v>1370</v>
      </c>
      <c r="F28" s="265">
        <f>IF(D28=TRUE, ROUNDUP(E28 / (VLOOKUP(C28, Dropdown!L2:N25, 3, FALSE)) * 1.05*I28, 0), 0)</f>
        <v>0</v>
      </c>
      <c r="G28" s="267">
        <f>IFERROR(INDEX(prclst[linprc], MATCH('Flat Roof Summary'!A28, prclst[prtnum], 0)), 0)</f>
        <v>8.9499999999999993</v>
      </c>
      <c r="H28" s="246" t="str">
        <f>IFERROR(
    INDEX(prclst[source], MATCH('Flat Roof Summary'!A28, prclst[prtnum], 0)) &amp;
    IF(
        ISNUMBER(INDEX(prclst[invdte], MATCH('Flat Roof Summary'!A28, prclst[prtnum], 0))),
        " " &amp; TEXT(INDEX(prclst[invdte], MATCH('Flat Roof Summary'!A28, prclst[prtnum], 0)), "yyyy"),
        ""
    ),
    "N/A"
)</f>
        <v>Proline 2025 2025</v>
      </c>
      <c r="I28" s="242">
        <v>0</v>
      </c>
      <c r="J28" s="243" t="s">
        <v>172</v>
      </c>
      <c r="K28" s="435">
        <f t="shared" si="1"/>
        <v>0</v>
      </c>
      <c r="L28" s="385" t="b">
        <v>0</v>
      </c>
    </row>
    <row r="29" spans="1:28" ht="13.9">
      <c r="A29" s="495" t="e">
        <f>VLOOKUP(C29, Dropdown!O2:P25, 2, FALSE)</f>
        <v>#N/A</v>
      </c>
      <c r="B29" s="278" t="s">
        <v>174</v>
      </c>
      <c r="C29" s="279" t="s">
        <v>179</v>
      </c>
      <c r="D29" s="284" t="s">
        <v>180</v>
      </c>
      <c r="E29" s="241">
        <f>ROUNDUP(Takeoff!M58/20*1.1,0)</f>
        <v>14</v>
      </c>
      <c r="F29" s="265">
        <f>IF(D29="Wall",ROUNDUP(E29*I29,0),IF(D29="Field",ROUNDUP(C15*100/20*1.1*I29,0),IF(D29="Both",ROUNDUP((E29+(C15*100/20*1.1))*I29,0),0)))</f>
        <v>0</v>
      </c>
      <c r="G29" s="267">
        <f>IFERROR(INDEX(prclst[linprc], MATCH('Flat Roof Summary'!A29, prclst[prtnum], 0)), 0)</f>
        <v>0</v>
      </c>
      <c r="H29" s="246" t="str">
        <f>IFERROR(
    INDEX(prclst[source], MATCH('Flat Roof Summary'!A29, prclst[prtnum], 0)) &amp;
    IF(
        ISNUMBER(INDEX(prclst[invdte], MATCH('Flat Roof Summary'!A29, prclst[prtnum], 0))),
        " " &amp; TEXT(INDEX(prclst[invdte], MATCH('Flat Roof Summary'!A29, prclst[prtnum], 0)), "yyyy"),
        ""
    ),
    "N/A"
)</f>
        <v>N/A</v>
      </c>
      <c r="I29" s="242">
        <v>0</v>
      </c>
      <c r="J29" s="243" t="s">
        <v>172</v>
      </c>
      <c r="K29" s="435">
        <f t="shared" si="1"/>
        <v>0</v>
      </c>
      <c r="L29" s="385" t="b">
        <v>0</v>
      </c>
    </row>
    <row r="30" spans="1:28">
      <c r="A30" s="708"/>
      <c r="B30" s="278"/>
      <c r="C30" s="468"/>
      <c r="D30" s="273"/>
      <c r="E30" s="273"/>
      <c r="F30" s="273"/>
      <c r="G30" s="273"/>
      <c r="H30" s="244"/>
      <c r="I30" s="244"/>
      <c r="J30" s="244"/>
      <c r="K30" s="467"/>
    </row>
    <row r="31" spans="1:28" ht="13.9">
      <c r="A31" s="708" t="str">
        <f>VLOOKUP(C31, Dropdown!Q2:R25, 2, FALSE)</f>
        <v>s340062</v>
      </c>
      <c r="B31" s="278" t="s">
        <v>181</v>
      </c>
      <c r="C31" s="398" t="s">
        <v>182</v>
      </c>
      <c r="D31" s="395" t="b">
        <v>1</v>
      </c>
      <c r="E31" s="265">
        <f>SUM(Takeoff!F53:F57)+Takeoff!H36+(Takeoff!F50*2)</f>
        <v>227</v>
      </c>
      <c r="F31" s="542">
        <v>1</v>
      </c>
      <c r="G31" s="267">
        <f>IFERROR(INDEX(prclst[linprc], MATCH('Flat Roof Summary'!A31, prclst[prtnum], 0)), 0)</f>
        <v>471.15</v>
      </c>
      <c r="H31" s="246"/>
      <c r="I31" s="249"/>
      <c r="J31" s="250"/>
      <c r="K31" s="435">
        <f>SUM(G31*F31)</f>
        <v>471.15</v>
      </c>
      <c r="L31" s="385" t="b">
        <v>0</v>
      </c>
    </row>
    <row r="32" spans="1:28" ht="16.5" customHeight="1">
      <c r="A32" s="708" t="e">
        <f>VLOOKUP(C32, Dropdown!Q2:R25, 2, FALSE)</f>
        <v>#N/A</v>
      </c>
      <c r="B32" s="278" t="s">
        <v>181</v>
      </c>
      <c r="C32" s="279" t="s">
        <v>183</v>
      </c>
      <c r="D32" s="395" t="b">
        <v>0</v>
      </c>
      <c r="E32" s="287">
        <f>SUM(Takeoff!F53:F57)+Takeoff!H36+(Takeoff!F50*2)</f>
        <v>227</v>
      </c>
      <c r="F32" s="265" t="b">
        <f>IF(D32=TRUE, E32/35)</f>
        <v>0</v>
      </c>
      <c r="G32" s="267">
        <f>IFERROR(INDEX(prclst[linprc], MATCH('Flat Roof Summary'!A32, prclst[prtnum], 0)), 0)</f>
        <v>0</v>
      </c>
      <c r="H32" s="246"/>
      <c r="I32" s="249"/>
      <c r="J32" s="250"/>
      <c r="K32" s="435">
        <f>SUM(G32*F32)</f>
        <v>0</v>
      </c>
      <c r="L32" s="385" t="b">
        <v>0</v>
      </c>
    </row>
    <row r="33" spans="1:13" ht="16.899999999999999" customHeight="1">
      <c r="A33" s="708" t="e">
        <f xml:space="preserve">
IF(M33="Base Sheet",VLOOKUP(C33,Dropdown!$T$2:$U$35,2,FALSE),
IF(M33="Cap Sheet",VLOOKUP(C33,Dropdown!$Z$2:$AA$30,2,FALSE),
IF(M33="Peel &amp; Stick",VLOOKUP(C33,Dropdown!$W$2:$X$30,2,FALSE),0)))</f>
        <v>#N/A</v>
      </c>
      <c r="B33" s="278" t="s">
        <v>181</v>
      </c>
      <c r="C33" s="285"/>
      <c r="D33" s="692"/>
      <c r="E33" s="250">
        <f>ROUNDUP(
IF(D33= "Field &amp; Wall",($C$15*100)+Takeoff!$G$36+Takeoff!$M$58,
IF(D33="Base Field",Takeoff!$F$13+Takeoff!$G$36,
IF(D33="Cap Field",Takeoff!$F$13+Takeoff!$G$36,
IF(D33="Base Wall",Takeoff!$M$58+Takeoff!$G$36,
IF(D33="Cap Wall",Takeoff!$N$58+Takeoff!$G$36,0))))),0)</f>
        <v>0</v>
      </c>
      <c r="F33" s="693">
        <f>IFERROR(ROUNDUP(
IF(M33="Base Sheet",(E33/VLOOKUP(C33,Dropdown!$T$2:$V$27,3,FALSE)*(1.1*I33)),
IF(M33="Cap Sheet",(E33/VLOOKUP(C33,Dropdown!$Z$2:$AB$27,3,FALSE)*(1.1*I33)),
IF(M33="Peel &amp; Stick",(E33/VLOOKUP(C33,Dropdown!$W$2:$Y$27,3,FALSE)*(1.1*I33)),0))),0),0)</f>
        <v>0</v>
      </c>
      <c r="G33" s="267">
        <f>IFERROR(INDEX(prclst[linprc], MATCH('Flat Roof Summary'!A33, prclst[prtnum], 0)), 0)</f>
        <v>0</v>
      </c>
      <c r="H33" s="246" t="str">
        <f>IFERROR(
    INDEX(prclst[source], MATCH('Flat Roof Summary'!A33, prclst[prtnum], 0)) &amp;
    IF(
        ISNUMBER(INDEX(prclst[invdte], MATCH('Flat Roof Summary'!A33, prclst[prtnum], 0))),
        " " &amp; TEXT(INDEX(prclst[invdte], MATCH('Flat Roof Summary'!A33, prclst[prtnum], 0)), "yyyy"),
        ""
    ),
    "N/A"
)</f>
        <v>N/A</v>
      </c>
      <c r="I33" s="242">
        <v>0</v>
      </c>
      <c r="J33" s="243" t="s">
        <v>172</v>
      </c>
      <c r="K33" s="435">
        <f>SUM(G33*F33)</f>
        <v>0</v>
      </c>
      <c r="L33" s="385" t="b">
        <v>0</v>
      </c>
      <c r="M33" s="495" t="s">
        <v>184</v>
      </c>
    </row>
    <row r="34" spans="1:13" ht="13.9">
      <c r="A34" s="708" t="str">
        <f xml:space="preserve">
IF(M34="Base Sheet",VLOOKUP(C34,Dropdown!$T$2:$U$35,2,FALSE),
IF(M34="Cap Sheet",VLOOKUP(C34,Dropdown!$Z$2:$AA$30,2,FALSE),
IF(M34="Peel &amp; Stick",VLOOKUP(C34,Dropdown!$W$2:$X$30,2,FALSE),0)))</f>
        <v>s340089</v>
      </c>
      <c r="B34" s="278" t="s">
        <v>181</v>
      </c>
      <c r="C34" s="279" t="s">
        <v>185</v>
      </c>
      <c r="D34" s="692" t="s">
        <v>186</v>
      </c>
      <c r="E34" s="250">
        <f>ROUNDUP(
IF(D34= "Field &amp; Wall",($C$15*100)+Takeoff!$G$36+Takeoff!$M$58,
IF(D34="Base Field",Takeoff!$F$13+Takeoff!$G$36,
IF(D34="Cap Field",Takeoff!$F$13+Takeoff!$G$36,
IF(D34="Base Wall",Takeoff!$M$58+Takeoff!$G$36,
IF(D34="Cap Wall",Takeoff!$N$58+Takeoff!$G$36,0))))),0)</f>
        <v>1370</v>
      </c>
      <c r="F34" s="693">
        <f>IFERROR(ROUNDUP(
IF(M34="Base Sheet",(E34/VLOOKUP(C34,Dropdown!$T$2:$V$27,3,FALSE)*(1.1*I34)),
IF(M34="Cap Sheet",(E34/VLOOKUP(C34,Dropdown!$Z$2:$AB$27,3,FALSE)*(1.1*I34)),
IF(M34="Peel &amp; Stick",(E34/VLOOKUP(C34,Dropdown!$W$2:$Y$27,3,FALSE)*(1.1*I34)),0))),0),0)</f>
        <v>16</v>
      </c>
      <c r="G34" s="267">
        <f>IFERROR(INDEX(prclst[linprc], MATCH('Flat Roof Summary'!A34, prclst[prtnum], 0)), 0)</f>
        <v>127.25</v>
      </c>
      <c r="H34" s="246" t="str">
        <f>IFERROR(
    INDEX(prclst[source], MATCH('Flat Roof Summary'!A34, prclst[prtnum], 0)) &amp;
    IF(
        ISNUMBER(INDEX(prclst[invdte], MATCH('Flat Roof Summary'!A34, prclst[prtnum], 0))),
        " " &amp; TEXT(INDEX(prclst[invdte], MATCH('Flat Roof Summary'!A34, prclst[prtnum], 0)), "yyyy"),
        ""
    ),
    "N/A"
)</f>
        <v>Sage 2025</v>
      </c>
      <c r="I34" s="242">
        <v>1</v>
      </c>
      <c r="J34" s="243" t="s">
        <v>162</v>
      </c>
      <c r="K34" s="435">
        <f t="shared" ref="K34:K37" si="2">SUM(G34*F34)</f>
        <v>2036</v>
      </c>
      <c r="L34" s="385" t="b">
        <v>0</v>
      </c>
      <c r="M34" s="495" t="s">
        <v>187</v>
      </c>
    </row>
    <row r="35" spans="1:13" ht="13.9">
      <c r="A35" s="708" t="str">
        <f xml:space="preserve">
IF(M35="Base Sheet",VLOOKUP(C35,Dropdown!$T$2:$U$35,2,FALSE),
IF(M35="Cap Sheet",VLOOKUP(C35,Dropdown!$Z$2:$AA$30,2,FALSE),
IF(M35="Peel &amp; Stick",VLOOKUP(C35,Dropdown!$W$2:$X$30,2,FALSE),0)))</f>
        <v>s340090</v>
      </c>
      <c r="B35" s="278" t="s">
        <v>181</v>
      </c>
      <c r="C35" s="279" t="s">
        <v>188</v>
      </c>
      <c r="D35" s="692" t="s">
        <v>189</v>
      </c>
      <c r="E35" s="250">
        <f>ROUNDUP(
IF(D35= "Field &amp; Wall",($C$15*100)+Takeoff!$G$36+Takeoff!$M$58,
IF(D35="Base Field",Takeoff!$F$13+Takeoff!$G$36,
IF(D35="Cap Field",Takeoff!$F$13+Takeoff!$G$36,
IF(D35="Base Wall",Takeoff!$M$58+Takeoff!$G$36,
IF(D35="Cap Wall",Takeoff!$N$58+Takeoff!$G$36,0))))),0)</f>
        <v>1651</v>
      </c>
      <c r="F35" s="693">
        <f>IFERROR(ROUNDUP(
IF(M35="Base Sheet",(E35/VLOOKUP(C35,Dropdown!$T$2:$V$27,3,FALSE)*(1.1*I35)),
IF(M35="Cap Sheet",(E35/VLOOKUP(C35,Dropdown!$Z$2:$AB$27,3,FALSE)*(1.1*I35)),
IF(M35="Peel &amp; Stick",(E35/VLOOKUP(C35,Dropdown!$W$2:$Y$27,3,FALSE)*(1.1*I35)),0))),0),0)</f>
        <v>24</v>
      </c>
      <c r="G35" s="267">
        <f>IFERROR(INDEX(prclst[linprc], MATCH('Flat Roof Summary'!A35, prclst[prtnum], 0)), 0)</f>
        <v>105.8</v>
      </c>
      <c r="H35" s="246" t="str">
        <f>IFERROR(
    INDEX(prclst[source], MATCH('Flat Roof Summary'!A35, prclst[prtnum], 0)) &amp;
    IF(
        ISNUMBER(INDEX(prclst[invdte], MATCH('Flat Roof Summary'!A35, prclst[prtnum], 0))),
        " " &amp; TEXT(INDEX(prclst[invdte], MATCH('Flat Roof Summary'!A35, prclst[prtnum], 0)), "yyyy"),
        ""
    ),
    "N/A"
)</f>
        <v>Sage 2025</v>
      </c>
      <c r="I35" s="242">
        <v>1</v>
      </c>
      <c r="J35" s="243" t="s">
        <v>162</v>
      </c>
      <c r="K35" s="435">
        <f t="shared" ref="K35" si="3">SUM(G35*F35)</f>
        <v>2539.1999999999998</v>
      </c>
      <c r="L35" s="385" t="b">
        <v>0</v>
      </c>
      <c r="M35" s="495" t="s">
        <v>190</v>
      </c>
    </row>
    <row r="36" spans="1:13" ht="13.9">
      <c r="A36" s="708" t="str">
        <f xml:space="preserve">
IF(M36="Base Sheet",VLOOKUP(C36,Dropdown!$T$2:$U$35,2,FALSE),
IF(M36="Cap Sheet",VLOOKUP(C36,Dropdown!$Z$2:$AA$30,2,FALSE),
IF(M36="Peel &amp; Stick",VLOOKUP(C36,Dropdown!$W$2:$X$30,2,FALSE),0)))</f>
        <v>s340109</v>
      </c>
      <c r="B36" s="278" t="s">
        <v>181</v>
      </c>
      <c r="C36" s="285" t="s">
        <v>191</v>
      </c>
      <c r="D36" s="692" t="s">
        <v>192</v>
      </c>
      <c r="E36" s="250">
        <f>ROUNDUP(
IF(D36= "Field &amp; Wall",($C$15*100)+Takeoff!$G$36+Takeoff!$M$58,
IF(D36="Base Field",Takeoff!$F$13+Takeoff!$G$36,
IF(D36="Cap Field",Takeoff!$F$13+Takeoff!$G$36,
IF(D36="Base Wall",Takeoff!$M$58+Takeoff!$G$36,
IF(D36="Cap Wall",Takeoff!$N$58+Takeoff!$G$36,0))))),0)</f>
        <v>251</v>
      </c>
      <c r="F36" s="693">
        <f>IFERROR(ROUNDUP(
IF(M36="Base Sheet",(E36/VLOOKUP(C36,Dropdown!$T$2:$V$27,3,FALSE)*(1.1*I36)),
IF(M36="Cap Sheet",(E36/VLOOKUP(C36,Dropdown!$Z$2:$AB$27,3,FALSE)*(1.1*I36)),
IF(M36="Peel &amp; Stick",(E36/VLOOKUP(C36,Dropdown!$W$2:$Y$27,3,FALSE)*(1.1*I36)),0))),0),0)</f>
        <v>3</v>
      </c>
      <c r="G36" s="267">
        <f>IFERROR(INDEX(prclst[linprc], MATCH('Flat Roof Summary'!A36, prclst[prtnum], 0)), 0)</f>
        <v>134.94999999999999</v>
      </c>
      <c r="H36" s="246" t="str">
        <f>IFERROR(
    INDEX(prclst[source], MATCH('Flat Roof Summary'!A36, prclst[prtnum], 0)) &amp;
    IF(
        ISNUMBER(INDEX(prclst[invdte], MATCH('Flat Roof Summary'!A36, prclst[prtnum], 0))),
        " " &amp; TEXT(INDEX(prclst[invdte], MATCH('Flat Roof Summary'!A36, prclst[prtnum], 0)), "yyyy"),
        ""
    ),
    "N/A"
)</f>
        <v>Sage 2025</v>
      </c>
      <c r="I36" s="242">
        <v>1</v>
      </c>
      <c r="J36" s="243" t="s">
        <v>162</v>
      </c>
      <c r="K36" s="435">
        <f t="shared" si="2"/>
        <v>404.84999999999997</v>
      </c>
      <c r="L36" s="385" t="b">
        <v>0</v>
      </c>
      <c r="M36" s="495" t="s">
        <v>184</v>
      </c>
    </row>
    <row r="37" spans="1:13" ht="13.9">
      <c r="A37" s="708" t="e">
        <f xml:space="preserve">
IF(M37="Base Sheet",VLOOKUP(C37,Dropdown!$T$2:$U$35,2,FALSE),
IF(M37="Cap Sheet",VLOOKUP(C37,Dropdown!$Z$2:$AA$30,2,FALSE),
IF(M37="Peel &amp; Stick",VLOOKUP(C37,Dropdown!$W$2:$X$30,2,FALSE),0)))</f>
        <v>#N/A</v>
      </c>
      <c r="B37" s="278" t="s">
        <v>181</v>
      </c>
      <c r="C37" s="279"/>
      <c r="D37" s="692"/>
      <c r="E37" s="250">
        <f>ROUNDUP(
IF(D37= "Field &amp; Wall",($C$15*100)+Takeoff!$G$36+Takeoff!$M$58,
IF(D37="Base Field",Takeoff!$F$13+Takeoff!$G$36,
IF(D37="Cap Field",Takeoff!$F$13+Takeoff!$G$36,
IF(D37="Base Wall",Takeoff!$M$58+Takeoff!$G$36,
IF(D37="Cap Wall",Takeoff!$N$58+Takeoff!$G$36,0))))),0)</f>
        <v>0</v>
      </c>
      <c r="F37" s="693">
        <f>IFERROR(ROUNDUP(
IF(M37="Base Sheet",(E37/VLOOKUP(C37,Dropdown!$T$2:$V$27,3,FALSE)*(1.1*I37)),
IF(M37="Cap Sheet",(E37/VLOOKUP(C37,Dropdown!$Z$2:$AB$27,3,FALSE)*(1.1*I37)),
IF(M37="Peel &amp; Stick",(E37/VLOOKUP(C37,Dropdown!$W$2:$Y$27,3,FALSE)*(1.1*I37)),0))),0),0)</f>
        <v>0</v>
      </c>
      <c r="G37" s="267">
        <f>IFERROR(INDEX(prclst[linprc], MATCH('Flat Roof Summary'!A37, prclst[prtnum], 0)), 0)</f>
        <v>0</v>
      </c>
      <c r="H37" s="246" t="str">
        <f>IFERROR(
    INDEX(prclst[source], MATCH('Flat Roof Summary'!A37, prclst[prtnum], 0)) &amp;
    IF(
        ISNUMBER(INDEX(prclst[invdte], MATCH('Flat Roof Summary'!A37, prclst[prtnum], 0))),
        " " &amp; TEXT(INDEX(prclst[invdte], MATCH('Flat Roof Summary'!A37, prclst[prtnum], 0)), "yyyy"),
        ""
    ),
    "N/A"
)</f>
        <v>N/A</v>
      </c>
      <c r="I37" s="242">
        <v>0</v>
      </c>
      <c r="J37" s="243" t="s">
        <v>172</v>
      </c>
      <c r="K37" s="435">
        <f t="shared" si="2"/>
        <v>0</v>
      </c>
      <c r="L37" s="385" t="b">
        <v>0</v>
      </c>
      <c r="M37" s="495" t="s">
        <v>184</v>
      </c>
    </row>
    <row r="38" spans="1:13" ht="13.9">
      <c r="A38" s="708">
        <f xml:space="preserve">
IF(M38="Base Sheet",VLOOKUP(C38,Dropdown!$T$2:$U$35,2,FALSE),
IF(M38="Cap Sheet",VLOOKUP(C38,Dropdown!$Z$2:$AA$30,2,FALSE),
IF(M38="Peel &amp; Stick",VLOOKUP(C38,Dropdown!$W$2:$X$30,2,FALSE),0)))</f>
        <v>0</v>
      </c>
      <c r="B38" s="278" t="s">
        <v>181</v>
      </c>
      <c r="C38" s="279"/>
      <c r="D38" s="692"/>
      <c r="E38" s="250">
        <f>ROUNDUP(
IF(D38= "Field &amp; Wall",($C$15*100)+Takeoff!$G$36+Takeoff!$M$58,
IF(D38="Base Field",Takeoff!$F$13+Takeoff!$G$36,
IF(D38="Cap Field",Takeoff!$F$13+Takeoff!$G$36,
IF(D38="Base Wall",Takeoff!$M$58+Takeoff!$G$36,
IF(D38="Cap Wall",Takeoff!$N$58+Takeoff!$G$36,0))))),0)</f>
        <v>0</v>
      </c>
      <c r="F38" s="693">
        <f>IFERROR(ROUNDUP(
IF(M38="Base Sheet",(E38/VLOOKUP(C38,Dropdown!$T$2:$V$27,3,FALSE)*(1.1*I38)),
IF(M38="Cap Sheet",(E38/VLOOKUP(C38,Dropdown!$Z$2:$AB$27,3,FALSE)*(1.1*I38)),
IF(M38="Peel &amp; Stick",(E38/VLOOKUP(C38,Dropdown!$W$2:$Y$27,3,FALSE)*(1.1*I38)),0))),0),0)</f>
        <v>0</v>
      </c>
      <c r="G38" s="267">
        <f>IFERROR(INDEX(prclst[linprc], MATCH('Flat Roof Summary'!A38, prclst[prtnum], 0)), 0)</f>
        <v>0</v>
      </c>
      <c r="H38" s="246" t="str">
        <f>IFERROR(
    INDEX(prclst[source], MATCH('Flat Roof Summary'!A38, prclst[prtnum], 0)) &amp;
    IF(
        ISNUMBER(INDEX(prclst[invdte], MATCH('Flat Roof Summary'!A38, prclst[prtnum], 0))),
        " " &amp; TEXT(INDEX(prclst[invdte], MATCH('Flat Roof Summary'!A38, prclst[prtnum], 0)), "yyyy"),
        ""
    ),
    "N/A"
)</f>
        <v>N/A</v>
      </c>
      <c r="I38" s="242">
        <v>0</v>
      </c>
      <c r="J38" s="243" t="s">
        <v>172</v>
      </c>
      <c r="K38" s="435">
        <f>SUM(G38*F38)</f>
        <v>0</v>
      </c>
      <c r="L38" s="385" t="b">
        <v>0</v>
      </c>
      <c r="M38" s="495"/>
    </row>
    <row r="39" spans="1:13" ht="14.25" customHeight="1">
      <c r="A39" s="708" t="e">
        <f xml:space="preserve">
IF(M39="Base Sheet",VLOOKUP(C39,Dropdown!$T$2:$U$35,2,FALSE),
IF(M39="Cap Sheet",VLOOKUP(C39,Dropdown!$Z$2:$AA$30,2,FALSE),
IF(M39="Peel &amp; Stick",VLOOKUP(C39,Dropdown!$W$2:$X$30,2,FALSE),0)))</f>
        <v>#N/A</v>
      </c>
      <c r="B39" s="278" t="s">
        <v>181</v>
      </c>
      <c r="C39" s="279"/>
      <c r="D39" s="692"/>
      <c r="E39" s="250">
        <f>ROUNDUP(
IF(D39= "Field &amp; Wall",($C$15*100)+Takeoff!$G$36+Takeoff!$M$58,
IF(D39="Base Field",Takeoff!$F$13+Takeoff!$G$36,
IF(D39="Cap Field",Takeoff!$F$13+Takeoff!$G$36,
IF(D39="Base Wall",Takeoff!$M$58+Takeoff!$G$36,
IF(D39="Cap Wall",Takeoff!$N$58+Takeoff!$G$36,0))))),0)</f>
        <v>0</v>
      </c>
      <c r="F39" s="693">
        <f>IFERROR(ROUNDUP(
IF(M39="Base Sheet",(E39/VLOOKUP(C39,Dropdown!$T$2:$V$27,3,FALSE)*(1.1*I39)),
IF(M39="Cap Sheet",(E39/VLOOKUP(C39,Dropdown!$Z$2:$AB$27,3,FALSE)*(1.1*I39)),
IF(M39="Peel &amp; Stick",(E39/VLOOKUP(C39,Dropdown!$W$2:$Y$27,3,FALSE)*(1.1*I39)),0))),0),0)</f>
        <v>0</v>
      </c>
      <c r="G39" s="267">
        <f>IFERROR(INDEX(prclst[linprc], MATCH('Flat Roof Summary'!A39, prclst[prtnum], 0)), 0)</f>
        <v>0</v>
      </c>
      <c r="H39" s="246" t="str">
        <f>IFERROR(
    INDEX(prclst[source], MATCH('Flat Roof Summary'!A39, prclst[prtnum], 0)) &amp;
    IF(
        ISNUMBER(INDEX(prclst[invdte], MATCH('Flat Roof Summary'!A39, prclst[prtnum], 0))),
        " " &amp; TEXT(INDEX(prclst[invdte], MATCH('Flat Roof Summary'!A39, prclst[prtnum], 0)), "yyyy"),
        ""
    ),
    "N/A"
)</f>
        <v>N/A</v>
      </c>
      <c r="I39" s="242">
        <v>0</v>
      </c>
      <c r="J39" s="243" t="s">
        <v>172</v>
      </c>
      <c r="K39" s="435">
        <f>SUM(G39*F39)</f>
        <v>0</v>
      </c>
      <c r="L39" s="385" t="b">
        <v>0</v>
      </c>
      <c r="M39" s="495" t="s">
        <v>190</v>
      </c>
    </row>
    <row r="40" spans="1:13">
      <c r="A40" s="495"/>
      <c r="B40" s="278"/>
      <c r="C40" s="465"/>
      <c r="D40" s="466"/>
      <c r="E40" s="244"/>
      <c r="F40" s="466"/>
      <c r="G40" s="466"/>
      <c r="H40" s="244"/>
      <c r="I40" s="244"/>
      <c r="J40" s="244"/>
      <c r="K40" s="467"/>
    </row>
    <row r="41" spans="1:13">
      <c r="A41" s="495" t="str">
        <f>VLOOKUP(C41, Dropdown!AF2:AG5, 2, FALSE)</f>
        <v>s360016</v>
      </c>
      <c r="B41" s="278" t="s">
        <v>193</v>
      </c>
      <c r="C41" s="279" t="s">
        <v>194</v>
      </c>
      <c r="D41" s="280"/>
      <c r="E41" s="265">
        <f>Takeoff!F13</f>
        <v>1370</v>
      </c>
      <c r="F41" s="241">
        <f>IF(C41="Duotack",ROUNDUP((E41/100)*I41,0),
IF(C41="IKO Millennium",ROUNDUP((E41/125)*I41,),0))</f>
        <v>48</v>
      </c>
      <c r="G41" s="267">
        <f>IFERROR(INDEX(prclst[linprc], MATCH('Flat Roof Summary'!A41, prclst[prtnum], 0)), 0)</f>
        <v>59.8</v>
      </c>
      <c r="H41" s="246" t="str">
        <f>ROUNDUP(F41/4,) &amp; " " &amp; "Case"</f>
        <v>12 Case</v>
      </c>
      <c r="I41" s="251">
        <v>3.5</v>
      </c>
      <c r="J41" s="252"/>
      <c r="K41" s="253">
        <f>SUM(G41*F41)</f>
        <v>2870.3999999999996</v>
      </c>
      <c r="L41" s="385" t="b">
        <v>0</v>
      </c>
    </row>
    <row r="42" spans="1:13" ht="15" customHeight="1">
      <c r="A42" s="495" t="str">
        <f>VLOOKUP(C42, Dropdown!AC2:AD16, 2, FALSE)</f>
        <v>s360013</v>
      </c>
      <c r="B42" s="278" t="s">
        <v>193</v>
      </c>
      <c r="C42" s="279" t="s">
        <v>195</v>
      </c>
      <c r="D42" s="286" t="s">
        <v>196</v>
      </c>
      <c r="E42" s="265">
        <f>Takeoff!M58+Takeoff!G36</f>
        <v>250.83333333333334</v>
      </c>
      <c r="F42" s="265">
        <f>IFERROR(ROUNDUP((E42 / (VLOOKUP(C42, Dropdown!AC2:AE16, 3, 0) * 1.15))*I42, 0), 0)</f>
        <v>1</v>
      </c>
      <c r="G42" s="267">
        <v>160</v>
      </c>
      <c r="H42" s="246" t="str">
        <f>IFERROR(
    INDEX(prclst[source], MATCH('Flat Roof Summary'!A42, prclst[prtnum], 0)) &amp;
    IF(
        ISNUMBER(INDEX(prclst[invdte], MATCH('Flat Roof Summary'!A42, prclst[prtnum], 0))),
        " " &amp; TEXT(INDEX(prclst[invdte], MATCH('Flat Roof Summary'!A42, prclst[prtnum], 0)), "yyyy"),
        ""
    ),
    "N/A"
)</f>
        <v>Sage 2025</v>
      </c>
      <c r="I42" s="251">
        <v>1</v>
      </c>
      <c r="J42" s="250"/>
      <c r="K42" s="254">
        <f t="shared" ref="K42:K44" si="4">SUM(G42*F42)</f>
        <v>160</v>
      </c>
      <c r="L42" s="385" t="b">
        <v>0</v>
      </c>
    </row>
    <row r="43" spans="1:13" ht="13.9">
      <c r="A43" s="495" t="str">
        <f>VLOOKUP(C43, Dropdown!AC2:AD16, 2, FALSE)</f>
        <v>s360009</v>
      </c>
      <c r="B43" s="374" t="s">
        <v>193</v>
      </c>
      <c r="C43" s="375" t="s">
        <v>197</v>
      </c>
      <c r="D43" s="376" t="s">
        <v>198</v>
      </c>
      <c r="E43" s="287">
        <f>Takeoff!F13</f>
        <v>1370</v>
      </c>
      <c r="F43" s="287">
        <f>IFERROR(ROUNDUP(E43 / VLOOKUP(C43, Dropdown!AC2:AE16, 3, FALSE) * 1.15*I43, 0), 0)</f>
        <v>3</v>
      </c>
      <c r="G43" s="267">
        <f>IFERROR(INDEX(prclst[linprc], MATCH('Flat Roof Summary'!A43, prclst[prtnum], 0)), 0)</f>
        <v>125.05</v>
      </c>
      <c r="H43" s="246" t="str">
        <f>IFERROR(
    INDEX(prclst[source], MATCH('Flat Roof Summary'!A43, prclst[prtnum], 0)) &amp;
    IF(
        ISNUMBER(INDEX(prclst[invdte], MATCH('Flat Roof Summary'!A43, prclst[prtnum], 0))),
        " " &amp; TEXT(INDEX(prclst[invdte], MATCH('Flat Roof Summary'!A43, prclst[prtnum], 0)), "yyyy"),
        ""
    ),
    "N/A"
)</f>
        <v>Sage 2025</v>
      </c>
      <c r="I43" s="251">
        <v>2</v>
      </c>
      <c r="J43" s="379"/>
      <c r="K43" s="255">
        <f t="shared" si="4"/>
        <v>375.15</v>
      </c>
      <c r="L43" s="385" t="b">
        <v>0</v>
      </c>
    </row>
    <row r="44" spans="1:13" ht="13.9">
      <c r="A44" s="495"/>
      <c r="B44" s="384" t="s">
        <v>199</v>
      </c>
      <c r="C44" s="262" t="s">
        <v>199</v>
      </c>
      <c r="D44" s="396" t="b">
        <v>0</v>
      </c>
      <c r="E44" s="250"/>
      <c r="F44" s="288">
        <f>IF(C44="BUR Gravel",C15/6,IF(C44="EPDM Gravel",C15/3,0))</f>
        <v>0</v>
      </c>
      <c r="G44" s="267">
        <f>IF(C44="BUR Gravel",75,IF(C44="EPDM Gravel",70,IF(C44="Concrete Pavers",50,0)))</f>
        <v>0</v>
      </c>
      <c r="H44" s="246"/>
      <c r="I44" s="256"/>
      <c r="J44" s="246"/>
      <c r="K44" s="257">
        <f t="shared" si="4"/>
        <v>0</v>
      </c>
      <c r="L44" s="385" t="b">
        <v>0</v>
      </c>
    </row>
    <row r="45" spans="1:13" ht="13.9">
      <c r="A45" s="495" t="str">
        <f>VLOOKUP(C45, Dropdown!AH2:AJ5, 2, FALSE)</f>
        <v>s459999</v>
      </c>
      <c r="B45" s="384" t="s">
        <v>193</v>
      </c>
      <c r="C45" s="262" t="s">
        <v>200</v>
      </c>
      <c r="D45" s="396" t="b">
        <v>0</v>
      </c>
      <c r="E45" s="288">
        <f>C15</f>
        <v>14</v>
      </c>
      <c r="F45" s="288" t="b">
        <f>IF(D45=TRUE,SUM(E45*(VLOOKUP(C45,Dropdown!AH2:AJ5,3,0))*I45,0))</f>
        <v>0</v>
      </c>
      <c r="G45" s="297">
        <f>IFERROR(INDEX(prclst[linprc], MATCH('Flat Roof Summary'!A45, prclst[prtnum], 0)), 0)</f>
        <v>49</v>
      </c>
      <c r="H45" s="246"/>
      <c r="I45" s="388">
        <v>0</v>
      </c>
      <c r="J45" s="246"/>
      <c r="K45" s="257">
        <f>SUM(G45*F45)</f>
        <v>0</v>
      </c>
      <c r="L45" s="385" t="b">
        <v>0</v>
      </c>
      <c r="M45" s="228" t="s">
        <v>201</v>
      </c>
    </row>
    <row r="46" spans="1:13" ht="13.9">
      <c r="A46" s="495"/>
      <c r="B46" s="290" t="s">
        <v>193</v>
      </c>
      <c r="C46" s="380" t="s">
        <v>202</v>
      </c>
      <c r="D46" s="381">
        <v>25</v>
      </c>
      <c r="E46" s="382">
        <f>SUM(C15*1)</f>
        <v>14</v>
      </c>
      <c r="F46" s="301">
        <f>SUM(D46*E46/50)*I46</f>
        <v>0</v>
      </c>
      <c r="G46" s="383">
        <v>49</v>
      </c>
      <c r="H46" s="302" t="s">
        <v>203</v>
      </c>
      <c r="I46" s="260">
        <f>Project!L11</f>
        <v>0</v>
      </c>
      <c r="J46" s="303"/>
      <c r="K46" s="304">
        <f>SUM(G46*F46)</f>
        <v>0</v>
      </c>
      <c r="L46" s="385" t="b">
        <v>0</v>
      </c>
    </row>
    <row r="47" spans="1:13">
      <c r="A47" s="495"/>
      <c r="B47" s="300"/>
      <c r="C47" s="472"/>
      <c r="D47" s="472"/>
      <c r="E47" s="472"/>
      <c r="F47" s="472"/>
      <c r="G47" s="472"/>
      <c r="H47" s="472"/>
      <c r="I47" s="472"/>
      <c r="J47" s="472"/>
      <c r="K47" s="472"/>
    </row>
    <row r="48" spans="1:13" ht="13.9">
      <c r="A48" s="495"/>
      <c r="B48" s="300" t="s">
        <v>204</v>
      </c>
      <c r="C48" s="552" t="s">
        <v>205</v>
      </c>
      <c r="D48" s="553" t="s">
        <v>206</v>
      </c>
      <c r="E48" s="551">
        <f>Takeoff!F58</f>
        <v>215</v>
      </c>
      <c r="F48" s="558">
        <f>ROUNDUP(E48/15,0)</f>
        <v>15</v>
      </c>
      <c r="G48" s="554">
        <v>9</v>
      </c>
      <c r="H48" s="551"/>
      <c r="I48" s="551"/>
      <c r="J48" s="551"/>
      <c r="K48" s="257">
        <f>SUM(F48*G48)</f>
        <v>135</v>
      </c>
    </row>
    <row r="49" spans="1:16" ht="13.9">
      <c r="A49" s="495" t="str">
        <f>IF(C49="Catalyst","s360003")</f>
        <v>s360003</v>
      </c>
      <c r="B49" s="290" t="s">
        <v>204</v>
      </c>
      <c r="C49" s="291" t="s">
        <v>207</v>
      </c>
      <c r="D49" s="399" t="s">
        <v>208</v>
      </c>
      <c r="E49" s="292"/>
      <c r="F49" s="258">
        <f>IF(D31=TRUE,ROUNDUP(F31*7,0))</f>
        <v>7</v>
      </c>
      <c r="G49" s="267">
        <f>IFERROR(INDEX(prclst[linprc], MATCH('Flat Roof Summary'!A49, prclst[prtnum], 0)), 0)</f>
        <v>18.75</v>
      </c>
      <c r="H49" s="289"/>
      <c r="I49" s="260"/>
      <c r="J49" s="259"/>
      <c r="K49" s="434">
        <f t="shared" ref="K49:K57" si="5">SUM(G49*F49)</f>
        <v>131.25</v>
      </c>
      <c r="L49" s="385" t="b">
        <v>0</v>
      </c>
    </row>
    <row r="50" spans="1:16" ht="13.9">
      <c r="A50" s="495" t="str">
        <f>IF(C50="Fleece","s340070")</f>
        <v>s340070</v>
      </c>
      <c r="B50" s="278" t="s">
        <v>204</v>
      </c>
      <c r="C50" s="266" t="s">
        <v>209</v>
      </c>
      <c r="D50" s="268" t="s">
        <v>210</v>
      </c>
      <c r="E50" s="265">
        <f>SUM(Takeoff!F53:F57)+Takeoff!H36+(Takeoff!F50*2)</f>
        <v>227</v>
      </c>
      <c r="F50" s="265">
        <f>IF(D31=TRUE,ROUNDUP((E50/160),0))</f>
        <v>2</v>
      </c>
      <c r="G50" s="267">
        <v>150</v>
      </c>
      <c r="H50" s="246"/>
      <c r="I50" s="249"/>
      <c r="J50" s="250"/>
      <c r="K50" s="257">
        <f t="shared" si="5"/>
        <v>300</v>
      </c>
      <c r="L50" s="385" t="b">
        <v>0</v>
      </c>
    </row>
    <row r="51" spans="1:16" ht="13.9">
      <c r="A51" s="495"/>
      <c r="B51" s="278" t="s">
        <v>204</v>
      </c>
      <c r="C51" s="266" t="s">
        <v>211</v>
      </c>
      <c r="D51" s="395" t="b">
        <v>1</v>
      </c>
      <c r="E51" s="241"/>
      <c r="F51" s="265">
        <f>IF(D51=TRUE,(ROUNDUP(C15/20,0)))</f>
        <v>1</v>
      </c>
      <c r="G51" s="267">
        <v>500</v>
      </c>
      <c r="H51" s="246"/>
      <c r="I51" s="249"/>
      <c r="J51" s="250"/>
      <c r="K51" s="257">
        <f t="shared" si="5"/>
        <v>500</v>
      </c>
      <c r="L51" s="385" t="b">
        <v>0</v>
      </c>
    </row>
    <row r="52" spans="1:16" ht="13.9">
      <c r="A52" s="495"/>
      <c r="B52" s="374" t="s">
        <v>204</v>
      </c>
      <c r="C52" s="428" t="s">
        <v>212</v>
      </c>
      <c r="D52" s="429" t="b">
        <v>0</v>
      </c>
      <c r="E52" s="430"/>
      <c r="F52" s="287" t="b">
        <f>IF(D52=TRUE,ROUNDUP((((Takeoff!F13/16)*5)/1000)*I52,0))</f>
        <v>0</v>
      </c>
      <c r="G52" s="267">
        <v>350</v>
      </c>
      <c r="H52" s="246"/>
      <c r="I52" s="541">
        <v>0</v>
      </c>
      <c r="J52" s="379"/>
      <c r="K52" s="257">
        <f>SUM(G52*F52)</f>
        <v>0</v>
      </c>
      <c r="L52" s="385" t="b">
        <v>0</v>
      </c>
      <c r="P52" s="227"/>
    </row>
    <row r="53" spans="1:16" ht="13.9">
      <c r="A53" s="495" t="str">
        <f>IF(C53="IKO 6in. Roof Tape (Firetape)","s140024",0)</f>
        <v>s140024</v>
      </c>
      <c r="B53" s="374" t="s">
        <v>204</v>
      </c>
      <c r="C53" s="428" t="s">
        <v>213</v>
      </c>
      <c r="D53" s="429" t="b">
        <v>0</v>
      </c>
      <c r="E53" s="287">
        <f>IF(J17="Mopped",
    IF(C17="#15 Felt x 2", Takeoff!F58, (F26*16) + 8 + Takeoff!F58),
    IF(OR(COUNTIF(J17:J37, "Torched") &gt; 0, COUNTIF(J17:J37, "Mopped") &gt; 0), Takeoff!F58, 0)
)</f>
        <v>215</v>
      </c>
      <c r="F53" s="287" t="b">
        <f>IF(D53=TRUE,ROUNDUP((E53/60),))</f>
        <v>0</v>
      </c>
      <c r="G53" s="267">
        <f>IFERROR(INDEX(prclst[linprc], MATCH('Flat Roof Summary'!A53, prclst[prtnum], 0)), 0)</f>
        <v>27.9</v>
      </c>
      <c r="H53" s="246" t="str">
        <f>IFERROR(
    INDEX(prclst[source], MATCH('Flat Roof Summary'!A53, prclst[prtnum], 0)) &amp;
    IF(
        ISNUMBER(INDEX(prclst[invdte], MATCH('Flat Roof Summary'!A53, prclst[prtnum], 0))),
        " " &amp; TEXT(INDEX(prclst[invdte], MATCH('Flat Roof Summary'!A53, prclst[prtnum], 0)), "yyyy"),
        ""
    ),
    "N/A"
)</f>
        <v>Sage 2024</v>
      </c>
      <c r="I53" s="378"/>
      <c r="J53" s="379"/>
      <c r="K53" s="257">
        <f t="shared" si="5"/>
        <v>0</v>
      </c>
      <c r="L53" s="385" t="b">
        <v>0</v>
      </c>
      <c r="M53" s="556"/>
    </row>
    <row r="54" spans="1:16" ht="13.9">
      <c r="A54" s="495" t="str">
        <f>IF(C54="Sopralap (Cover Strip)","s340076")</f>
        <v>s340076</v>
      </c>
      <c r="B54" s="374" t="s">
        <v>204</v>
      </c>
      <c r="C54" s="428" t="s">
        <v>214</v>
      </c>
      <c r="D54" s="436" t="b">
        <f>IF(D27=TRUE, TRUE)</f>
        <v>0</v>
      </c>
      <c r="E54" s="430" t="b">
        <f>IF(D54=TRUE,ROUNDUP((F27*3),))</f>
        <v>0</v>
      </c>
      <c r="F54" s="287">
        <f>ROUNDUP((E54/30),)</f>
        <v>0</v>
      </c>
      <c r="G54" s="293">
        <f>IFERROR(INDEX(prclst[linprc], MATCH('Flat Roof Summary'!A54, prclst[prtnum], 0)), 0)</f>
        <v>42</v>
      </c>
      <c r="H54" s="377" t="str">
        <f>IFERROR(
    INDEX(prclst[source], MATCH('Flat Roof Summary'!A54, prclst[prtnum], 0)) &amp;
    IF(
        ISNUMBER(INDEX(prclst[invdte], MATCH('Flat Roof Summary'!A54, prclst[prtnum], 0))),
        " " &amp; TEXT(INDEX(prclst[invdte], MATCH('Flat Roof Summary'!A54, prclst[prtnum], 0)), "yyyy"),
        ""
    ),
    "N/A"
)</f>
        <v>Sage 2025</v>
      </c>
      <c r="I54" s="378"/>
      <c r="J54" s="379"/>
      <c r="K54" s="530">
        <f t="shared" si="5"/>
        <v>0</v>
      </c>
      <c r="L54" s="385" t="b">
        <v>0</v>
      </c>
    </row>
    <row r="55" spans="1:16" ht="13.9">
      <c r="A55" s="495" t="str">
        <f>IF(C55="PMMA Primer","s360002")</f>
        <v>s360002</v>
      </c>
      <c r="B55" s="384" t="s">
        <v>204</v>
      </c>
      <c r="C55" s="263" t="s">
        <v>215</v>
      </c>
      <c r="D55" s="299" t="s">
        <v>216</v>
      </c>
      <c r="E55" s="250">
        <f>SUM(Takeoff!C53:C57)</f>
        <v>8</v>
      </c>
      <c r="F55" s="250">
        <f>IF(D31=TRUE,ROUNDUP(E55/200,))</f>
        <v>1</v>
      </c>
      <c r="G55" s="297">
        <f>IFERROR(INDEX(prclst[linprc], MATCH('Flat Roof Summary'!A55, prclst[prtnum], 0)), 0)</f>
        <v>420.75</v>
      </c>
      <c r="H55" s="246"/>
      <c r="I55" s="250"/>
      <c r="J55" s="250"/>
      <c r="K55" s="257">
        <f t="shared" si="5"/>
        <v>420.75</v>
      </c>
      <c r="L55" s="385" t="b">
        <v>0</v>
      </c>
    </row>
    <row r="56" spans="1:16" ht="13.9">
      <c r="A56" s="495" t="b">
        <f>IF(C56="PMMA Primer","s360002")</f>
        <v>0</v>
      </c>
      <c r="B56" s="384" t="s">
        <v>204</v>
      </c>
      <c r="C56" s="263" t="s">
        <v>217</v>
      </c>
      <c r="D56" s="429" t="b">
        <v>0</v>
      </c>
      <c r="E56" s="250">
        <f>Takeoff!F58</f>
        <v>215</v>
      </c>
      <c r="F56" s="250">
        <f>IF(D56=TRUE,ROUNDUP(E56/15,0),)</f>
        <v>0</v>
      </c>
      <c r="G56" s="297">
        <v>790</v>
      </c>
      <c r="H56" s="246" t="s">
        <v>218</v>
      </c>
      <c r="I56" s="250"/>
      <c r="J56" s="250"/>
      <c r="K56" s="257">
        <f t="shared" si="5"/>
        <v>0</v>
      </c>
      <c r="L56" s="385" t="b">
        <v>0</v>
      </c>
    </row>
    <row r="57" spans="1:16" ht="13.9">
      <c r="A57" s="495" t="b">
        <f>IF(C57="PMMA Primer","s360002")</f>
        <v>0</v>
      </c>
      <c r="B57" s="384" t="s">
        <v>204</v>
      </c>
      <c r="C57" s="263" t="s">
        <v>219</v>
      </c>
      <c r="D57" s="429" t="b">
        <v>0</v>
      </c>
      <c r="E57" s="250">
        <f>SUM(Takeoff!C53:C57)</f>
        <v>8</v>
      </c>
      <c r="F57" s="250">
        <f>IF(D57=TRUE,ROUNDUP(F59*8/12*150*1.1/30,0),)</f>
        <v>0</v>
      </c>
      <c r="G57" s="297">
        <v>542</v>
      </c>
      <c r="H57" s="246" t="s">
        <v>218</v>
      </c>
      <c r="I57" s="250"/>
      <c r="J57" s="250"/>
      <c r="K57" s="257">
        <f t="shared" si="5"/>
        <v>0</v>
      </c>
      <c r="L57" s="385" t="b">
        <v>0</v>
      </c>
    </row>
    <row r="58" spans="1:16" ht="13.9">
      <c r="A58" s="495"/>
      <c r="B58" s="384" t="s">
        <v>204</v>
      </c>
      <c r="C58" s="263" t="s">
        <v>220</v>
      </c>
      <c r="D58" s="529"/>
      <c r="E58" s="250">
        <f>SUM(Takeoff!F53:F57)+Takeoff!H36+(Takeoff!F50*2)</f>
        <v>227</v>
      </c>
      <c r="F58" s="250">
        <f>IF(D57=TRUE,ROUNDUP((((Takeoff!F58/3)*(36/12))+((4*Takeoff!C34)*(12/12)))/150*1.1,0),)</f>
        <v>0</v>
      </c>
      <c r="G58" s="297">
        <v>105</v>
      </c>
      <c r="H58" s="246" t="s">
        <v>218</v>
      </c>
      <c r="I58" s="250"/>
      <c r="J58" s="250"/>
      <c r="K58" s="257">
        <f>SUM(G58*F58)</f>
        <v>0</v>
      </c>
      <c r="L58" s="385" t="b">
        <v>0</v>
      </c>
    </row>
    <row r="59" spans="1:16" ht="13.9">
      <c r="A59" s="495" t="b">
        <f>IF(C59="PMMA Primer","s360002")</f>
        <v>0</v>
      </c>
      <c r="B59" s="384" t="s">
        <v>204</v>
      </c>
      <c r="C59" s="263" t="s">
        <v>221</v>
      </c>
      <c r="D59" s="429" t="b">
        <v>0</v>
      </c>
      <c r="E59" s="250">
        <f>SUM(Takeoff!C53:C57)</f>
        <v>8</v>
      </c>
      <c r="F59" s="250">
        <f>IF(D57=TRUE,ROUNDUP(F58*2,0),)</f>
        <v>0</v>
      </c>
      <c r="G59" s="297">
        <v>248</v>
      </c>
      <c r="H59" s="246" t="s">
        <v>218</v>
      </c>
      <c r="I59" s="250"/>
      <c r="J59" s="250"/>
      <c r="K59" s="257">
        <f>SUM(G59*F59)</f>
        <v>0</v>
      </c>
      <c r="L59" s="385" t="b">
        <v>0</v>
      </c>
    </row>
    <row r="60" spans="1:16" ht="22.5">
      <c r="A60" s="503" t="b">
        <v>0</v>
      </c>
      <c r="B60" s="499"/>
      <c r="C60" s="694" t="s">
        <v>222</v>
      </c>
      <c r="D60" s="695"/>
      <c r="E60" s="486"/>
      <c r="F60" s="486"/>
      <c r="G60" s="486"/>
      <c r="H60" s="486"/>
      <c r="I60" s="486"/>
      <c r="J60" s="486"/>
      <c r="K60" s="487"/>
    </row>
    <row r="61" spans="1:16" ht="13.9">
      <c r="A61" s="504"/>
      <c r="B61" s="500" t="s">
        <v>160</v>
      </c>
      <c r="C61" s="263" t="str">
        <f>C17</f>
        <v>Elastophene SP 2.2</v>
      </c>
      <c r="D61" s="299" t="s">
        <v>223</v>
      </c>
      <c r="E61" s="288">
        <f>E17</f>
        <v>1400</v>
      </c>
      <c r="F61" s="288">
        <f>F17</f>
        <v>10</v>
      </c>
      <c r="G61" s="297">
        <f>G17</f>
        <v>82.45</v>
      </c>
      <c r="H61" s="246" t="str">
        <f>IFERROR(
    INDEX(prclst[source], MATCH('Flat Roof Summary'!A61, prclst[prtnum], 0)) &amp;
    IF(
        ISNUMBER(INDEX(prclst[invdte], MATCH('Flat Roof Summary'!A61, prclst[prtnum], 0))),
        " " &amp; TEXT(INDEX(prclst[invdte], MATCH('Flat Roof Summary'!A61, prclst[prtnum], 0)), "yyyy"),
        ""
    ),
    "N/A"
)</f>
        <v>N/A</v>
      </c>
      <c r="I61" s="252"/>
      <c r="J61" s="246"/>
      <c r="K61" s="372"/>
      <c r="L61" s="394" t="b">
        <v>0</v>
      </c>
    </row>
    <row r="62" spans="1:16">
      <c r="A62" s="504"/>
      <c r="B62" s="500" t="s">
        <v>160</v>
      </c>
      <c r="C62" s="263" t="s">
        <v>163</v>
      </c>
      <c r="D62" s="261"/>
      <c r="E62" s="306"/>
      <c r="F62" s="250">
        <f>IF(F61&gt;0,C15/20)</f>
        <v>0.7</v>
      </c>
      <c r="G62" s="297">
        <v>50</v>
      </c>
      <c r="H62" s="246"/>
      <c r="I62" s="250"/>
      <c r="J62" s="246"/>
      <c r="K62" s="372" t="b">
        <f>IF(A60=TRUE,G62*F62)</f>
        <v>0</v>
      </c>
      <c r="L62" s="385" t="b">
        <v>0</v>
      </c>
    </row>
    <row r="63" spans="1:16">
      <c r="A63" s="504"/>
      <c r="B63" s="500"/>
      <c r="C63" s="475"/>
      <c r="D63" s="476"/>
      <c r="E63" s="476"/>
      <c r="F63" s="476"/>
      <c r="G63" s="476"/>
      <c r="H63" s="476"/>
      <c r="I63" s="476"/>
      <c r="J63" s="476"/>
      <c r="K63" s="477"/>
    </row>
    <row r="64" spans="1:16" ht="13.9">
      <c r="A64" s="495">
        <f>IF(C64="1in.",1,
IF(C64="1.5in.",1.5,
IF(C64="2in.",2,
IF(C64="2.5in.",2.5,
IF(C64="3in.",3,0)))))</f>
        <v>0</v>
      </c>
      <c r="B64" s="500" t="s">
        <v>164</v>
      </c>
      <c r="C64" s="262" t="s">
        <v>224</v>
      </c>
      <c r="D64" s="299" t="s">
        <v>225</v>
      </c>
      <c r="E64" s="288">
        <f>Takeoff!F13</f>
        <v>1370</v>
      </c>
      <c r="F64" s="288">
        <f>ROUNDUP((E64/(4*8))*1.1*I64,)</f>
        <v>0</v>
      </c>
      <c r="G64" s="297">
        <f>0.31*A64*16</f>
        <v>0</v>
      </c>
      <c r="H64" s="246" t="s">
        <v>226</v>
      </c>
      <c r="I64" s="387">
        <v>0</v>
      </c>
      <c r="J64" s="243" t="s">
        <v>172</v>
      </c>
      <c r="K64" s="372" t="b">
        <f>IF(A60=TRUE,G64*F64)</f>
        <v>0</v>
      </c>
      <c r="L64" s="385" t="b">
        <v>0</v>
      </c>
    </row>
    <row r="65" spans="1:12" ht="13.9">
      <c r="A65" s="495" t="e">
        <f>VLOOKUP(C65, Dropdown!D28:E31, 2, FALSE)</f>
        <v>#N/A</v>
      </c>
      <c r="B65" s="500" t="s">
        <v>164</v>
      </c>
      <c r="C65" s="262" t="s">
        <v>227</v>
      </c>
      <c r="D65" s="299" t="s">
        <v>228</v>
      </c>
      <c r="E65" s="288">
        <f>Takeoff!F13</f>
        <v>1370</v>
      </c>
      <c r="F65" s="288">
        <f>ROUNDUP((E65/(2*8))*1.1*I64,)</f>
        <v>0</v>
      </c>
      <c r="G65" s="267">
        <f>IFERROR(INDEX(prclst[linprc], MATCH('Flat Roof Summary'!A65, prclst[prtnum], 0)), 0)</f>
        <v>0</v>
      </c>
      <c r="H65" s="246" t="str">
        <f>IFERROR(
    INDEX(prclst[source], MATCH('Flat Roof Summary'!A65, prclst[prtnum], 0)) &amp;
    IF(
        ISNUMBER(INDEX(prclst[invdte], MATCH('Flat Roof Summary'!A65, prclst[prtnum], 0))),
        " " &amp; TEXT(INDEX(prclst[invdte], MATCH('Flat Roof Summary'!A65, prclst[prtnum], 0)), "yyyy"),
        ""
    ),
    "N/A"
)</f>
        <v>N/A</v>
      </c>
      <c r="I65" s="387">
        <v>0</v>
      </c>
      <c r="J65" s="243" t="s">
        <v>172</v>
      </c>
      <c r="K65" s="372" t="b">
        <f>IF(A60=TRUE,G65*F65)</f>
        <v>0</v>
      </c>
      <c r="L65" s="385" t="b">
        <v>0</v>
      </c>
    </row>
    <row r="66" spans="1:12">
      <c r="A66" s="504"/>
      <c r="B66" s="500" t="s">
        <v>164</v>
      </c>
      <c r="C66" s="263" t="s">
        <v>229</v>
      </c>
      <c r="D66" s="261"/>
      <c r="E66" s="250"/>
      <c r="F66" s="288"/>
      <c r="G66" s="297">
        <v>52.48</v>
      </c>
      <c r="H66" s="246"/>
      <c r="I66" s="388">
        <v>0</v>
      </c>
      <c r="J66" s="243" t="s">
        <v>172</v>
      </c>
      <c r="K66" s="372" t="b">
        <f>IF(A60=TRUE,G66*F66)</f>
        <v>0</v>
      </c>
      <c r="L66" s="385" t="b">
        <v>0</v>
      </c>
    </row>
    <row r="67" spans="1:12">
      <c r="A67" s="504"/>
      <c r="B67" s="500"/>
      <c r="C67" s="475"/>
      <c r="D67" s="476"/>
      <c r="E67" s="476"/>
      <c r="F67" s="476"/>
      <c r="G67" s="476"/>
      <c r="H67" s="476"/>
      <c r="I67" s="476"/>
      <c r="J67" s="476"/>
      <c r="K67" s="480"/>
    </row>
    <row r="68" spans="1:12" ht="15.75" customHeight="1">
      <c r="A68" s="495" t="e">
        <f>VLOOKUP(C68, Dropdown!A28:B30, 2, FALSE)</f>
        <v>#N/A</v>
      </c>
      <c r="B68" s="501" t="s">
        <v>181</v>
      </c>
      <c r="C68" s="295" t="s">
        <v>230</v>
      </c>
      <c r="D68" s="601" t="s">
        <v>231</v>
      </c>
      <c r="E68" s="313">
        <f>Takeoff!F13+Takeoff!G36</f>
        <v>1370</v>
      </c>
      <c r="F68" s="314">
        <f>IF(D68="10x100",ROUNDUP((E68/(10*100))*1.1*I68,),
IF(D68="20x100",ROUNDUP((E68/(20*100))*1.1*I68,)))</f>
        <v>0</v>
      </c>
      <c r="G68" s="267">
        <f>IFERROR(INDEX(prclst[linprc], MATCH('Flat Roof Summary'!A68, prclst[prtnum], 0)), 0)</f>
        <v>0</v>
      </c>
      <c r="H68" s="246" t="str">
        <f>IFERROR(
    INDEX(prclst[source], MATCH('Flat Roof Summary'!A68, prclst[prtnum], 0)) &amp;
    IF(
        ISNUMBER(INDEX(prclst[invdte], MATCH('Flat Roof Summary'!A68, prclst[prtnum], 0))),
        " " &amp; TEXT(INDEX(prclst[invdte], MATCH('Flat Roof Summary'!A68, prclst[prtnum], 0)), "yyyy"),
        ""
    ),
    "N/A"
)</f>
        <v>N/A</v>
      </c>
      <c r="I68" s="388">
        <v>0</v>
      </c>
      <c r="J68" s="426" t="s">
        <v>222</v>
      </c>
      <c r="K68" s="372" t="str">
        <f>IF(A60=TRUE, IF(D68="10x100", G68*1000*F68, IF(D68="20x100", G68*2000*F68, "")), "")</f>
        <v/>
      </c>
      <c r="L68" s="385" t="b">
        <v>0</v>
      </c>
    </row>
    <row r="69" spans="1:12" ht="13.9">
      <c r="A69" s="504"/>
      <c r="B69" s="501" t="s">
        <v>181</v>
      </c>
      <c r="C69" s="296" t="s">
        <v>232</v>
      </c>
      <c r="D69" s="452" t="b">
        <v>0</v>
      </c>
      <c r="E69" s="314">
        <f>Takeoff!F13</f>
        <v>1370</v>
      </c>
      <c r="F69" s="314" t="b">
        <f>IF(D69=TRUE,ROUNDUP((E69/(10*360))*1.1,0))</f>
        <v>0</v>
      </c>
      <c r="G69" s="305">
        <v>380.25</v>
      </c>
      <c r="H69" s="246" t="s">
        <v>233</v>
      </c>
      <c r="I69" s="315"/>
      <c r="J69" s="371"/>
      <c r="K69" s="373" t="b">
        <f>IF(A60=TRUE,G69*F69)</f>
        <v>0</v>
      </c>
      <c r="L69" s="385" t="b">
        <v>0</v>
      </c>
    </row>
    <row r="70" spans="1:12" ht="13.9">
      <c r="A70" s="504">
        <f xml:space="preserve">
IF(I70="Sopradrain", "s2840042",0)</f>
        <v>0</v>
      </c>
      <c r="B70" s="501" t="s">
        <v>181</v>
      </c>
      <c r="C70" s="296" t="s">
        <v>234</v>
      </c>
      <c r="D70" s="452" t="b">
        <v>0</v>
      </c>
      <c r="E70" s="314">
        <f>Takeoff!F13</f>
        <v>1370</v>
      </c>
      <c r="F70" s="314" t="b">
        <f>IF(D70=TRUE,ROUNDUP((E70/(6*50))*1.1,0))</f>
        <v>0</v>
      </c>
      <c r="G70" s="267">
        <f>IFERROR(INDEX(prclst[linprc], MATCH("s2840042", prclst[prtnum], 0)), 0)</f>
        <v>215.7</v>
      </c>
      <c r="H70" s="246" t="str">
        <f>IFERROR(
    INDEX(prclst[source], MATCH('Flat Roof Summary'!A70, prclst[prtnum], 0)) &amp;
    IF(
        ISNUMBER(INDEX(prclst[invdte], MATCH('Flat Roof Summary'!A70, prclst[prtnum], 0))),
        " " &amp; TEXT(INDEX(prclst[invdte], MATCH('Flat Roof Summary'!A70, prclst[prtnum], 0)), "yyyy"),
        ""
    ),
    "N/A"
)</f>
        <v>N/A</v>
      </c>
      <c r="I70" s="315"/>
      <c r="J70" s="371"/>
      <c r="K70" s="373" t="b">
        <f>IF(A60=TRUE,G70*F70)</f>
        <v>0</v>
      </c>
      <c r="L70" s="385" t="b">
        <v>0</v>
      </c>
    </row>
    <row r="71" spans="1:12">
      <c r="A71" s="504"/>
      <c r="B71" s="501"/>
      <c r="C71" s="475"/>
      <c r="D71" s="476"/>
      <c r="E71" s="476"/>
      <c r="F71" s="476"/>
      <c r="G71" s="476"/>
      <c r="H71" s="476"/>
      <c r="I71" s="476"/>
      <c r="J71" s="476"/>
      <c r="K71" s="481"/>
    </row>
    <row r="72" spans="1:12">
      <c r="A72" s="504"/>
      <c r="B72" s="501" t="s">
        <v>204</v>
      </c>
      <c r="C72" s="263" t="s">
        <v>235</v>
      </c>
      <c r="D72" s="261"/>
      <c r="E72" s="250">
        <f>Takeoff!F58+Takeoff!H36</f>
        <v>215</v>
      </c>
      <c r="F72" s="288">
        <f>ROUNDUP(E72/100*1.1,)</f>
        <v>3</v>
      </c>
      <c r="G72" s="297">
        <v>307.22000000000003</v>
      </c>
      <c r="H72" s="363" t="s">
        <v>236</v>
      </c>
      <c r="I72" s="250"/>
      <c r="J72" s="250"/>
      <c r="K72" s="373" t="b">
        <f>IF(A60=TRUE,G72*F72)</f>
        <v>0</v>
      </c>
      <c r="L72" s="385" t="b">
        <v>0</v>
      </c>
    </row>
    <row r="73" spans="1:12">
      <c r="A73" s="504" t="str">
        <f xml:space="preserve">
IF(C73="Securtape Seam Tape 3in.x100ft.", "s440021",0)</f>
        <v>s440021</v>
      </c>
      <c r="B73" s="501" t="s">
        <v>204</v>
      </c>
      <c r="C73" s="263" t="s">
        <v>237</v>
      </c>
      <c r="D73" s="261"/>
      <c r="E73" s="288">
        <f>IF(D68="10x100",F68*(120)+100,
IF(D68="20x100",F68*(140)+100))</f>
        <v>100</v>
      </c>
      <c r="F73" s="288">
        <f>ROUNDUP(E73/100*1.1,0)</f>
        <v>2</v>
      </c>
      <c r="G73" s="267">
        <f>IFERROR(INDEX(prclst[linprc], MATCH('Flat Roof Summary'!A73, prclst[prtnum], 0)), 0)</f>
        <v>122</v>
      </c>
      <c r="H73" s="246" t="str">
        <f>IFERROR(
    INDEX(prclst[source], MATCH('Flat Roof Summary'!A73, prclst[prtnum], 0)) &amp;
    IF(
        ISNUMBER(INDEX(prclst[invdte], MATCH('Flat Roof Summary'!A73, prclst[prtnum], 0))),
        " " &amp; TEXT(INDEX(prclst[invdte], MATCH('Flat Roof Summary'!A73, prclst[prtnum], 0)), "yyyy"),
        ""
    ),
    "N/A"
)</f>
        <v>Sage 2023</v>
      </c>
      <c r="I73" s="250"/>
      <c r="J73" s="250"/>
      <c r="K73" s="373" t="b">
        <f>IF(A60=TRUE,G73*F73)</f>
        <v>0</v>
      </c>
      <c r="L73" s="385" t="b">
        <v>0</v>
      </c>
    </row>
    <row r="74" spans="1:12">
      <c r="A74" s="504" t="str">
        <f xml:space="preserve">
IF(C74="PS IS/OS Corner", "s440015",0)</f>
        <v>s440015</v>
      </c>
      <c r="B74" s="501" t="s">
        <v>204</v>
      </c>
      <c r="C74" s="263" t="s">
        <v>238</v>
      </c>
      <c r="D74" s="261"/>
      <c r="E74" s="306"/>
      <c r="F74" s="250">
        <f>ROUNDUP((SUM(Takeoff!C32:C35)*4)+Takeoff!F16,)</f>
        <v>10</v>
      </c>
      <c r="G74" s="267">
        <f>IFERROR(INDEX(prclst[linprc], MATCH('Flat Roof Summary'!A74, prclst[prtnum], 0)), 0)</f>
        <v>10.75</v>
      </c>
      <c r="H74" s="246" t="str">
        <f>IFERROR(
    INDEX(prclst[source], MATCH('Flat Roof Summary'!A74, prclst[prtnum], 0)) &amp;
    IF(
        ISNUMBER(INDEX(prclst[invdte], MATCH('Flat Roof Summary'!A74, prclst[prtnum], 0))),
        " " &amp; TEXT(INDEX(prclst[invdte], MATCH('Flat Roof Summary'!A74, prclst[prtnum], 0)), "yyyy"),
        ""
    ),
    "N/A"
)</f>
        <v>Sage 2024</v>
      </c>
      <c r="I74" s="250"/>
      <c r="J74" s="250"/>
      <c r="K74" s="373" t="b">
        <f>IF(A60=TRUE,G74*F74)</f>
        <v>0</v>
      </c>
      <c r="L74" s="385" t="b">
        <v>0</v>
      </c>
    </row>
    <row r="75" spans="1:12" ht="16.899999999999999" customHeight="1">
      <c r="A75" s="504"/>
      <c r="B75" s="501" t="s">
        <v>204</v>
      </c>
      <c r="C75" s="263" t="s">
        <v>239</v>
      </c>
      <c r="D75" s="261"/>
      <c r="E75" s="250"/>
      <c r="F75" s="288">
        <f>ROUNDUP(Takeoff!H36/50,)</f>
        <v>0</v>
      </c>
      <c r="G75" s="297">
        <v>438</v>
      </c>
      <c r="H75" s="246"/>
      <c r="I75" s="250"/>
      <c r="J75" s="250"/>
      <c r="K75" s="373" t="b">
        <f>IF(A60=TRUE,G75*F75)</f>
        <v>0</v>
      </c>
      <c r="L75" s="385" t="b">
        <v>0</v>
      </c>
    </row>
    <row r="76" spans="1:12" ht="16.5" customHeight="1">
      <c r="A76" s="504" t="str">
        <f xml:space="preserve">
IF(C76="Lap Sealant", "s2830001",0)</f>
        <v>s2830001</v>
      </c>
      <c r="B76" s="501" t="s">
        <v>204</v>
      </c>
      <c r="C76" s="263" t="s">
        <v>240</v>
      </c>
      <c r="D76" s="299" t="s">
        <v>241</v>
      </c>
      <c r="E76" s="288">
        <f>IF(D68="10x100",F68*(120)+100,
IF(D68="20x100",F68*(140)+100))</f>
        <v>100</v>
      </c>
      <c r="F76" s="288">
        <f>ROUNDUP(E76/20,)</f>
        <v>5</v>
      </c>
      <c r="G76" s="267">
        <f>IFERROR(INDEX(prclst[linprc], MATCH('Flat Roof Summary'!A76, prclst[prtnum], 0)), 0)</f>
        <v>12.1</v>
      </c>
      <c r="H76" s="246" t="str">
        <f>IFERROR(
    INDEX(prclst[source], MATCH('Flat Roof Summary'!A76, prclst[prtnum], 0)) &amp;
    IF(
        ISNUMBER(INDEX(prclst[invdte], MATCH('Flat Roof Summary'!A76, prclst[prtnum], 0))),
        " " &amp; TEXT(INDEX(prclst[invdte], MATCH('Flat Roof Summary'!A76, prclst[prtnum], 0)), "yyyy"),
        ""
    ),
    "N/A"
)</f>
        <v>Sage 2024</v>
      </c>
      <c r="I76" s="250"/>
      <c r="J76" s="250"/>
      <c r="K76" s="373" t="b">
        <f>IF(A60=TRUE,G76*F76)</f>
        <v>0</v>
      </c>
      <c r="L76" s="385" t="b">
        <v>0</v>
      </c>
    </row>
    <row r="77" spans="1:12">
      <c r="A77" s="504" t="str">
        <f xml:space="preserve">
IF(C77="1in.-6in. PS Pipe Flashing", "s440024",0)</f>
        <v>s440024</v>
      </c>
      <c r="B77" s="501" t="s">
        <v>204</v>
      </c>
      <c r="C77" s="263" t="s">
        <v>242</v>
      </c>
      <c r="D77" s="261"/>
      <c r="E77" s="250"/>
      <c r="F77" s="288">
        <f>ROUNDUP(Takeoff!F41,)</f>
        <v>0</v>
      </c>
      <c r="G77" s="267">
        <f>IFERROR(INDEX(prclst[linprc], MATCH('Flat Roof Summary'!A77, prclst[prtnum], 0)), 0)</f>
        <v>71.650000000000006</v>
      </c>
      <c r="H77" s="246" t="str">
        <f>IFERROR(
    INDEX(prclst[source], MATCH('Flat Roof Summary'!A77, prclst[prtnum], 0)) &amp;
    IF(
        ISNUMBER(INDEX(prclst[invdte], MATCH('Flat Roof Summary'!A77, prclst[prtnum], 0))),
        " " &amp; TEXT(INDEX(prclst[invdte], MATCH('Flat Roof Summary'!A77, prclst[prtnum], 0)), "yyyy"),
        ""
    ),
    "N/A"
)</f>
        <v>Sage 2024</v>
      </c>
      <c r="I77" s="250"/>
      <c r="J77" s="250"/>
      <c r="K77" s="373" t="b">
        <f>IF(A60=TRUE,G77*F77)</f>
        <v>0</v>
      </c>
      <c r="L77" s="385" t="b">
        <v>0</v>
      </c>
    </row>
    <row r="78" spans="1:12">
      <c r="A78" s="504"/>
      <c r="B78" s="501"/>
      <c r="C78" s="475"/>
      <c r="D78" s="476"/>
      <c r="E78" s="476"/>
      <c r="F78" s="476"/>
      <c r="G78" s="476"/>
      <c r="H78" s="476"/>
      <c r="I78" s="476"/>
      <c r="J78" s="476"/>
      <c r="K78" s="477"/>
    </row>
    <row r="79" spans="1:12" ht="13.9">
      <c r="A79" s="504" t="str">
        <f xml:space="preserve">
IF(D79="HP-250", "s460004",0)</f>
        <v>s460004</v>
      </c>
      <c r="B79" s="501" t="s">
        <v>193</v>
      </c>
      <c r="C79" s="263" t="s">
        <v>243</v>
      </c>
      <c r="D79" s="299" t="s">
        <v>244</v>
      </c>
      <c r="E79" s="288">
        <f>(F73*(3/12)*100) +(F72*((6/12)*50)*0.5)*1.1</f>
        <v>91.25</v>
      </c>
      <c r="F79" s="288">
        <f>ROUNDUP(E79/400,0)</f>
        <v>1</v>
      </c>
      <c r="G79" s="267">
        <f>IFERROR(INDEX(prclst[linprc], MATCH('Flat Roof Summary'!A79, prclst[prtnum], 0)), 0)</f>
        <v>50.52</v>
      </c>
      <c r="H79" s="246" t="str">
        <f>IFERROR(
    INDEX(prclst[source], MATCH('Flat Roof Summary'!A79, prclst[prtnum], 0)) &amp;
    IF(
        ISNUMBER(INDEX(prclst[invdte], MATCH('Flat Roof Summary'!A79, prclst[prtnum], 0))),
        " " &amp; TEXT(INDEX(prclst[invdte], MATCH('Flat Roof Summary'!A79, prclst[prtnum], 0)), "yyyy"),
        ""
    ),
    "N/A"
)</f>
        <v>Sage 2024</v>
      </c>
      <c r="I79" s="250"/>
      <c r="J79" s="250"/>
      <c r="K79" s="373" t="b">
        <f>IF(A60=TRUE,G79*F79)</f>
        <v>0</v>
      </c>
      <c r="L79" s="385" t="b">
        <v>0</v>
      </c>
    </row>
    <row r="80" spans="1:12" ht="13.9">
      <c r="A80" s="504" t="str">
        <f xml:space="preserve">
IF(C80="Bonding Adhesive", "p963002",0)</f>
        <v>p963002</v>
      </c>
      <c r="B80" s="501" t="s">
        <v>193</v>
      </c>
      <c r="C80" s="263" t="s">
        <v>245</v>
      </c>
      <c r="D80" s="299" t="s">
        <v>246</v>
      </c>
      <c r="E80" s="288">
        <f>Takeoff!M58+Takeoff!G36</f>
        <v>250.83333333333334</v>
      </c>
      <c r="F80" s="288">
        <f>ROUNDUP(E80/250,)</f>
        <v>2</v>
      </c>
      <c r="G80" s="267">
        <f>IFERROR(INDEX(prclst[linprc], MATCH('Flat Roof Summary'!A80, prclst[prtnum], 0)), 0)</f>
        <v>198.95</v>
      </c>
      <c r="H80" s="246" t="str">
        <f>IFERROR(
    INDEX(prclst[source], MATCH('Flat Roof Summary'!A80, prclst[prtnum], 0)) &amp;
    IF(
        ISNUMBER(INDEX(prclst[invdte], MATCH('Flat Roof Summary'!A80, prclst[prtnum], 0))),
        " " &amp; TEXT(INDEX(prclst[invdte], MATCH('Flat Roof Summary'!A80, prclst[prtnum], 0)), "yyyy"),
        ""
    ),
    "N/A"
)</f>
        <v>Proline 2025 2025</v>
      </c>
      <c r="I80" s="250"/>
      <c r="J80" s="250"/>
      <c r="K80" s="373" t="b">
        <f>IF(A60=TRUE,G80*F80)</f>
        <v>0</v>
      </c>
      <c r="L80" s="385" t="b">
        <v>0</v>
      </c>
    </row>
    <row r="81" spans="1:16" ht="13.9">
      <c r="A81" s="504"/>
      <c r="B81" s="501" t="s">
        <v>193</v>
      </c>
      <c r="C81" s="263" t="s">
        <v>247</v>
      </c>
      <c r="D81" s="299" t="s">
        <v>248</v>
      </c>
      <c r="E81" s="288">
        <f>Takeoff!M58+Takeoff!G36</f>
        <v>250.83333333333334</v>
      </c>
      <c r="F81" s="288">
        <f>ROUNDUP(E81/1500,)</f>
        <v>1</v>
      </c>
      <c r="G81" s="297">
        <v>1000</v>
      </c>
      <c r="H81" s="312" t="s">
        <v>249</v>
      </c>
      <c r="I81" s="250"/>
      <c r="J81" s="250"/>
      <c r="K81" s="373" t="b">
        <f>IF(A60=TRUE,G81*F81)</f>
        <v>0</v>
      </c>
      <c r="L81" s="385" t="b">
        <v>0</v>
      </c>
    </row>
    <row r="82" spans="1:16" ht="13.9" thickBot="1">
      <c r="A82" s="504"/>
      <c r="B82" s="502"/>
      <c r="C82" s="473"/>
      <c r="D82" s="473"/>
      <c r="E82" s="473"/>
      <c r="F82" s="473"/>
      <c r="G82" s="473"/>
      <c r="H82" s="473"/>
      <c r="I82" s="473"/>
      <c r="J82" s="473"/>
      <c r="K82" s="474"/>
    </row>
    <row r="83" spans="1:16" ht="22.9" thickTop="1">
      <c r="A83" s="540" t="b">
        <v>0</v>
      </c>
      <c r="B83" s="490"/>
      <c r="C83" s="505" t="s">
        <v>250</v>
      </c>
      <c r="D83" s="488"/>
      <c r="E83" s="488"/>
      <c r="F83" s="488"/>
      <c r="G83" s="488"/>
      <c r="H83" s="488"/>
      <c r="I83" s="488"/>
      <c r="J83" s="488"/>
      <c r="K83" s="489"/>
      <c r="M83" s="227"/>
    </row>
    <row r="84" spans="1:16" ht="13.9">
      <c r="A84" s="495"/>
      <c r="B84" s="364" t="s">
        <v>160</v>
      </c>
      <c r="C84" s="263" t="str">
        <f>C17</f>
        <v>Elastophene SP 2.2</v>
      </c>
      <c r="D84" s="299" t="s">
        <v>223</v>
      </c>
      <c r="E84" s="288">
        <f>E17</f>
        <v>1400</v>
      </c>
      <c r="F84" s="288">
        <f>F17</f>
        <v>10</v>
      </c>
      <c r="G84" s="297">
        <f>G17</f>
        <v>82.45</v>
      </c>
      <c r="H84" s="246" t="str">
        <f>H17</f>
        <v>N/A</v>
      </c>
      <c r="I84" s="256"/>
      <c r="J84" s="246"/>
      <c r="K84" s="372"/>
      <c r="L84" s="385" t="b">
        <v>0</v>
      </c>
    </row>
    <row r="85" spans="1:16">
      <c r="A85" s="495"/>
      <c r="B85" s="364" t="s">
        <v>160</v>
      </c>
      <c r="C85" s="263" t="s">
        <v>163</v>
      </c>
      <c r="D85" s="261"/>
      <c r="E85" s="306"/>
      <c r="F85" s="250">
        <f>IF(F84&gt;0,C15/20)</f>
        <v>0.7</v>
      </c>
      <c r="G85" s="297">
        <v>50</v>
      </c>
      <c r="H85" s="246"/>
      <c r="I85" s="250"/>
      <c r="J85" s="250"/>
      <c r="K85" s="373" t="b">
        <f>IF(A83=TRUE,G85*F85)</f>
        <v>0</v>
      </c>
      <c r="L85" s="385" t="b">
        <v>0</v>
      </c>
    </row>
    <row r="86" spans="1:16">
      <c r="A86" s="495"/>
      <c r="B86" s="365"/>
      <c r="C86" s="475"/>
      <c r="D86" s="476"/>
      <c r="E86" s="476"/>
      <c r="F86" s="476"/>
      <c r="G86" s="476"/>
      <c r="H86" s="476"/>
      <c r="I86" s="476"/>
      <c r="J86" s="476"/>
      <c r="K86" s="477"/>
    </row>
    <row r="87" spans="1:16" ht="13.9">
      <c r="A87" s="495" t="e">
        <f>VLOOKUP(C87, Dropdown!A36:B41, 2, FALSE)</f>
        <v>#N/A</v>
      </c>
      <c r="B87" s="365" t="s">
        <v>181</v>
      </c>
      <c r="C87" s="262" t="s">
        <v>251</v>
      </c>
      <c r="D87" s="311" t="s">
        <v>231</v>
      </c>
      <c r="E87" s="288">
        <f>Takeoff!F13</f>
        <v>1370</v>
      </c>
      <c r="F87" s="288">
        <f>ROUNDUP((E87/(10*100))*1.1*I87,0)</f>
        <v>0</v>
      </c>
      <c r="G87" s="305">
        <f>IFERROR(
    IF(
        OR('Flat Roof Summary'!A87="p96|20", 'Flat Roof Summary'!A87="p96|24"),
        INDEX(prclst[linprc], MATCH('Flat Roof Summary'!A87, prclst[prtnum], 0)) * 1000,
        INDEX(prclst[linprc], MATCH('Flat Roof Summary'!A87, prclst[prtnum], 0))
    ),
    0
)</f>
        <v>0</v>
      </c>
      <c r="H87" s="246" t="s">
        <v>249</v>
      </c>
      <c r="I87" s="388">
        <v>0</v>
      </c>
      <c r="J87" s="243" t="s">
        <v>172</v>
      </c>
      <c r="K87" s="372" t="b">
        <f>IF(A83=TRUE,G87*F87)</f>
        <v>0</v>
      </c>
      <c r="L87" s="385" t="b">
        <v>0</v>
      </c>
    </row>
    <row r="88" spans="1:16" ht="13.9">
      <c r="A88" s="495"/>
      <c r="B88" s="366" t="s">
        <v>181</v>
      </c>
      <c r="C88" s="263"/>
      <c r="D88" s="311"/>
      <c r="E88" s="250"/>
      <c r="F88" s="288"/>
      <c r="G88" s="297"/>
      <c r="H88" s="246"/>
      <c r="I88" s="256"/>
      <c r="J88" s="246"/>
      <c r="K88" s="373" t="b">
        <f>IF(A83=TRUE,G88*F88)</f>
        <v>0</v>
      </c>
      <c r="L88" s="385" t="b">
        <v>0</v>
      </c>
    </row>
    <row r="89" spans="1:16">
      <c r="A89" s="495"/>
      <c r="B89" s="367"/>
      <c r="C89" s="475"/>
      <c r="D89" s="476"/>
      <c r="E89" s="476"/>
      <c r="F89" s="476"/>
      <c r="G89" s="476"/>
      <c r="H89" s="476"/>
      <c r="I89" s="476"/>
      <c r="J89" s="476"/>
      <c r="K89" s="477"/>
    </row>
    <row r="90" spans="1:16" ht="13.9">
      <c r="A90" s="495"/>
      <c r="B90" s="368" t="s">
        <v>204</v>
      </c>
      <c r="C90" s="310" t="s">
        <v>252</v>
      </c>
      <c r="D90" s="397" t="b">
        <v>0</v>
      </c>
      <c r="E90" s="264">
        <f>Takeoff!F58+Takeoff!H36</f>
        <v>215</v>
      </c>
      <c r="F90" s="307" t="b">
        <f>IF(D90=TRUE,ROUNDUP(E90/50,))</f>
        <v>0</v>
      </c>
      <c r="G90" s="308">
        <v>565</v>
      </c>
      <c r="H90" s="289" t="s">
        <v>253</v>
      </c>
      <c r="I90" s="309"/>
      <c r="J90" s="289"/>
      <c r="K90" s="373" t="b">
        <f>IF(A83=TRUE,G90*F90)</f>
        <v>0</v>
      </c>
      <c r="L90" s="385" t="b">
        <v>0</v>
      </c>
    </row>
    <row r="91" spans="1:16" ht="13.9">
      <c r="A91" s="495"/>
      <c r="B91" s="365" t="s">
        <v>204</v>
      </c>
      <c r="C91" s="310" t="s">
        <v>254</v>
      </c>
      <c r="D91" s="396" t="b">
        <v>0</v>
      </c>
      <c r="E91" s="250">
        <f>Takeoff!F58+Takeoff!H36</f>
        <v>215</v>
      </c>
      <c r="F91" s="307" t="b">
        <f>IF(D91=TRUE,ROUNDUP(E91/50,))</f>
        <v>0</v>
      </c>
      <c r="G91" s="297">
        <v>285</v>
      </c>
      <c r="H91" s="246" t="s">
        <v>253</v>
      </c>
      <c r="I91" s="256"/>
      <c r="J91" s="246"/>
      <c r="K91" s="373" t="b">
        <f>IF(A83=TRUE,G91*F91)</f>
        <v>0</v>
      </c>
      <c r="L91" s="385" t="b">
        <v>0</v>
      </c>
      <c r="P91" s="244"/>
    </row>
    <row r="92" spans="1:16" ht="13.9">
      <c r="A92" s="495" t="str">
        <f>IF(C92="InnoviTPO Universal Pipe Boot","r6200060")</f>
        <v>r6200060</v>
      </c>
      <c r="B92" s="365" t="s">
        <v>204</v>
      </c>
      <c r="C92" s="263" t="s">
        <v>255</v>
      </c>
      <c r="D92" s="311"/>
      <c r="E92" s="250"/>
      <c r="F92" s="288">
        <f>ROUNDUP(Takeoff!C41,)</f>
        <v>0</v>
      </c>
      <c r="G92" s="267">
        <f>IFERROR(INDEX(prclst[linprc], MATCH('Flat Roof Summary'!A92, prclst[prtnum], 0)), 0)</f>
        <v>43.25</v>
      </c>
      <c r="H92" s="246" t="s">
        <v>256</v>
      </c>
      <c r="I92" s="256"/>
      <c r="J92" s="246"/>
      <c r="K92" s="373" t="b">
        <f>IF(A83=TRUE,G92*F92)</f>
        <v>0</v>
      </c>
      <c r="L92" s="385" t="b">
        <v>0</v>
      </c>
    </row>
    <row r="93" spans="1:16" ht="13.9">
      <c r="A93" s="495" t="str">
        <f>IF(C93="TPO In/Out Corner","p965210")</f>
        <v>p965210</v>
      </c>
      <c r="B93" s="365" t="s">
        <v>204</v>
      </c>
      <c r="C93" s="263" t="s">
        <v>257</v>
      </c>
      <c r="D93" s="311"/>
      <c r="E93" s="250"/>
      <c r="F93" s="288">
        <f>ROUNDUP((SUM(Takeoff!C32:C35)*4)+Takeoff!F16,)</f>
        <v>10</v>
      </c>
      <c r="G93" s="267">
        <f>IFERROR(INDEX(prclst[linprc], MATCH('Flat Roof Summary'!A93, prclst[prtnum], 0)), 0)</f>
        <v>16.75</v>
      </c>
      <c r="H93" s="246" t="s">
        <v>249</v>
      </c>
      <c r="I93" s="256"/>
      <c r="J93" s="246"/>
      <c r="K93" s="373" t="b">
        <f>IF(A83=TRUE,G93*F93)</f>
        <v>0</v>
      </c>
      <c r="L93" s="385" t="b">
        <v>0</v>
      </c>
    </row>
    <row r="94" spans="1:16" ht="13.9">
      <c r="A94" s="495" t="str">
        <f>IF(C94="Rhinobond Plate","p628011")</f>
        <v>p628011</v>
      </c>
      <c r="B94" s="365" t="s">
        <v>204</v>
      </c>
      <c r="C94" s="263" t="s">
        <v>258</v>
      </c>
      <c r="D94" s="311"/>
      <c r="E94" s="250"/>
      <c r="F94" s="288">
        <f>ROUNDUP(((Takeoff!H36 + Takeoff!F58) +
       (MAX('Flat Roof Summary'!F25, 'Flat Roof Summary'!F26, 'Flat Roof Summary'!F28) * 10))
       / 500 * 1.2,)</f>
        <v>2</v>
      </c>
      <c r="G94" s="267">
        <f>IFERROR(INDEX(prclst[linprc], MATCH('Flat Roof Summary'!A94, prclst[prtnum], 0)), 0)</f>
        <v>603.75</v>
      </c>
      <c r="H94" s="246" t="s">
        <v>249</v>
      </c>
      <c r="I94" s="256"/>
      <c r="J94" s="246"/>
      <c r="K94" s="373" t="b">
        <f>IF(A83=TRUE,G94*F94)</f>
        <v>0</v>
      </c>
      <c r="L94" s="385" t="b">
        <v>0</v>
      </c>
    </row>
    <row r="95" spans="1:16" ht="13.9">
      <c r="A95" s="495"/>
      <c r="B95" s="365" t="s">
        <v>204</v>
      </c>
      <c r="C95" s="263" t="s">
        <v>259</v>
      </c>
      <c r="D95" s="311"/>
      <c r="E95" s="250"/>
      <c r="F95" s="288">
        <f>ROUNDUP(F94*0.5,)</f>
        <v>1</v>
      </c>
      <c r="G95" s="305">
        <v>375</v>
      </c>
      <c r="H95" s="246" t="s">
        <v>249</v>
      </c>
      <c r="I95" s="256"/>
      <c r="J95" s="246"/>
      <c r="K95" s="373" t="b">
        <f>IF(A83=TRUE,G95*F95)</f>
        <v>0</v>
      </c>
      <c r="L95" s="385" t="b">
        <v>0</v>
      </c>
    </row>
    <row r="96" spans="1:16" ht="19.5" customHeight="1">
      <c r="A96" s="495" t="str">
        <f>IF(C96="Lap Sealant","s2830001")</f>
        <v>s2830001</v>
      </c>
      <c r="B96" s="365" t="s">
        <v>204</v>
      </c>
      <c r="C96" s="263" t="s">
        <v>240</v>
      </c>
      <c r="D96" s="311" t="s">
        <v>241</v>
      </c>
      <c r="E96" s="288">
        <f>F87*(220)+100</f>
        <v>100</v>
      </c>
      <c r="F96" s="288">
        <f>ROUNDUP(E96/20,)</f>
        <v>5</v>
      </c>
      <c r="G96" s="267">
        <f>IFERROR(INDEX(prclst[linprc], MATCH('Flat Roof Summary'!A96, prclst[prtnum], 0)), 0)</f>
        <v>12.1</v>
      </c>
      <c r="H96" s="246" t="str">
        <f>IFERROR(
    INDEX(prclst[source], MATCH('Flat Roof Summary'!A96, prclst[prtnum], 0)) &amp;
    IF(
        ISNUMBER(INDEX(prclst[invdte], MATCH('Flat Roof Summary'!A96, prclst[prtnum], 0))),
        " " &amp; TEXT(INDEX(prclst[invdte], MATCH('Flat Roof Summary'!A96, prclst[prtnum], 0)), "yyyy"),
        ""
    ),
    "N/A"
)</f>
        <v>Sage 2024</v>
      </c>
      <c r="I96" s="256"/>
      <c r="J96" s="246"/>
      <c r="K96" s="373" t="b">
        <f>IF(A83=TRUE,G96*F96)</f>
        <v>0</v>
      </c>
      <c r="L96" s="385" t="b">
        <v>0</v>
      </c>
    </row>
    <row r="97" spans="1:12" ht="13.9">
      <c r="A97" s="495" t="str">
        <f>IF(C97="Tuck Tape","s2820005")</f>
        <v>s2820005</v>
      </c>
      <c r="B97" s="365" t="s">
        <v>204</v>
      </c>
      <c r="C97" s="263" t="s">
        <v>260</v>
      </c>
      <c r="D97" s="311"/>
      <c r="E97" s="250"/>
      <c r="F97" s="288"/>
      <c r="G97" s="267">
        <f>IFERROR(INDEX(prclst[linprc], MATCH('Flat Roof Summary'!A97, prclst[prtnum], 0)), 0)</f>
        <v>0.96</v>
      </c>
      <c r="H97" s="246" t="str">
        <f>IFERROR(
    INDEX(prclst[source], MATCH('Flat Roof Summary'!A97, prclst[prtnum], 0)) &amp;
    IF(
        ISNUMBER(INDEX(prclst[invdte], MATCH('Flat Roof Summary'!A97, prclst[prtnum], 0))),
        " " &amp; TEXT(INDEX(prclst[invdte], MATCH('Flat Roof Summary'!A97, prclst[prtnum], 0)), "yyyy"),
        ""
    ),
    "N/A"
)</f>
        <v>Sage 2025</v>
      </c>
      <c r="I97" s="256"/>
      <c r="J97" s="246"/>
      <c r="K97" s="373" t="b">
        <f>IF(A83=TRUE,G97*F97)</f>
        <v>0</v>
      </c>
      <c r="L97" s="385" t="b">
        <v>0</v>
      </c>
    </row>
    <row r="98" spans="1:12">
      <c r="A98" s="495"/>
      <c r="B98" s="365"/>
      <c r="C98" s="482"/>
      <c r="D98" s="483"/>
      <c r="E98" s="483"/>
      <c r="F98" s="483"/>
      <c r="G98" s="483"/>
      <c r="H98" s="483"/>
      <c r="I98" s="483"/>
      <c r="J98" s="483"/>
      <c r="K98" s="484"/>
    </row>
    <row r="99" spans="1:12" ht="13.9">
      <c r="A99" s="495" t="str">
        <f>IF(C99="TPO Primer","p965805")</f>
        <v>p965805</v>
      </c>
      <c r="B99" s="365" t="s">
        <v>193</v>
      </c>
      <c r="C99" s="263" t="s">
        <v>261</v>
      </c>
      <c r="D99" s="311" t="s">
        <v>262</v>
      </c>
      <c r="E99" s="288">
        <f>F87*(220)+100</f>
        <v>100</v>
      </c>
      <c r="F99" s="288">
        <f>ROUNDUP(E99/650,)</f>
        <v>1</v>
      </c>
      <c r="G99" s="267">
        <f>IFERROR(INDEX(prclst[linprc], MATCH('Flat Roof Summary'!A99, prclst[prtnum], 0)), 0)</f>
        <v>63.5</v>
      </c>
      <c r="H99" s="246" t="str">
        <f>IFERROR(
    INDEX(prclst[source], MATCH('Flat Roof Summary'!A99, prclst[prtnum], 0)) &amp;
    IF(
        ISNUMBER(INDEX(prclst[invdte], MATCH('Flat Roof Summary'!A99, prclst[prtnum], 0))),
        " " &amp; TEXT(INDEX(prclst[invdte], MATCH('Flat Roof Summary'!A99, prclst[prtnum], 0)), "yyyy"),
        ""
    ),
    "N/A"
)</f>
        <v>Proline 2025 2025</v>
      </c>
      <c r="I99" s="256"/>
      <c r="J99" s="246"/>
      <c r="K99" s="431" t="b">
        <f>IF(A83=TRUE,G99*F99)</f>
        <v>0</v>
      </c>
      <c r="L99" s="385" t="b">
        <v>0</v>
      </c>
    </row>
    <row r="100" spans="1:12" ht="13.9">
      <c r="A100" s="495" t="str">
        <f>IF(C100="Bonding Adhesive TPO - SureWeld","p965800")</f>
        <v>p965800</v>
      </c>
      <c r="B100" s="364" t="s">
        <v>193</v>
      </c>
      <c r="C100" s="263" t="s">
        <v>263</v>
      </c>
      <c r="D100" s="299" t="s">
        <v>264</v>
      </c>
      <c r="E100" s="288">
        <f>Takeoff!F13</f>
        <v>1370</v>
      </c>
      <c r="F100" s="288">
        <f>IF(J87="Adhered",ROUNDUP(E100/250,),0)</f>
        <v>0</v>
      </c>
      <c r="G100" s="267">
        <f>IFERROR(INDEX(prclst[linprc], MATCH('Flat Roof Summary'!A100, prclst[prtnum], 0)), 0)</f>
        <v>205.6</v>
      </c>
      <c r="H100" s="246" t="str">
        <f>IFERROR(
    INDEX(prclst[source], MATCH('Flat Roof Summary'!A100, prclst[prtnum], 0)) &amp;
    IF(
        ISNUMBER(INDEX(prclst[invdte], MATCH('Flat Roof Summary'!A100, prclst[prtnum], 0))),
        " " &amp; TEXT(INDEX(prclst[invdte], MATCH('Flat Roof Summary'!A100, prclst[prtnum], 0)), "yyyy"),
        ""
    ),
    "N/A"
)</f>
        <v>Proline 2025 2025</v>
      </c>
      <c r="I100" s="250"/>
      <c r="J100" s="250"/>
      <c r="K100" s="455" t="b">
        <f>IF(A83=TRUE,G100*F100)</f>
        <v>0</v>
      </c>
      <c r="L100" s="385" t="b">
        <v>0</v>
      </c>
    </row>
    <row r="101" spans="1:12" ht="13.9">
      <c r="A101" s="495"/>
      <c r="B101" s="365" t="s">
        <v>193</v>
      </c>
      <c r="C101" s="389" t="s">
        <v>247</v>
      </c>
      <c r="D101" s="390" t="s">
        <v>248</v>
      </c>
      <c r="E101" s="391">
        <f>Takeoff!M58+Takeoff!G36</f>
        <v>250.83333333333334</v>
      </c>
      <c r="F101" s="391">
        <f>ROUNDUP(E101/1500,)</f>
        <v>1</v>
      </c>
      <c r="G101" s="392">
        <v>1000</v>
      </c>
      <c r="H101" s="312" t="s">
        <v>249</v>
      </c>
      <c r="I101" s="379"/>
      <c r="J101" s="433"/>
      <c r="K101" s="456" t="b">
        <f>IF(A83=TRUE,G101*F101)</f>
        <v>0</v>
      </c>
      <c r="L101" s="385" t="b">
        <v>0</v>
      </c>
    </row>
    <row r="102" spans="1:12">
      <c r="A102" s="495"/>
      <c r="B102" s="393"/>
      <c r="C102" s="478"/>
      <c r="D102" s="478"/>
      <c r="E102" s="478"/>
      <c r="F102" s="478"/>
      <c r="G102" s="478"/>
      <c r="H102" s="478"/>
      <c r="I102" s="478"/>
      <c r="J102" s="478"/>
      <c r="K102" s="479"/>
    </row>
    <row r="103" spans="1:12" ht="15.75" customHeight="1">
      <c r="A103" s="495"/>
      <c r="B103" s="457" t="s">
        <v>265</v>
      </c>
      <c r="C103" s="458" t="s">
        <v>71</v>
      </c>
      <c r="D103" s="459"/>
      <c r="E103" s="460"/>
      <c r="F103" s="460">
        <f>Takeoff!F48</f>
        <v>6</v>
      </c>
      <c r="G103" s="461">
        <v>0</v>
      </c>
      <c r="H103" s="246"/>
      <c r="I103" s="249"/>
      <c r="J103" s="432"/>
      <c r="K103" s="257">
        <f>SUM(G103*F103)</f>
        <v>0</v>
      </c>
      <c r="L103" s="385" t="b">
        <v>0</v>
      </c>
    </row>
    <row r="104" spans="1:12" ht="16.899999999999999" customHeight="1">
      <c r="A104" s="495"/>
      <c r="B104" s="278" t="s">
        <v>265</v>
      </c>
      <c r="C104" s="266" t="str">
        <f>Takeoff!B46</f>
        <v>Scuppers</v>
      </c>
      <c r="D104" s="281"/>
      <c r="E104" s="265"/>
      <c r="F104" s="265">
        <f>Takeoff!F46</f>
        <v>0</v>
      </c>
      <c r="G104" s="267">
        <v>185</v>
      </c>
      <c r="H104" s="246"/>
      <c r="I104" s="249"/>
      <c r="J104" s="250"/>
      <c r="K104" s="454">
        <f>SUM(G104*F104)</f>
        <v>0</v>
      </c>
      <c r="L104" s="385" t="b">
        <v>0</v>
      </c>
    </row>
    <row r="105" spans="1:12" ht="16.899999999999999" customHeight="1">
      <c r="A105" s="495"/>
      <c r="B105" s="278"/>
      <c r="C105" s="468"/>
      <c r="D105" s="273"/>
      <c r="E105" s="273"/>
      <c r="F105" s="273"/>
      <c r="G105" s="273"/>
      <c r="H105" s="244"/>
      <c r="I105" s="244"/>
      <c r="J105" s="244"/>
      <c r="K105" s="469"/>
    </row>
    <row r="106" spans="1:12">
      <c r="A106" s="495"/>
      <c r="B106" s="278" t="s">
        <v>266</v>
      </c>
      <c r="C106" s="266" t="str">
        <f>Takeoff!B42</f>
        <v>B-Vents</v>
      </c>
      <c r="D106" s="281"/>
      <c r="E106" s="241"/>
      <c r="F106" s="265">
        <f>Takeoff!F42</f>
        <v>0</v>
      </c>
      <c r="G106" s="267">
        <v>75</v>
      </c>
      <c r="H106" s="246"/>
      <c r="I106" s="249"/>
      <c r="J106" s="250"/>
      <c r="K106" s="257">
        <f>SUM(G106*F106)</f>
        <v>0</v>
      </c>
      <c r="L106" s="385" t="b">
        <v>0</v>
      </c>
    </row>
    <row r="107" spans="1:12">
      <c r="A107" s="495"/>
      <c r="B107" s="278" t="s">
        <v>266</v>
      </c>
      <c r="C107" s="266" t="str">
        <f>Takeoff!B43</f>
        <v>Hood Vents</v>
      </c>
      <c r="D107" s="281"/>
      <c r="E107" s="241"/>
      <c r="F107" s="265">
        <f>Takeoff!F43</f>
        <v>0</v>
      </c>
      <c r="G107" s="267">
        <v>75</v>
      </c>
      <c r="H107" s="246"/>
      <c r="I107" s="249"/>
      <c r="J107" s="250"/>
      <c r="K107" s="257">
        <f>SUM(G107*F107)</f>
        <v>0</v>
      </c>
      <c r="L107" s="385" t="b">
        <v>0</v>
      </c>
    </row>
    <row r="108" spans="1:12">
      <c r="A108" s="495"/>
      <c r="B108" s="278" t="s">
        <v>266</v>
      </c>
      <c r="C108" s="266" t="str">
        <f>Takeoff!B44</f>
        <v>Plumb Vents</v>
      </c>
      <c r="D108" s="281"/>
      <c r="E108" s="241"/>
      <c r="F108" s="265">
        <f>Takeoff!F44</f>
        <v>0</v>
      </c>
      <c r="G108" s="267">
        <v>75</v>
      </c>
      <c r="H108" s="246"/>
      <c r="I108" s="249"/>
      <c r="J108" s="250"/>
      <c r="K108" s="257">
        <f>SUM(G108*F108)</f>
        <v>0</v>
      </c>
      <c r="L108" s="385" t="b">
        <v>0</v>
      </c>
    </row>
    <row r="109" spans="1:12">
      <c r="A109" s="495"/>
      <c r="B109" s="278" t="s">
        <v>266</v>
      </c>
      <c r="C109" s="266" t="str">
        <f>Takeoff!B45</f>
        <v>Gum Boxes</v>
      </c>
      <c r="D109" s="281"/>
      <c r="E109" s="241"/>
      <c r="F109" s="265">
        <f>Takeoff!F45</f>
        <v>0</v>
      </c>
      <c r="G109" s="267">
        <v>75</v>
      </c>
      <c r="H109" s="246"/>
      <c r="I109" s="249"/>
      <c r="J109" s="250"/>
      <c r="K109" s="257">
        <f>SUM(G109*F109)</f>
        <v>0</v>
      </c>
      <c r="L109" s="385" t="b">
        <v>0</v>
      </c>
    </row>
    <row r="110" spans="1:12" ht="19.5" customHeight="1">
      <c r="A110" s="495"/>
      <c r="B110" s="278"/>
      <c r="C110" s="468"/>
      <c r="D110" s="273"/>
      <c r="E110" s="273"/>
      <c r="F110" s="273"/>
      <c r="G110" s="273"/>
      <c r="H110" s="244"/>
      <c r="I110" s="466"/>
      <c r="J110" s="244"/>
      <c r="K110" s="469"/>
    </row>
    <row r="111" spans="1:12" ht="13.9">
      <c r="A111" s="495"/>
      <c r="B111" s="278" t="s">
        <v>267</v>
      </c>
      <c r="C111" s="266" t="s">
        <v>268</v>
      </c>
      <c r="D111" s="395" t="b">
        <v>1</v>
      </c>
      <c r="E111" s="241">
        <f>Takeoff!F58</f>
        <v>215</v>
      </c>
      <c r="F111" s="265">
        <f>ROUNDUP((IF(D111=TRUE,E111/8/8,0)),0)</f>
        <v>4</v>
      </c>
      <c r="G111" s="267">
        <v>85</v>
      </c>
      <c r="H111" s="246"/>
      <c r="I111" s="249"/>
      <c r="J111" s="250"/>
      <c r="K111" s="257">
        <f>SUM(G111*F111)</f>
        <v>340</v>
      </c>
      <c r="L111" s="385" t="b">
        <v>0</v>
      </c>
    </row>
    <row r="112" spans="1:12" ht="13.9">
      <c r="A112" s="495"/>
      <c r="B112" s="278" t="s">
        <v>267</v>
      </c>
      <c r="C112" s="428" t="s">
        <v>269</v>
      </c>
      <c r="D112" s="529"/>
      <c r="E112" s="287">
        <f>Takeoff!P58</f>
        <v>107.5</v>
      </c>
      <c r="F112" s="287">
        <f>ROUNDUP(((E112/30)*1.5),0)</f>
        <v>6</v>
      </c>
      <c r="G112" s="293">
        <v>65</v>
      </c>
      <c r="H112" s="377"/>
      <c r="I112" s="378"/>
      <c r="J112" s="379"/>
      <c r="K112" s="530">
        <f>SUM(G112*F112)</f>
        <v>390</v>
      </c>
      <c r="L112" s="385" t="b">
        <v>0</v>
      </c>
    </row>
    <row r="113" spans="1:12" ht="13.9">
      <c r="A113" s="495"/>
      <c r="B113" s="294" t="s">
        <v>267</v>
      </c>
      <c r="C113" s="263" t="s">
        <v>270</v>
      </c>
      <c r="D113" s="299" t="s">
        <v>271</v>
      </c>
      <c r="E113" s="288">
        <f>Takeoff!M65</f>
        <v>0</v>
      </c>
      <c r="F113" s="288">
        <f>Takeoff!N65</f>
        <v>0</v>
      </c>
      <c r="G113" s="297">
        <v>10</v>
      </c>
      <c r="H113" s="742" t="s">
        <v>272</v>
      </c>
      <c r="I113" s="742"/>
      <c r="J113" s="742"/>
      <c r="K113" s="257">
        <f>SUM(G113*E113)</f>
        <v>0</v>
      </c>
      <c r="L113" s="385" t="b">
        <v>0</v>
      </c>
    </row>
    <row r="114" spans="1:12">
      <c r="A114" s="495"/>
      <c r="B114" s="278"/>
      <c r="C114" s="470"/>
      <c r="D114" s="471"/>
      <c r="E114" s="471"/>
      <c r="F114" s="471"/>
      <c r="G114" s="471"/>
      <c r="H114" s="244"/>
      <c r="I114" s="244"/>
      <c r="J114" s="244"/>
      <c r="K114" s="469"/>
    </row>
    <row r="115" spans="1:12">
      <c r="A115" s="495"/>
      <c r="B115" s="278" t="s">
        <v>79</v>
      </c>
      <c r="C115" s="266" t="s">
        <v>273</v>
      </c>
      <c r="D115" s="281"/>
      <c r="E115" s="241">
        <f>SUMIF(Takeoff!E53:E57, "Cant", Takeoff!F53:F57)</f>
        <v>0</v>
      </c>
      <c r="F115" s="279">
        <v>0</v>
      </c>
      <c r="G115" s="267">
        <v>15</v>
      </c>
      <c r="H115" s="246"/>
      <c r="I115" s="249"/>
      <c r="J115" s="250"/>
      <c r="K115" s="257">
        <f t="shared" ref="K115:K121" si="6">SUM(G115*F115)</f>
        <v>0</v>
      </c>
      <c r="L115" s="385" t="b">
        <v>0</v>
      </c>
    </row>
    <row r="116" spans="1:12" ht="13.9">
      <c r="A116" s="495"/>
      <c r="B116" s="278" t="s">
        <v>79</v>
      </c>
      <c r="C116" s="266" t="s">
        <v>274</v>
      </c>
      <c r="D116" s="268" t="s">
        <v>275</v>
      </c>
      <c r="E116" s="241"/>
      <c r="F116" s="279">
        <v>50</v>
      </c>
      <c r="G116" s="267">
        <v>10</v>
      </c>
      <c r="H116" s="246"/>
      <c r="I116" s="249"/>
      <c r="J116" s="250"/>
      <c r="K116" s="257">
        <f t="shared" si="6"/>
        <v>500</v>
      </c>
      <c r="L116" s="385" t="b">
        <v>0</v>
      </c>
    </row>
    <row r="117" spans="1:12">
      <c r="A117" s="495"/>
      <c r="B117" s="278" t="s">
        <v>79</v>
      </c>
      <c r="C117" s="266" t="s">
        <v>276</v>
      </c>
      <c r="D117" s="281"/>
      <c r="E117" s="241"/>
      <c r="F117" s="279">
        <v>0</v>
      </c>
      <c r="G117" s="267">
        <v>15</v>
      </c>
      <c r="H117" s="246"/>
      <c r="I117" s="249"/>
      <c r="J117" s="250"/>
      <c r="K117" s="257">
        <f t="shared" si="6"/>
        <v>0</v>
      </c>
      <c r="L117" s="385" t="b">
        <v>0</v>
      </c>
    </row>
    <row r="118" spans="1:12">
      <c r="A118" s="495"/>
      <c r="B118" s="278" t="s">
        <v>79</v>
      </c>
      <c r="C118" s="266" t="s">
        <v>277</v>
      </c>
      <c r="D118" s="281"/>
      <c r="E118" s="241">
        <f>E116</f>
        <v>0</v>
      </c>
      <c r="F118" s="279">
        <v>0</v>
      </c>
      <c r="G118" s="267">
        <v>20</v>
      </c>
      <c r="H118" s="246"/>
      <c r="I118" s="249"/>
      <c r="J118" s="250"/>
      <c r="K118" s="257">
        <f t="shared" si="6"/>
        <v>0</v>
      </c>
      <c r="L118" s="385" t="b">
        <v>0</v>
      </c>
    </row>
    <row r="119" spans="1:12" ht="15" customHeight="1">
      <c r="A119" s="497"/>
      <c r="B119" s="278" t="s">
        <v>79</v>
      </c>
      <c r="C119" s="266" t="s">
        <v>278</v>
      </c>
      <c r="D119" s="395" t="b">
        <v>0</v>
      </c>
      <c r="E119" s="241"/>
      <c r="F119" s="265" cm="1">
        <f t="array" ref="F119">IF(D119=TRUE, ROUNDUP((Takeoff!O58/32) + SUMPRODUCT((Takeoff!E68:E76="Plywood") * (Takeoff!H68:H76)),), 0)</f>
        <v>0</v>
      </c>
      <c r="G119" s="267">
        <v>70</v>
      </c>
      <c r="H119" s="246"/>
      <c r="I119" s="249"/>
      <c r="J119" s="250"/>
      <c r="K119" s="257">
        <f t="shared" si="6"/>
        <v>0</v>
      </c>
      <c r="L119" s="385" t="b">
        <v>0</v>
      </c>
    </row>
    <row r="120" spans="1:12" ht="15.75" customHeight="1">
      <c r="A120" s="495"/>
      <c r="B120" s="278" t="s">
        <v>79</v>
      </c>
      <c r="C120" s="428" t="s">
        <v>279</v>
      </c>
      <c r="D120" s="429" t="b">
        <v>1</v>
      </c>
      <c r="E120" s="430"/>
      <c r="F120" s="287" cm="1">
        <f t="array" ref="F120">IF(D120=TRUE, ROUNDUP((Takeoff!O58/32) + SUMPRODUCT((Takeoff!E68:E76="Plywood") * (Takeoff!H68:H76)),), 0)</f>
        <v>5</v>
      </c>
      <c r="G120" s="293">
        <v>40</v>
      </c>
      <c r="H120" s="377"/>
      <c r="I120" s="378"/>
      <c r="J120" s="379"/>
      <c r="K120" s="257">
        <f t="shared" si="6"/>
        <v>200</v>
      </c>
      <c r="L120" s="385" t="b">
        <v>0</v>
      </c>
    </row>
    <row r="121" spans="1:12" ht="13.9">
      <c r="A121" s="495" t="e">
        <f>VLOOKUP(C121,Dropdown!H28:I31, 2, FALSE)</f>
        <v>#N/A</v>
      </c>
      <c r="B121" s="294" t="s">
        <v>164</v>
      </c>
      <c r="C121" s="453" t="s">
        <v>128</v>
      </c>
      <c r="D121" s="452" t="b">
        <v>0</v>
      </c>
      <c r="E121" s="246"/>
      <c r="F121" s="313">
        <f>ROUNDUP(SUM(Takeoff!G79:G83),)</f>
        <v>0</v>
      </c>
      <c r="G121" s="267">
        <f>IFERROR(INDEX(prclst[linprc], MATCH('Flat Roof Summary'!A121, prclst[prtnum], 0)), 0)</f>
        <v>0</v>
      </c>
      <c r="H121" s="246" t="str">
        <f>IFERROR(
    INDEX(prclst[source], MATCH('Flat Roof Summary'!A121, prclst[prtnum], 0)) &amp;
    IF(
        ISNUMBER(INDEX(prclst[invdte], MATCH('Flat Roof Summary'!A121, prclst[prtnum], 0))),
        " " &amp; TEXT(INDEX(prclst[invdte], MATCH('Flat Roof Summary'!A121, prclst[prtnum], 0)), "yyyy"),
        ""
    ),
    "N/A"
)</f>
        <v>N/A</v>
      </c>
      <c r="I121" s="246"/>
      <c r="J121" s="246"/>
      <c r="K121" s="454">
        <f t="shared" si="6"/>
        <v>0</v>
      </c>
      <c r="L121" s="385" t="b">
        <v>0</v>
      </c>
    </row>
    <row r="122" spans="1:12">
      <c r="A122" s="495"/>
      <c r="B122" s="278"/>
      <c r="C122" s="470"/>
      <c r="D122" s="471"/>
      <c r="E122" s="471"/>
      <c r="F122" s="471"/>
      <c r="G122" s="471"/>
      <c r="H122" s="244"/>
      <c r="I122" s="244"/>
      <c r="J122" s="244"/>
      <c r="K122" s="469"/>
    </row>
    <row r="123" spans="1:12">
      <c r="A123" s="495"/>
      <c r="B123" s="278"/>
      <c r="C123" s="266" t="s">
        <v>280</v>
      </c>
      <c r="D123" s="281"/>
      <c r="E123" s="241"/>
      <c r="F123" s="241">
        <f>ROUNDUP(SUM(C15/50*3.25),0)</f>
        <v>1</v>
      </c>
      <c r="G123" s="267">
        <v>250</v>
      </c>
      <c r="H123" s="246"/>
      <c r="I123" s="249"/>
      <c r="J123" s="250"/>
      <c r="K123" s="257">
        <f>G123*F123</f>
        <v>250</v>
      </c>
      <c r="L123" s="385" t="b">
        <v>0</v>
      </c>
    </row>
    <row r="124" spans="1:12" ht="13.9">
      <c r="A124" s="495"/>
      <c r="B124" s="278"/>
      <c r="C124" s="266" t="s">
        <v>281</v>
      </c>
      <c r="D124" s="268">
        <v>1</v>
      </c>
      <c r="E124" s="241">
        <f>SUM(C15*1)</f>
        <v>14</v>
      </c>
      <c r="F124" s="265">
        <f>C15</f>
        <v>14</v>
      </c>
      <c r="G124" s="267">
        <v>70</v>
      </c>
      <c r="H124" s="246"/>
      <c r="I124" s="249"/>
      <c r="J124" s="250"/>
      <c r="K124" s="257">
        <f>SUM(G124*F124)</f>
        <v>980</v>
      </c>
      <c r="L124" s="385" t="b">
        <v>0</v>
      </c>
    </row>
    <row r="125" spans="1:12" ht="13.9">
      <c r="A125" s="495"/>
      <c r="B125" s="278"/>
      <c r="C125" s="266" t="s">
        <v>282</v>
      </c>
      <c r="D125" s="395" t="b">
        <v>1</v>
      </c>
      <c r="E125" s="241"/>
      <c r="F125" s="265"/>
      <c r="G125" s="267">
        <f>IF(D125=TRUE,250+((C15/7*20)))</f>
        <v>290</v>
      </c>
      <c r="H125" s="267"/>
      <c r="I125" s="249"/>
      <c r="J125" s="250"/>
      <c r="K125" s="257">
        <f>IF(D125=TRUE, G125, 0)</f>
        <v>290</v>
      </c>
      <c r="L125" s="385" t="b">
        <v>0</v>
      </c>
    </row>
    <row r="126" spans="1:12">
      <c r="A126" s="495"/>
      <c r="E126" s="228"/>
      <c r="F126" s="223"/>
      <c r="G126" s="227"/>
      <c r="H126" s="233"/>
      <c r="I126" s="228" t="s">
        <v>17</v>
      </c>
      <c r="J126" s="228"/>
    </row>
    <row r="127" spans="1:12" ht="13.9">
      <c r="A127" s="495"/>
      <c r="B127" s="298" t="s">
        <v>283</v>
      </c>
      <c r="C127" s="269"/>
      <c r="D127" s="269"/>
      <c r="E127" s="269"/>
      <c r="F127" s="270"/>
      <c r="G127" s="271"/>
      <c r="H127" s="272"/>
      <c r="I127" s="273">
        <f>SUM(I17:I39,I61,I64:I66,I68,I84,I87)</f>
        <v>7.5</v>
      </c>
      <c r="J127" s="269"/>
      <c r="K127" s="462">
        <f>SUM(K17:K126)</f>
        <v>20117.349999999999</v>
      </c>
      <c r="L127" s="385" t="b">
        <v>0</v>
      </c>
    </row>
    <row r="128" spans="1:12">
      <c r="E128" s="228"/>
    </row>
    <row r="133" spans="3:4" ht="13.9">
      <c r="C133" s="275"/>
      <c r="D133" s="275"/>
    </row>
  </sheetData>
  <protectedRanges>
    <protectedRange sqref="B91:B101 C47:E48 C91:C94 C45:F46 C53:D54 F21 K61:K62 C96:C99 D96 K64:K66 B90:K90 K72:K77 K79:K81 K84:K85 K91:K97 K99:K101 C17:D23 E17:F20 E22:F23 C86:K88 C49:F52 C55:F55 A60 C82:K83 L17:L34 B17:B34 D91:J95 M83 G45:K55 H61 G65:H65 C68:K70 C73:J73 G74:H74 G76:H77 G79:H80 G96:J96 D97:J99 G100:H100 B103:K127 G17:K23 C24:K32 L36:L55 B36:B55 B35:C35 C34 C36:C39 G35:L35 D34:D39 C33:D33 F33:K33 B60:B88 C40:K44 B58:C59 D59:L59 H56:L58 B56:G57 D58:G58 G34:K34 F34:F39 G36:K39" name="Editable Cells"/>
    <protectedRange sqref="E54:F54" name="Editable Cells_2"/>
    <protectedRange sqref="E53:F53" name="Editable Cells_4"/>
  </protectedRanges>
  <dataConsolidate link="1"/>
  <mergeCells count="5">
    <mergeCell ref="H113:J113"/>
    <mergeCell ref="K5:N10"/>
    <mergeCell ref="C1:D1"/>
    <mergeCell ref="C2:D2"/>
    <mergeCell ref="E4:F4"/>
  </mergeCells>
  <phoneticPr fontId="29" type="noConversion"/>
  <conditionalFormatting sqref="B61:K82">
    <cfRule type="expression" dxfId="18" priority="9">
      <formula>$A$60=FALSE</formula>
    </cfRule>
  </conditionalFormatting>
  <conditionalFormatting sqref="B84:K101">
    <cfRule type="expression" dxfId="17" priority="20">
      <formula>$A$83=FALSE</formula>
    </cfRule>
  </conditionalFormatting>
  <dataValidations xWindow="35" yWindow="1653" count="17">
    <dataValidation type="list" allowBlank="1" showInputMessage="1" showErrorMessage="1" sqref="D29" xr:uid="{00000000-0002-0000-0100-000009000000}">
      <formula1>"Wall, Field, Both"</formula1>
    </dataValidation>
    <dataValidation type="list" allowBlank="1" showInputMessage="1" showErrorMessage="1" sqref="C44" xr:uid="{00000000-0002-0000-0100-00000C000000}">
      <formula1>"BUR Gravel,EPDM Gravel,Concrete Pavers, Ballast"</formula1>
    </dataValidation>
    <dataValidation type="list" allowBlank="1" showInputMessage="1" showErrorMessage="1" sqref="J44 J88" xr:uid="{78CC92C6-80BB-4BB1-A544-2DFA0691773A}">
      <formula1>"N/A, Adhesive, Glued, Screwed, Mopped, Torched, Loose Laid"</formula1>
    </dataValidation>
    <dataValidation type="list" allowBlank="1" showInputMessage="1" showErrorMessage="1" sqref="J25:J29" xr:uid="{A008519F-0EF2-42AF-8151-1937DA6CF866}">
      <formula1>"N/A, Adhesive, Screwed, Mopped, Torched, Loose Laid"</formula1>
    </dataValidation>
    <dataValidation type="list" allowBlank="1" showInputMessage="1" showErrorMessage="1" sqref="J17" xr:uid="{17867308-0C6B-4AB6-89E8-FB0403D5CA33}">
      <formula1>"N/A, Glued, Mopped, Torched, Screwed, Loose Laid"</formula1>
    </dataValidation>
    <dataValidation type="list" allowBlank="1" showInputMessage="1" showErrorMessage="1" sqref="D68" xr:uid="{69AD9AF5-7488-4162-83DB-D1839B42448F}">
      <formula1>"10x100, 20x100"</formula1>
    </dataValidation>
    <dataValidation allowBlank="1" showInputMessage="1" showErrorMessage="1" prompt="if 10x100 membrane, then epdm rolls*(120)+100), otherwise, 20x100 = rolls*(140)+ 100" sqref="E73" xr:uid="{F2726C00-CD06-4001-8406-75E292AF7E9F}"/>
    <dataValidation allowBlank="1" showInputMessage="1" showErrorMessage="1" prompt="counts securock or densdeck or fibreboard, whichever one is higher" sqref="F94" xr:uid="{264900AE-53C7-4C39-9B64-096E33EEC262}"/>
    <dataValidation allowBlank="1" showInputMessage="1" showErrorMessage="1" prompt="https://answers.microsoft.com/en-us/msoffice/forum/all/hide-rows-using-conditional-formatting/f391b68b-b0ed-4d86-9487-bafb52336eec" sqref="A60 A83" xr:uid="{EA6CD96E-08EF-4B5E-8ED2-AB8DBA3EA618}"/>
    <dataValidation allowBlank="1" showInputMessage="1" showErrorMessage="1" prompt="area of seam tape + half the area of russ strip" sqref="E79" xr:uid="{09B823CC-9646-4559-A3FE-BBF8FB04B462}"/>
    <dataValidation type="list" allowBlank="1" showInputMessage="1" showErrorMessage="1" sqref="J64" xr:uid="{53D371E7-9682-4723-9B56-738324BE637A}">
      <formula1>"N/A, Loose Laid, Screwed"</formula1>
    </dataValidation>
    <dataValidation type="list" allowBlank="1" showInputMessage="1" showErrorMessage="1" sqref="J65:J66" xr:uid="{95C5CA8B-BA69-48C7-B5A5-3F72AFBAB604}">
      <formula1>"N/A, Loose Laid, Glued"</formula1>
    </dataValidation>
    <dataValidation type="list" allowBlank="1" showInputMessage="1" showErrorMessage="1" sqref="J87" xr:uid="{A5EE4C27-FC09-4280-87A0-AD07544E15AD}">
      <formula1>"N/A, Induction, Adhesive, Screwed"</formula1>
    </dataValidation>
    <dataValidation type="list" allowBlank="1" showInputMessage="1" showErrorMessage="1" sqref="J20:J23" xr:uid="{D5011F48-DEF8-461A-93BF-D7C4E3B7CDBB}">
      <formula1>"N/A, Adhesive, Screwed, Mopped, Loose Laid"</formula1>
    </dataValidation>
    <dataValidation type="list" allowBlank="1" showInputMessage="1" showErrorMessage="1" sqref="J33:J39" xr:uid="{02A183FE-ED0A-4FCB-91B8-8D91E54EDEDE}">
      <formula1>"N/A, Glued, Screwed, Mopped, Torched, Loose Laid"</formula1>
    </dataValidation>
    <dataValidation type="list" allowBlank="1" showInputMessage="1" showErrorMessage="1" sqref="D33:D39" xr:uid="{565AB360-93D0-4F74-8BD3-05337B50C9B1}">
      <formula1>"Field &amp; Wall, Base Field, Cap Field, Base Wall, Cap Wall"</formula1>
    </dataValidation>
    <dataValidation type="list" allowBlank="1" showInputMessage="1" showErrorMessage="1" sqref="C39 C38 C37" xr:uid="{433CB451-AA83-4A17-80FB-E852CE3E0827}">
      <formula1>"Base Sheet,Peel &amp; Stick,Cap Sheet"</formula1>
    </dataValidation>
  </dataValidations>
  <pageMargins left="0.74803149606299213" right="0.74803149606299213" top="1.2795275590551181" bottom="1.2795275590551181" header="0.98385826771653495" footer="0.98385826771653495"/>
  <pageSetup scale="84" fitToWidth="0" fitToHeight="0" pageOrder="overThenDown" orientation="portrait" r:id="rId1"/>
  <headerFooter alignWithMargins="0"/>
  <ignoredErrors>
    <ignoredError sqref="E42 E56" formula="1"/>
  </ignoredErrors>
  <drawing r:id="rId2"/>
  <legacyDrawing r:id="rId3"/>
  <controls>
    <mc:AlternateContent xmlns:mc="http://schemas.openxmlformats.org/markup-compatibility/2006">
      <mc:Choice Requires="x14">
        <control shapeId="7227" r:id="rId4" name="TextBox1">
          <controlPr locked="0" defaultSize="0" autoLine="0" autoPict="0" linkedCell="S6" r:id="rId5">
            <anchor moveWithCells="1">
              <from>
                <xdr:col>17</xdr:col>
                <xdr:colOff>381000</xdr:colOff>
                <xdr:row>4</xdr:row>
                <xdr:rowOff>100013</xdr:rowOff>
              </from>
              <to>
                <xdr:col>18</xdr:col>
                <xdr:colOff>4419600</xdr:colOff>
                <xdr:row>6</xdr:row>
                <xdr:rowOff>71438</xdr:rowOff>
              </to>
            </anchor>
          </controlPr>
        </control>
      </mc:Choice>
      <mc:Fallback>
        <control shapeId="7227" r:id="rId4" name="TextBox1"/>
      </mc:Fallback>
    </mc:AlternateContent>
    <mc:AlternateContent xmlns:mc="http://schemas.openxmlformats.org/markup-compatibility/2006">
      <mc:Choice Requires="x14">
        <control shapeId="7343" r:id="rId6" name="Check Box 175">
          <controlPr defaultSize="0" autoFill="0" autoLine="0" autoPict="0">
            <anchor moveWithCells="1">
              <from>
                <xdr:col>3</xdr:col>
                <xdr:colOff>457200</xdr:colOff>
                <xdr:row>59</xdr:row>
                <xdr:rowOff>14288</xdr:rowOff>
              </from>
              <to>
                <xdr:col>3</xdr:col>
                <xdr:colOff>1081088</xdr:colOff>
                <xdr:row>60</xdr:row>
                <xdr:rowOff>4763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6" r:id="rId7" name="Check Box 178">
          <controlPr defaultSize="0" autoFill="0" autoLine="0" autoPict="0">
            <anchor moveWithCells="1">
              <from>
                <xdr:col>3</xdr:col>
                <xdr:colOff>419100</xdr:colOff>
                <xdr:row>81</xdr:row>
                <xdr:rowOff>185738</xdr:rowOff>
              </from>
              <to>
                <xdr:col>3</xdr:col>
                <xdr:colOff>928688</xdr:colOff>
                <xdr:row>83</xdr:row>
                <xdr:rowOff>14288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35" yWindow="1653" count="22">
        <x14:dataValidation type="list" showInputMessage="1" showErrorMessage="1" xr:uid="{4CDB7EDE-BC16-4FCA-9B66-A75F34556A43}">
          <x14:formula1>
            <xm:f>Dropdown!$AH$2:$AH$10</xm:f>
          </x14:formula1>
          <xm:sqref>C45</xm:sqref>
        </x14:dataValidation>
        <x14:dataValidation type="list" allowBlank="1" showInputMessage="1" showErrorMessage="1" xr:uid="{00000000-0002-0000-0100-000006000000}">
          <x14:formula1>
            <xm:f>Dropdown!$D$1:$D$25</xm:f>
          </x14:formula1>
          <xm:sqref>C20 C22:C23</xm:sqref>
        </x14:dataValidation>
        <x14:dataValidation type="list" allowBlank="1" showInputMessage="1" showErrorMessage="1" xr:uid="{00000000-0002-0000-0100-000007000000}">
          <x14:formula1>
            <xm:f>Dropdown!$F$1:$F$10</xm:f>
          </x14:formula1>
          <xm:sqref>C25</xm:sqref>
        </x14:dataValidation>
        <x14:dataValidation type="list" allowBlank="1" showInputMessage="1" showErrorMessage="1" xr:uid="{00000000-0002-0000-0100-000008000000}">
          <x14:formula1>
            <xm:f>Dropdown!$H$1:$H$15</xm:f>
          </x14:formula1>
          <xm:sqref>C26</xm:sqref>
        </x14:dataValidation>
        <x14:dataValidation type="list" allowBlank="1" showInputMessage="1" showErrorMessage="1" xr:uid="{7B830BA4-EC25-4366-B4CE-F542BCAB7714}">
          <x14:formula1>
            <xm:f>Dropdown!$L$1:$L$15</xm:f>
          </x14:formula1>
          <xm:sqref>C28</xm:sqref>
        </x14:dataValidation>
        <x14:dataValidation type="list" allowBlank="1" showInputMessage="1" showErrorMessage="1" xr:uid="{E2E0250C-69FF-4573-989C-FCB20408A871}">
          <x14:formula1>
            <xm:f>Dropdown!$J$1:$J$15</xm:f>
          </x14:formula1>
          <xm:sqref>C27</xm:sqref>
        </x14:dataValidation>
        <x14:dataValidation type="list" allowBlank="1" showInputMessage="1" showErrorMessage="1" xr:uid="{00000000-0002-0000-0100-00000D000000}">
          <x14:formula1>
            <xm:f>Bidmaster!$E$15:$E$25</xm:f>
          </x14:formula1>
          <xm:sqref>B90:B101 B103:B125 B17:B88</xm:sqref>
        </x14:dataValidation>
        <x14:dataValidation type="list" allowBlank="1" showInputMessage="1" showErrorMessage="1" xr:uid="{A277B355-5F1E-4551-8F72-A20054293400}">
          <x14:formula1>
            <xm:f>Dropdown!$AF$1:$AF$3</xm:f>
          </x14:formula1>
          <xm:sqref>C41</xm:sqref>
        </x14:dataValidation>
        <x14:dataValidation type="list" allowBlank="1" showInputMessage="1" showErrorMessage="1" xr:uid="{E4503CAD-BBE9-4DF5-9D0D-99739AAD194E}">
          <x14:formula1>
            <xm:f>Dropdown!$Q$1:$Q$10</xm:f>
          </x14:formula1>
          <xm:sqref>C31:C32</xm:sqref>
        </x14:dataValidation>
        <x14:dataValidation type="list" allowBlank="1" showInputMessage="1" showErrorMessage="1" xr:uid="{00000000-0002-0000-0100-00000A000000}">
          <x14:formula1>
            <xm:f>Dropdown!$O$1:$O$30</xm:f>
          </x14:formula1>
          <xm:sqref>C29</xm:sqref>
        </x14:dataValidation>
        <x14:dataValidation type="list" allowBlank="1" showInputMessage="1" showErrorMessage="1" xr:uid="{1478E806-5F66-4E2F-9076-8D2B848E907E}">
          <x14:formula1>
            <xm:f>Dropdown!$A$27:$A$30</xm:f>
          </x14:formula1>
          <xm:sqref>C68</xm:sqref>
        </x14:dataValidation>
        <x14:dataValidation type="list" allowBlank="1" showInputMessage="1" showErrorMessage="1" xr:uid="{A6D19095-0CEF-4EBA-B37C-12879C47520E}">
          <x14:formula1>
            <xm:f>Dropdown!$A$35:$A$41</xm:f>
          </x14:formula1>
          <xm:sqref>C87</xm:sqref>
        </x14:dataValidation>
        <x14:dataValidation type="list" allowBlank="1" showInputMessage="1" showErrorMessage="1" xr:uid="{0BDE181D-3B04-4F90-8EA0-6B84D423B7E7}">
          <x14:formula1>
            <xm:f>Dropdown!$C$27:$C$32</xm:f>
          </x14:formula1>
          <xm:sqref>C64</xm:sqref>
        </x14:dataValidation>
        <x14:dataValidation type="list" allowBlank="1" showInputMessage="1" showErrorMessage="1" xr:uid="{3E78AE50-DEC6-4962-97FD-FF5F6543BA11}">
          <x14:formula1>
            <xm:f>Dropdown!$D$27:$D$31</xm:f>
          </x14:formula1>
          <xm:sqref>C65</xm:sqref>
        </x14:dataValidation>
        <x14:dataValidation type="list" allowBlank="1" showInputMessage="1" showErrorMessage="1" xr:uid="{73F1FB42-E3FF-489A-AA28-2425D0C19ECD}">
          <x14:formula1>
            <xm:f>Dropdown!$H$27:$H$31</xm:f>
          </x14:formula1>
          <xm:sqref>C121</xm:sqref>
        </x14:dataValidation>
        <x14:dataValidation type="list" allowBlank="1" showInputMessage="1" prompt="When using MVP, MVP Sand, or Sopravap'r; add an adhesive/primer under B41_x000a_MVP - SAM Adhesive_x000a_MVP Sand - SAM Adhesive_x000a_Sopravap'r - Elastocol Stick" xr:uid="{00000000-0002-0000-0100-000001000000}">
          <x14:formula1>
            <xm:f>Dropdown!$A$1:$A$120</xm:f>
          </x14:formula1>
          <xm:sqref>C17</xm:sqref>
        </x14:dataValidation>
        <x14:dataValidation type="list" allowBlank="1" showInputMessage="1" showErrorMessage="1" xr:uid="{00000000-0002-0000-0100-000005000000}">
          <x14:formula1>
            <xm:f>Dropdown!$AC$1:$AC$20</xm:f>
          </x14:formula1>
          <xm:sqref>C42</xm:sqref>
        </x14:dataValidation>
        <x14:dataValidation type="list" showInputMessage="1" showErrorMessage="1" xr:uid="{00000000-0002-0000-0100-00000B000000}">
          <x14:formula1>
            <xm:f>Dropdown!$AC$1:$AC$3</xm:f>
          </x14:formula1>
          <xm:sqref>C44</xm:sqref>
        </x14:dataValidation>
        <x14:dataValidation type="list" showInputMessage="1" showErrorMessage="1" xr:uid="{B3BFDE30-5546-44B8-8B53-1441CF1F26FC}">
          <x14:formula1>
            <xm:f>Dropdown!$AC$1:$AC$20</xm:f>
          </x14:formula1>
          <xm:sqref>C43</xm:sqref>
        </x14:dataValidation>
        <x14:dataValidation type="list" allowBlank="1" showInputMessage="1" showErrorMessage="1" xr:uid="{76284443-2097-45C4-BAB8-4BF0F1DB5615}">
          <x14:formula1>
            <xm:f>Dropdown!$W$2:$W$16</xm:f>
          </x14:formula1>
          <xm:sqref>C33 C36</xm:sqref>
        </x14:dataValidation>
        <x14:dataValidation type="list" allowBlank="1" showInputMessage="1" showErrorMessage="1" xr:uid="{6AEA8A0B-A75F-4A1E-8F9E-834C8BC2F831}">
          <x14:formula1>
            <xm:f>Dropdown!$T$2:$T$31</xm:f>
          </x14:formula1>
          <xm:sqref>C34</xm:sqref>
        </x14:dataValidation>
        <x14:dataValidation type="list" allowBlank="1" showInputMessage="1" showErrorMessage="1" xr:uid="{D4E5F5B9-87A6-4595-B18D-E3B7590CE04D}">
          <x14:formula1>
            <xm:f>Dropdown!$Z$2:$Z$17</xm:f>
          </x14:formula1>
          <xm:sqref>C35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1"/>
  <dimension ref="A1:R38"/>
  <sheetViews>
    <sheetView workbookViewId="0">
      <selection activeCell="C33" sqref="C33"/>
    </sheetView>
  </sheetViews>
  <sheetFormatPr defaultRowHeight="13.5"/>
  <sheetData>
    <row r="1" spans="1:18" ht="13.9">
      <c r="A1" s="106" t="s">
        <v>22</v>
      </c>
      <c r="B1" s="107">
        <f>Takeoff!B1</f>
        <v>0</v>
      </c>
      <c r="C1" s="108"/>
      <c r="D1" s="109"/>
      <c r="E1" s="110"/>
      <c r="F1" s="35" t="s">
        <v>284</v>
      </c>
      <c r="G1" s="111" t="s">
        <v>285</v>
      </c>
      <c r="H1" s="36" t="s">
        <v>286</v>
      </c>
      <c r="I1" s="9"/>
    </row>
    <row r="2" spans="1:18" ht="13.9">
      <c r="A2" s="112"/>
      <c r="E2" s="5"/>
      <c r="F2" s="113" t="s">
        <v>287</v>
      </c>
      <c r="G2" s="114"/>
      <c r="H2" s="115"/>
      <c r="I2" s="9"/>
    </row>
    <row r="3" spans="1:18" ht="13.9">
      <c r="A3" s="116" t="s">
        <v>288</v>
      </c>
      <c r="B3" s="117">
        <f>Takeoff!B2</f>
        <v>0</v>
      </c>
      <c r="E3" s="5"/>
      <c r="F3" s="113" t="s">
        <v>289</v>
      </c>
      <c r="G3" s="118"/>
      <c r="H3" s="119"/>
      <c r="I3" s="9"/>
    </row>
    <row r="4" spans="1:18" ht="13.9">
      <c r="A4" s="112"/>
      <c r="E4" s="5"/>
      <c r="F4" s="113" t="s">
        <v>289</v>
      </c>
      <c r="G4" s="118"/>
      <c r="H4" s="119"/>
      <c r="I4" s="9"/>
    </row>
    <row r="5" spans="1:18" ht="13.9">
      <c r="A5" s="116" t="s">
        <v>290</v>
      </c>
      <c r="B5" s="173">
        <f>Takeoff!F28</f>
        <v>0</v>
      </c>
      <c r="E5" s="5"/>
      <c r="F5" s="38" t="s">
        <v>181</v>
      </c>
      <c r="G5" s="118"/>
      <c r="H5" s="119"/>
      <c r="I5" s="9"/>
    </row>
    <row r="6" spans="1:18">
      <c r="A6" s="120"/>
      <c r="B6" s="4"/>
      <c r="C6" s="4"/>
      <c r="D6" s="4"/>
      <c r="E6" s="121"/>
      <c r="F6" s="122" t="s">
        <v>291</v>
      </c>
      <c r="G6" s="114"/>
      <c r="H6" s="115"/>
      <c r="I6" s="123"/>
    </row>
    <row r="7" spans="1:18" ht="13.9">
      <c r="A7" s="112"/>
      <c r="E7" s="5"/>
      <c r="F7" s="124" t="s">
        <v>292</v>
      </c>
      <c r="G7" s="125" t="s">
        <v>293</v>
      </c>
      <c r="H7" s="6" t="s">
        <v>294</v>
      </c>
      <c r="I7" s="126"/>
    </row>
    <row r="8" spans="1:18" ht="13.9">
      <c r="A8" s="127" t="s">
        <v>295</v>
      </c>
      <c r="B8" s="128"/>
      <c r="C8" s="113"/>
      <c r="D8" s="129" t="s">
        <v>296</v>
      </c>
      <c r="E8" s="130" t="s">
        <v>297</v>
      </c>
      <c r="F8" s="129" t="s">
        <v>156</v>
      </c>
      <c r="G8" s="131"/>
      <c r="H8" s="132" t="s">
        <v>19</v>
      </c>
      <c r="I8" s="133"/>
      <c r="J8" s="3"/>
      <c r="K8" s="3"/>
      <c r="L8" s="3"/>
      <c r="M8" s="3"/>
      <c r="N8" s="3"/>
      <c r="O8" s="3"/>
      <c r="P8" s="3"/>
      <c r="Q8" s="3"/>
      <c r="R8" s="3"/>
    </row>
    <row r="9" spans="1:18" ht="13.9">
      <c r="A9" s="134" t="s">
        <v>298</v>
      </c>
      <c r="B9" s="135" t="s">
        <v>299</v>
      </c>
      <c r="C9" s="136">
        <v>0</v>
      </c>
      <c r="D9" s="137">
        <f>SUM(B5*1)</f>
        <v>0</v>
      </c>
      <c r="E9" s="138">
        <f>ROUNDUP(SUM(C9)/65,0)</f>
        <v>0</v>
      </c>
      <c r="F9" s="139">
        <v>86.46</v>
      </c>
      <c r="G9" s="4"/>
      <c r="H9" s="139">
        <f>SUM(E9*F9)</f>
        <v>0</v>
      </c>
      <c r="I9" s="123"/>
      <c r="J9" t="s">
        <v>300</v>
      </c>
      <c r="K9" s="140" t="s">
        <v>301</v>
      </c>
    </row>
    <row r="10" spans="1:18" ht="13.9">
      <c r="A10" s="40" t="s">
        <v>302</v>
      </c>
      <c r="B10" s="141" t="s">
        <v>303</v>
      </c>
      <c r="C10" s="142">
        <v>0</v>
      </c>
      <c r="D10" s="7">
        <f>C10*3/400*1.1</f>
        <v>0</v>
      </c>
      <c r="E10" s="143">
        <f>ROUNDUP(((B5*100)-(C9*3))/400,0)</f>
        <v>0</v>
      </c>
      <c r="F10" s="144">
        <v>31.3</v>
      </c>
      <c r="G10" s="8"/>
      <c r="H10" s="144">
        <f t="shared" ref="H10:H28" si="0">SUM(F10*E10)</f>
        <v>0</v>
      </c>
      <c r="I10" s="9"/>
      <c r="J10" t="s">
        <v>304</v>
      </c>
      <c r="K10" t="s">
        <v>305</v>
      </c>
      <c r="L10" t="s">
        <v>306</v>
      </c>
    </row>
    <row r="11" spans="1:18" ht="13.9">
      <c r="A11" s="40" t="s">
        <v>307</v>
      </c>
      <c r="B11" s="141"/>
      <c r="C11" s="145"/>
      <c r="D11" s="7">
        <f>SUM(B5*1)</f>
        <v>0</v>
      </c>
      <c r="E11" s="143">
        <f>ROUNDUP(SUM(B5*3.15),0)</f>
        <v>0</v>
      </c>
      <c r="F11" s="144">
        <v>24.13</v>
      </c>
      <c r="G11" s="8"/>
      <c r="H11" s="144">
        <f t="shared" si="0"/>
        <v>0</v>
      </c>
      <c r="I11" s="9"/>
      <c r="J11" t="s">
        <v>308</v>
      </c>
    </row>
    <row r="12" spans="1:18" ht="13.9">
      <c r="A12" s="40" t="s">
        <v>309</v>
      </c>
      <c r="B12" s="128"/>
      <c r="C12" s="145">
        <v>0</v>
      </c>
      <c r="D12" s="7">
        <f>SUM(B5*1)</f>
        <v>0</v>
      </c>
      <c r="E12" s="143">
        <f>ROUNDUP(C12/118*1.05,0)</f>
        <v>0</v>
      </c>
      <c r="F12" s="144">
        <v>38.520000000000003</v>
      </c>
      <c r="G12" s="8"/>
      <c r="H12" s="144">
        <f t="shared" si="0"/>
        <v>0</v>
      </c>
      <c r="I12" s="9"/>
      <c r="J12" t="s">
        <v>300</v>
      </c>
      <c r="K12" s="140" t="s">
        <v>310</v>
      </c>
    </row>
    <row r="13" spans="1:18" ht="13.9">
      <c r="A13" s="40" t="s">
        <v>311</v>
      </c>
      <c r="B13" s="146"/>
      <c r="C13" s="145">
        <v>0</v>
      </c>
      <c r="D13" s="7">
        <f>SUM(B5*1)</f>
        <v>0</v>
      </c>
      <c r="E13" s="143">
        <f>ROUNDUP(SUM(C13/25),0)</f>
        <v>0</v>
      </c>
      <c r="F13" s="147">
        <v>28.57</v>
      </c>
      <c r="G13" s="8"/>
      <c r="H13" s="144">
        <f t="shared" si="0"/>
        <v>0</v>
      </c>
      <c r="I13" s="148"/>
      <c r="J13" t="s">
        <v>300</v>
      </c>
      <c r="K13" t="s">
        <v>312</v>
      </c>
      <c r="L13" t="s">
        <v>313</v>
      </c>
    </row>
    <row r="14" spans="1:18" ht="13.9">
      <c r="A14" s="149" t="s">
        <v>314</v>
      </c>
      <c r="B14" s="150"/>
      <c r="C14" s="151">
        <f>C12</f>
        <v>0</v>
      </c>
      <c r="D14" s="152"/>
      <c r="E14" s="153">
        <f>ROUNDUP(C14*1.05/10,0)</f>
        <v>0</v>
      </c>
      <c r="F14" s="154">
        <v>5.75</v>
      </c>
      <c r="G14" s="155"/>
      <c r="H14" s="154">
        <f t="shared" si="0"/>
        <v>0</v>
      </c>
      <c r="I14" s="156"/>
      <c r="J14" s="157" t="s">
        <v>315</v>
      </c>
      <c r="K14" s="157" t="s">
        <v>316</v>
      </c>
      <c r="L14" s="157"/>
      <c r="M14" s="157"/>
      <c r="N14" s="157"/>
      <c r="O14" s="157"/>
      <c r="P14" s="157"/>
      <c r="Q14" s="157"/>
      <c r="R14" s="157"/>
    </row>
    <row r="15" spans="1:18" ht="13.9">
      <c r="A15" s="149" t="s">
        <v>317</v>
      </c>
      <c r="B15" s="150"/>
      <c r="C15" s="151">
        <v>0</v>
      </c>
      <c r="D15" s="152">
        <f>SUM(B5*1)</f>
        <v>0</v>
      </c>
      <c r="E15" s="158">
        <f>ROUNDUP(C15*1.1/10,0)</f>
        <v>0</v>
      </c>
      <c r="F15" s="154">
        <v>19.55</v>
      </c>
      <c r="G15" s="155"/>
      <c r="H15" s="154">
        <f t="shared" si="0"/>
        <v>0</v>
      </c>
      <c r="I15" s="156"/>
      <c r="J15" s="157" t="s">
        <v>315</v>
      </c>
      <c r="K15" s="157" t="s">
        <v>316</v>
      </c>
      <c r="L15" s="157"/>
      <c r="M15" s="157"/>
      <c r="N15" s="157"/>
      <c r="O15" s="157"/>
      <c r="P15" s="157"/>
      <c r="Q15" s="157"/>
      <c r="R15" s="157"/>
    </row>
    <row r="16" spans="1:18" ht="13.9">
      <c r="A16" s="149" t="s">
        <v>318</v>
      </c>
      <c r="B16" s="159"/>
      <c r="C16" s="151">
        <v>0</v>
      </c>
      <c r="D16" s="152">
        <f>SUM(B11*1)</f>
        <v>0</v>
      </c>
      <c r="E16" s="160">
        <f>ROUNDUP(C16/10,0)</f>
        <v>0</v>
      </c>
      <c r="F16" s="154">
        <v>9.25</v>
      </c>
      <c r="G16" s="155"/>
      <c r="H16" s="154">
        <f t="shared" si="0"/>
        <v>0</v>
      </c>
      <c r="I16" s="161"/>
      <c r="J16" s="157" t="s">
        <v>315</v>
      </c>
      <c r="K16" s="157" t="s">
        <v>316</v>
      </c>
      <c r="L16" s="157"/>
      <c r="M16" s="157"/>
      <c r="N16" s="157"/>
      <c r="O16" s="157"/>
      <c r="P16" s="157"/>
      <c r="Q16" s="157"/>
      <c r="R16" s="157"/>
    </row>
    <row r="17" spans="1:18" ht="13.9">
      <c r="A17" s="149" t="s">
        <v>319</v>
      </c>
      <c r="B17" s="150"/>
      <c r="C17" s="151">
        <v>0</v>
      </c>
      <c r="D17" s="152">
        <f>SUM(B5*1)</f>
        <v>0</v>
      </c>
      <c r="E17" s="160">
        <f>ROUNDUP(C17/5,0)</f>
        <v>0</v>
      </c>
      <c r="F17" s="154">
        <v>10.220000000000001</v>
      </c>
      <c r="G17" s="155"/>
      <c r="H17" s="154">
        <f t="shared" si="0"/>
        <v>0</v>
      </c>
      <c r="I17" s="156"/>
      <c r="J17" s="157" t="s">
        <v>315</v>
      </c>
      <c r="K17" s="157" t="s">
        <v>320</v>
      </c>
      <c r="L17" s="157"/>
      <c r="M17" s="157"/>
      <c r="N17" s="157"/>
      <c r="O17" s="157"/>
      <c r="P17" s="157"/>
      <c r="Q17" s="157"/>
      <c r="R17" s="157"/>
    </row>
    <row r="18" spans="1:18" ht="13.9">
      <c r="A18" s="40" t="s">
        <v>321</v>
      </c>
      <c r="B18" s="141"/>
      <c r="C18" s="145">
        <v>0</v>
      </c>
      <c r="D18" s="7">
        <f>SUM(B5*1)</f>
        <v>0</v>
      </c>
      <c r="E18" s="162">
        <v>0</v>
      </c>
      <c r="F18" s="144">
        <v>50</v>
      </c>
      <c r="G18" s="8"/>
      <c r="H18" s="144">
        <f t="shared" si="0"/>
        <v>0</v>
      </c>
      <c r="I18" s="163"/>
    </row>
    <row r="19" spans="1:18" ht="13.9">
      <c r="A19" s="40" t="s">
        <v>322</v>
      </c>
      <c r="B19" s="141"/>
      <c r="C19" s="145">
        <v>0</v>
      </c>
      <c r="D19" s="7">
        <f>SUM(B5)</f>
        <v>0</v>
      </c>
      <c r="E19" s="164">
        <v>0</v>
      </c>
      <c r="F19" s="144">
        <v>80</v>
      </c>
      <c r="G19" s="8"/>
      <c r="H19" s="144">
        <f t="shared" si="0"/>
        <v>0</v>
      </c>
      <c r="I19" s="148"/>
    </row>
    <row r="20" spans="1:18" ht="13.9">
      <c r="A20" s="40" t="s">
        <v>323</v>
      </c>
      <c r="B20" s="141"/>
      <c r="C20" s="145"/>
      <c r="D20" s="7">
        <f>SUM(B5*1)</f>
        <v>0</v>
      </c>
      <c r="E20" s="143">
        <v>0</v>
      </c>
      <c r="F20" s="144">
        <v>15</v>
      </c>
      <c r="G20" s="8"/>
      <c r="H20" s="144">
        <f t="shared" si="0"/>
        <v>0</v>
      </c>
      <c r="I20" s="163"/>
    </row>
    <row r="21" spans="1:18" ht="13.9">
      <c r="A21" s="165" t="s">
        <v>57</v>
      </c>
      <c r="B21" s="141"/>
      <c r="C21" s="145"/>
      <c r="D21" s="7"/>
      <c r="E21" s="164">
        <v>0</v>
      </c>
      <c r="F21" s="144">
        <v>11.5</v>
      </c>
      <c r="G21" s="8"/>
      <c r="H21" s="144">
        <f t="shared" si="0"/>
        <v>0</v>
      </c>
      <c r="I21" s="163"/>
    </row>
    <row r="22" spans="1:18" ht="13.9">
      <c r="A22" s="165" t="s">
        <v>324</v>
      </c>
      <c r="B22" s="141"/>
      <c r="C22" s="145"/>
      <c r="D22" s="7"/>
      <c r="E22" s="164">
        <v>0</v>
      </c>
      <c r="F22" s="144">
        <v>12</v>
      </c>
      <c r="G22" s="8"/>
      <c r="H22" s="144">
        <f t="shared" si="0"/>
        <v>0</v>
      </c>
      <c r="I22" s="163"/>
    </row>
    <row r="23" spans="1:18" ht="13.9">
      <c r="A23" s="165" t="s">
        <v>62</v>
      </c>
      <c r="B23" s="141"/>
      <c r="C23" s="145"/>
      <c r="D23" s="7"/>
      <c r="E23" s="164">
        <v>0</v>
      </c>
      <c r="F23" s="144">
        <v>16</v>
      </c>
      <c r="G23" s="8"/>
      <c r="H23" s="144">
        <f t="shared" si="0"/>
        <v>0</v>
      </c>
      <c r="I23" s="163"/>
    </row>
    <row r="24" spans="1:18" ht="13.9">
      <c r="A24" s="165" t="s">
        <v>325</v>
      </c>
      <c r="B24" s="141"/>
      <c r="C24" s="145"/>
      <c r="D24" s="7"/>
      <c r="E24" s="164">
        <v>0</v>
      </c>
      <c r="F24" s="144">
        <v>16.89</v>
      </c>
      <c r="G24" s="8"/>
      <c r="H24" s="144">
        <f t="shared" si="0"/>
        <v>0</v>
      </c>
      <c r="I24" s="163"/>
    </row>
    <row r="25" spans="1:18" ht="13.9">
      <c r="A25" s="165" t="s">
        <v>326</v>
      </c>
      <c r="B25" s="141"/>
      <c r="C25" s="145"/>
      <c r="D25" s="7"/>
      <c r="E25" s="164">
        <v>0</v>
      </c>
      <c r="F25" s="144">
        <v>21.86</v>
      </c>
      <c r="G25" s="8"/>
      <c r="H25" s="144">
        <f t="shared" si="0"/>
        <v>0</v>
      </c>
      <c r="I25" s="163"/>
    </row>
    <row r="26" spans="1:18" ht="13.9">
      <c r="A26" s="40" t="s">
        <v>327</v>
      </c>
      <c r="B26" s="141"/>
      <c r="C26" s="145">
        <v>0</v>
      </c>
      <c r="D26" s="7">
        <v>32</v>
      </c>
      <c r="E26" s="145">
        <f>ROUNDUP((E11+E12+E13)/40, 0)</f>
        <v>0</v>
      </c>
      <c r="F26" s="144">
        <v>25</v>
      </c>
      <c r="G26" s="8"/>
      <c r="H26" s="144">
        <f t="shared" si="0"/>
        <v>0</v>
      </c>
      <c r="I26" s="148" t="s">
        <v>328</v>
      </c>
    </row>
    <row r="27" spans="1:18" ht="13.9">
      <c r="A27" s="40" t="s">
        <v>329</v>
      </c>
      <c r="B27" s="141"/>
      <c r="C27" s="145"/>
      <c r="D27" s="7"/>
      <c r="E27" s="145">
        <v>0</v>
      </c>
      <c r="F27" s="144">
        <v>22</v>
      </c>
      <c r="G27" s="8"/>
      <c r="H27" s="144">
        <f t="shared" si="0"/>
        <v>0</v>
      </c>
      <c r="I27" s="148"/>
      <c r="J27" t="s">
        <v>330</v>
      </c>
    </row>
    <row r="28" spans="1:18" ht="13.9">
      <c r="A28" s="40" t="s">
        <v>331</v>
      </c>
      <c r="B28" s="141"/>
      <c r="C28" s="145">
        <v>0</v>
      </c>
      <c r="D28" s="7">
        <v>0</v>
      </c>
      <c r="E28" s="143">
        <f>SUM(D28/15)</f>
        <v>0</v>
      </c>
      <c r="F28" s="144">
        <v>75</v>
      </c>
      <c r="G28" s="8"/>
      <c r="H28" s="144">
        <f t="shared" si="0"/>
        <v>0</v>
      </c>
      <c r="I28" s="163"/>
    </row>
    <row r="29" spans="1:18" ht="13.9">
      <c r="A29" s="40" t="s">
        <v>332</v>
      </c>
      <c r="B29" s="141"/>
      <c r="C29" s="145"/>
      <c r="D29" s="7">
        <f>SUM(B5*1)</f>
        <v>0</v>
      </c>
      <c r="E29" s="143">
        <f>E9+E10+E11+E12+E13+E21+E22+E23+E24+E25</f>
        <v>0</v>
      </c>
      <c r="F29" s="144">
        <v>3.5</v>
      </c>
      <c r="G29" s="8"/>
      <c r="H29" s="144">
        <f>SUM(F29*E29)+120</f>
        <v>120</v>
      </c>
      <c r="I29" s="163"/>
      <c r="J29" t="s">
        <v>333</v>
      </c>
    </row>
    <row r="30" spans="1:18" ht="13.9">
      <c r="A30" s="40" t="s">
        <v>334</v>
      </c>
      <c r="B30" s="141"/>
      <c r="C30" s="145"/>
      <c r="D30" s="7">
        <f>SUM(B5*1)</f>
        <v>0</v>
      </c>
      <c r="E30" s="162">
        <v>0</v>
      </c>
      <c r="F30" s="144">
        <v>15</v>
      </c>
      <c r="G30" s="8"/>
      <c r="H30" s="144">
        <f t="shared" ref="H30:H37" si="1">SUM(F30*E30)</f>
        <v>0</v>
      </c>
      <c r="I30" s="163"/>
    </row>
    <row r="31" spans="1:18" ht="13.9">
      <c r="A31" s="165" t="s">
        <v>335</v>
      </c>
      <c r="B31" s="128" t="s">
        <v>336</v>
      </c>
      <c r="C31" s="145">
        <v>0</v>
      </c>
      <c r="D31" s="7">
        <f>SUM(B26*1)</f>
        <v>0</v>
      </c>
      <c r="E31" s="166">
        <f>SUM(C31*1)/24</f>
        <v>0</v>
      </c>
      <c r="F31" s="144">
        <v>30</v>
      </c>
      <c r="G31" s="8"/>
      <c r="H31" s="144">
        <f t="shared" si="1"/>
        <v>0</v>
      </c>
      <c r="I31" s="148" t="s">
        <v>328</v>
      </c>
    </row>
    <row r="32" spans="1:18" ht="13.9">
      <c r="A32" s="167"/>
      <c r="B32" s="128" t="s">
        <v>337</v>
      </c>
      <c r="C32" s="145">
        <v>0</v>
      </c>
      <c r="D32" s="7">
        <v>0</v>
      </c>
      <c r="E32" s="162">
        <v>0</v>
      </c>
      <c r="F32" s="144">
        <v>35</v>
      </c>
      <c r="G32" s="8"/>
      <c r="H32" s="144">
        <f t="shared" si="1"/>
        <v>0</v>
      </c>
      <c r="I32" s="148" t="s">
        <v>328</v>
      </c>
      <c r="J32" s="140"/>
    </row>
    <row r="33" spans="1:9" ht="13.9">
      <c r="A33" s="40" t="s">
        <v>338</v>
      </c>
      <c r="B33" s="141"/>
      <c r="C33" s="145"/>
      <c r="D33" s="7">
        <f>SUM(B5*1)</f>
        <v>0</v>
      </c>
      <c r="E33" s="143">
        <v>0</v>
      </c>
      <c r="F33" s="144">
        <v>5</v>
      </c>
      <c r="G33" s="8"/>
      <c r="H33" s="144">
        <f t="shared" si="1"/>
        <v>0</v>
      </c>
      <c r="I33" s="163"/>
    </row>
    <row r="34" spans="1:9" ht="13.9">
      <c r="A34" s="40" t="s">
        <v>339</v>
      </c>
      <c r="B34" s="168" t="s">
        <v>340</v>
      </c>
      <c r="C34" s="145"/>
      <c r="D34" s="7">
        <f>SUM(B5*1)</f>
        <v>0</v>
      </c>
      <c r="E34" s="166">
        <v>0</v>
      </c>
      <c r="F34" s="144">
        <v>450</v>
      </c>
      <c r="G34" s="8"/>
      <c r="H34" s="144">
        <f t="shared" si="1"/>
        <v>0</v>
      </c>
      <c r="I34" s="163"/>
    </row>
    <row r="35" spans="1:9" ht="13.9">
      <c r="A35" s="169" t="s">
        <v>341</v>
      </c>
      <c r="B35" s="141"/>
      <c r="C35" s="145"/>
      <c r="D35" s="7"/>
      <c r="E35" s="143">
        <v>0</v>
      </c>
      <c r="F35" s="144">
        <v>635</v>
      </c>
      <c r="G35" s="8"/>
      <c r="H35" s="144">
        <f t="shared" si="1"/>
        <v>0</v>
      </c>
      <c r="I35" s="163"/>
    </row>
    <row r="36" spans="1:9" ht="13.9">
      <c r="A36" s="40" t="s">
        <v>342</v>
      </c>
      <c r="B36" s="141"/>
      <c r="C36" s="145"/>
      <c r="D36" s="7">
        <f>SUM(B5*1)</f>
        <v>0</v>
      </c>
      <c r="E36" s="143">
        <v>0</v>
      </c>
      <c r="F36" s="144">
        <v>3.5</v>
      </c>
      <c r="G36" s="8"/>
      <c r="H36" s="144">
        <f t="shared" si="1"/>
        <v>0</v>
      </c>
      <c r="I36" s="163"/>
    </row>
    <row r="37" spans="1:9" ht="13.9">
      <c r="A37" s="40" t="s">
        <v>343</v>
      </c>
      <c r="B37" s="141"/>
      <c r="C37" s="145"/>
      <c r="D37" s="7">
        <f>SUM(B33*1)</f>
        <v>0</v>
      </c>
      <c r="E37" s="166">
        <v>0</v>
      </c>
      <c r="F37" s="144">
        <v>25</v>
      </c>
      <c r="G37" s="8"/>
      <c r="H37" s="144">
        <f t="shared" si="1"/>
        <v>0</v>
      </c>
      <c r="I37" s="163"/>
    </row>
    <row r="38" spans="1:9" ht="13.9">
      <c r="A38" s="170"/>
      <c r="E38" s="5"/>
      <c r="F38" s="171" t="s">
        <v>283</v>
      </c>
      <c r="G38" s="141"/>
      <c r="H38" s="172">
        <f>SUM(H9:H37)</f>
        <v>120</v>
      </c>
      <c r="I38" s="172" t="e">
        <f>SUM(H38/B5)</f>
        <v>#DIV/0!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AQ64"/>
  <sheetViews>
    <sheetView showGridLines="0" topLeftCell="A21" zoomScaleNormal="85" workbookViewId="0">
      <selection activeCell="D33" sqref="D33"/>
    </sheetView>
  </sheetViews>
  <sheetFormatPr defaultColWidth="2.75" defaultRowHeight="16.899999999999999"/>
  <cols>
    <col min="1" max="1" width="18.875" style="216" customWidth="1"/>
    <col min="2" max="2" width="21" style="316" customWidth="1"/>
    <col min="3" max="3" width="41.25" style="316" customWidth="1"/>
    <col min="4" max="4" width="15.625" style="317" customWidth="1"/>
    <col min="5" max="5" width="13.75" style="216" customWidth="1"/>
    <col min="6" max="6" width="3.625" style="216" customWidth="1"/>
    <col min="7" max="7" width="2.25" style="216" customWidth="1"/>
    <col min="8" max="8" width="7.125" style="216" bestFit="1" customWidth="1"/>
    <col min="9" max="9" width="2.75" style="216"/>
    <col min="10" max="10" width="3.625" style="216" customWidth="1"/>
    <col min="11" max="11" width="5.625" style="216" customWidth="1"/>
    <col min="12" max="12" width="7.375" style="216" bestFit="1" customWidth="1"/>
    <col min="13" max="13" width="3.375" style="216" customWidth="1"/>
    <col min="14" max="14" width="9.375" style="216" customWidth="1"/>
    <col min="15" max="15" width="2.75" style="216"/>
    <col min="16" max="16" width="5.75" style="216" customWidth="1"/>
    <col min="17" max="17" width="12.375" style="216" customWidth="1"/>
    <col min="18" max="18" width="4.25" style="216" customWidth="1"/>
    <col min="19" max="19" width="32.375" style="216" customWidth="1"/>
    <col min="20" max="20" width="14" style="216" customWidth="1"/>
    <col min="21" max="21" width="6.375" style="216" customWidth="1"/>
    <col min="22" max="22" width="8.875" style="216" customWidth="1"/>
    <col min="23" max="23" width="13.5" style="216" customWidth="1"/>
    <col min="24" max="24" width="6.875" style="216" bestFit="1" customWidth="1"/>
    <col min="25" max="25" width="17.75" style="216" customWidth="1"/>
    <col min="26" max="26" width="22.375" style="216" customWidth="1"/>
    <col min="27" max="27" width="14.375" style="216" customWidth="1"/>
    <col min="28" max="28" width="4.875" style="216" customWidth="1"/>
    <col min="29" max="29" width="10.25" style="216" customWidth="1"/>
    <col min="30" max="30" width="9.375" style="216" customWidth="1"/>
    <col min="31" max="31" width="2.75" style="216"/>
    <col min="32" max="32" width="5.875" style="216" customWidth="1"/>
    <col min="33" max="33" width="24.125" style="216" customWidth="1"/>
    <col min="34" max="34" width="8.375" style="216" customWidth="1"/>
    <col min="35" max="35" width="11.375" style="216" customWidth="1"/>
    <col min="36" max="36" width="7.875" style="216" customWidth="1"/>
    <col min="37" max="37" width="12.375" style="216" bestFit="1" customWidth="1"/>
    <col min="38" max="16384" width="2.75" style="216"/>
  </cols>
  <sheetData>
    <row r="1" spans="1:43">
      <c r="A1" s="517"/>
      <c r="B1" s="522"/>
      <c r="C1" s="522"/>
      <c r="D1" s="523"/>
      <c r="E1" s="517"/>
    </row>
    <row r="2" spans="1:43">
      <c r="A2" s="517"/>
      <c r="B2" s="747" t="s">
        <v>344</v>
      </c>
      <c r="C2" s="522"/>
      <c r="D2" s="523"/>
      <c r="E2" s="517"/>
    </row>
    <row r="3" spans="1:43" ht="18">
      <c r="A3" s="517"/>
      <c r="B3" s="748"/>
      <c r="C3" s="524"/>
      <c r="D3" s="525"/>
      <c r="E3" s="517"/>
      <c r="Q3" s="316" t="s">
        <v>345</v>
      </c>
      <c r="AF3" s="322"/>
      <c r="AG3" s="596"/>
      <c r="AH3" s="596"/>
      <c r="AI3" s="596"/>
      <c r="AJ3" s="596"/>
      <c r="AK3" s="596"/>
      <c r="AL3" s="330"/>
      <c r="AM3" s="330"/>
      <c r="AN3" s="330"/>
      <c r="AO3" s="330"/>
      <c r="AP3" s="330"/>
      <c r="AQ3" s="330"/>
    </row>
    <row r="4" spans="1:43">
      <c r="A4" s="517"/>
      <c r="B4" s="522"/>
      <c r="C4" s="522"/>
      <c r="D4" s="523"/>
      <c r="E4" s="517"/>
      <c r="AF4" s="322"/>
      <c r="AG4" s="546"/>
      <c r="AH4" s="546"/>
      <c r="AI4" s="546"/>
      <c r="AJ4" s="546"/>
      <c r="AK4" s="322"/>
      <c r="AL4" s="330"/>
      <c r="AM4" s="330"/>
      <c r="AN4" s="330"/>
      <c r="AO4" s="330"/>
      <c r="AP4" s="330"/>
      <c r="AQ4" s="330"/>
    </row>
    <row r="5" spans="1:43" ht="18">
      <c r="A5" s="526" t="s">
        <v>346</v>
      </c>
      <c r="B5" s="749" t="s">
        <v>347</v>
      </c>
      <c r="C5" s="750"/>
      <c r="D5" s="321">
        <v>2</v>
      </c>
      <c r="E5" s="517"/>
      <c r="F5" s="322"/>
      <c r="G5" s="322"/>
      <c r="H5" s="322"/>
      <c r="I5" s="322"/>
      <c r="J5" s="322"/>
      <c r="K5" s="322"/>
      <c r="L5" s="322"/>
      <c r="M5" s="322"/>
      <c r="N5" s="322"/>
      <c r="O5" s="322"/>
      <c r="Q5" s="318" t="s">
        <v>348</v>
      </c>
      <c r="R5" s="319"/>
      <c r="S5" s="319"/>
      <c r="T5" s="323" t="s">
        <v>349</v>
      </c>
      <c r="V5" s="318" t="s">
        <v>18</v>
      </c>
      <c r="W5" s="319"/>
      <c r="Y5" s="324" t="s">
        <v>350</v>
      </c>
      <c r="Z5" s="325" t="s">
        <v>351</v>
      </c>
      <c r="AA5" s="326"/>
      <c r="AB5" s="326"/>
      <c r="AC5" s="326"/>
      <c r="AF5" s="322"/>
      <c r="AG5" s="597"/>
      <c r="AH5" s="598"/>
      <c r="AI5" s="598"/>
      <c r="AJ5" s="597"/>
      <c r="AK5" s="327"/>
    </row>
    <row r="6" spans="1:43" ht="18">
      <c r="A6" s="517"/>
      <c r="B6" s="751" t="s">
        <v>352</v>
      </c>
      <c r="C6" s="752"/>
      <c r="D6" s="485" t="s">
        <v>353</v>
      </c>
      <c r="E6" s="518"/>
      <c r="G6" s="322"/>
      <c r="H6" s="755"/>
      <c r="I6" s="755"/>
      <c r="J6" s="755"/>
      <c r="K6" s="755"/>
      <c r="L6" s="755"/>
      <c r="M6" s="755"/>
      <c r="N6" s="755"/>
      <c r="O6" s="755"/>
      <c r="R6" s="216" t="s">
        <v>62</v>
      </c>
      <c r="T6" s="329"/>
      <c r="W6" s="330"/>
      <c r="X6" s="330"/>
      <c r="Y6" s="324" t="s">
        <v>354</v>
      </c>
      <c r="Z6" s="325" t="s">
        <v>355</v>
      </c>
      <c r="AA6" s="326" t="s">
        <v>349</v>
      </c>
      <c r="AB6" s="326"/>
      <c r="AC6" s="326"/>
      <c r="AF6" s="322"/>
      <c r="AG6" s="597"/>
      <c r="AH6" s="598"/>
      <c r="AI6" s="598"/>
      <c r="AJ6" s="597"/>
      <c r="AK6" s="327"/>
    </row>
    <row r="7" spans="1:43" ht="18">
      <c r="A7" s="517"/>
      <c r="B7" s="753"/>
      <c r="C7" s="754"/>
      <c r="D7" s="515" t="s">
        <v>95</v>
      </c>
      <c r="E7" s="519"/>
      <c r="F7" s="322"/>
      <c r="G7" s="322"/>
      <c r="H7" s="318" t="s">
        <v>18</v>
      </c>
      <c r="I7" s="318"/>
      <c r="J7" s="318"/>
      <c r="K7" s="318"/>
      <c r="L7" s="318" t="s">
        <v>356</v>
      </c>
      <c r="M7" s="318"/>
      <c r="N7" s="318" t="s">
        <v>357</v>
      </c>
      <c r="S7" s="216" t="s">
        <v>358</v>
      </c>
      <c r="T7" s="329">
        <v>3</v>
      </c>
      <c r="W7" s="216" t="s">
        <v>166</v>
      </c>
      <c r="X7" s="329"/>
      <c r="Y7" s="331">
        <v>0.8</v>
      </c>
      <c r="Z7" s="332" t="s">
        <v>359</v>
      </c>
      <c r="AA7" s="323">
        <v>8</v>
      </c>
      <c r="AB7" s="330"/>
      <c r="AC7" s="330"/>
      <c r="AF7" s="322"/>
      <c r="AG7" s="597"/>
      <c r="AH7" s="598"/>
      <c r="AI7" s="598"/>
      <c r="AJ7" s="597"/>
      <c r="AK7" s="327"/>
    </row>
    <row r="8" spans="1:43" ht="18">
      <c r="A8" s="517"/>
      <c r="B8" s="533" t="s">
        <v>360</v>
      </c>
      <c r="C8" s="534"/>
      <c r="D8" s="333">
        <v>3</v>
      </c>
      <c r="E8" s="517"/>
      <c r="F8" s="322"/>
      <c r="G8" s="322"/>
      <c r="H8" s="216" t="s">
        <v>166</v>
      </c>
      <c r="L8" s="215">
        <f>SUMIF('Flat Roof Summary'!J17:J87, "Adhesive", 'Flat Roof Summary'!I17:I87)</f>
        <v>3.5</v>
      </c>
      <c r="N8" s="216">
        <f>SUM((Takeoff!F14*Project!Y7)*Project!L8)</f>
        <v>39.200000000000003</v>
      </c>
      <c r="S8" s="216" t="s">
        <v>361</v>
      </c>
      <c r="T8" s="329">
        <v>5</v>
      </c>
      <c r="W8" s="216" t="s">
        <v>362</v>
      </c>
      <c r="X8" s="329"/>
      <c r="Y8" s="329">
        <v>0.45</v>
      </c>
      <c r="Z8" s="332" t="s">
        <v>363</v>
      </c>
      <c r="AA8" s="334">
        <v>4.5</v>
      </c>
      <c r="AB8" s="330"/>
      <c r="AC8" s="330"/>
      <c r="AF8" s="322"/>
      <c r="AG8" s="597"/>
      <c r="AH8" s="598"/>
      <c r="AI8" s="598"/>
      <c r="AJ8" s="597"/>
      <c r="AK8" s="327"/>
    </row>
    <row r="9" spans="1:43" ht="18">
      <c r="A9" s="517"/>
      <c r="B9" s="756" t="s">
        <v>364</v>
      </c>
      <c r="C9" s="756"/>
      <c r="D9" s="333" t="s">
        <v>95</v>
      </c>
      <c r="E9" s="520"/>
      <c r="H9" s="216" t="s">
        <v>362</v>
      </c>
      <c r="L9" s="216">
        <f>SUMIF('Flat Roof Summary'!J17:J87, "Glued", 'Flat Roof Summary'!I17:I87)</f>
        <v>0</v>
      </c>
      <c r="N9" s="216">
        <f>SUM((Takeoff!F14*Project!Y8)*Project!L9)</f>
        <v>0</v>
      </c>
      <c r="R9" s="216" t="s">
        <v>63</v>
      </c>
      <c r="T9" s="335"/>
      <c r="W9" s="216" t="s">
        <v>365</v>
      </c>
      <c r="X9" s="329"/>
      <c r="Y9" s="331">
        <v>0.9</v>
      </c>
      <c r="Z9" s="332" t="s">
        <v>366</v>
      </c>
      <c r="AA9" s="323">
        <v>9</v>
      </c>
      <c r="AB9" s="330"/>
      <c r="AC9" s="330"/>
      <c r="AF9" s="322"/>
      <c r="AG9" s="597"/>
      <c r="AH9" s="598"/>
      <c r="AI9" s="598"/>
      <c r="AJ9" s="597"/>
      <c r="AK9" s="327"/>
    </row>
    <row r="10" spans="1:43">
      <c r="A10" s="517"/>
      <c r="B10" s="522"/>
      <c r="C10" s="522"/>
      <c r="D10" s="523"/>
      <c r="E10" s="517"/>
      <c r="H10" s="216" t="s">
        <v>365</v>
      </c>
      <c r="L10" s="216">
        <f>SUMIF('Flat Roof Summary'!J17:J87, "Screwed", 'Flat Roof Summary'!I17:I87)</f>
        <v>0</v>
      </c>
      <c r="N10" s="216">
        <f>SUM((Takeoff!F14*Project!Y9)*Project!L10)</f>
        <v>0</v>
      </c>
      <c r="S10" s="216" t="s">
        <v>95</v>
      </c>
      <c r="T10" s="329">
        <v>4</v>
      </c>
      <c r="W10" s="216" t="s">
        <v>367</v>
      </c>
      <c r="X10" s="329"/>
      <c r="Y10" s="331">
        <v>0.4</v>
      </c>
      <c r="Z10" s="332" t="s">
        <v>368</v>
      </c>
      <c r="AA10" s="323">
        <v>4</v>
      </c>
      <c r="AB10" s="330"/>
      <c r="AC10" s="330"/>
      <c r="AF10" s="322"/>
      <c r="AG10" s="597"/>
      <c r="AH10" s="598"/>
      <c r="AI10" s="598"/>
      <c r="AJ10" s="597"/>
      <c r="AK10" s="327"/>
    </row>
    <row r="11" spans="1:43">
      <c r="A11" s="517"/>
      <c r="B11" s="543"/>
      <c r="C11" s="543"/>
      <c r="D11" s="544"/>
      <c r="E11" s="517"/>
      <c r="H11" s="216" t="s">
        <v>367</v>
      </c>
      <c r="L11" s="216">
        <f>SUMIF('Flat Roof Summary'!J17:J39, "Mopped", 'Flat Roof Summary'!I17:I39)</f>
        <v>0</v>
      </c>
      <c r="N11" s="216">
        <f>SUM((Takeoff!F14*Project!Y10)*Project!L11)</f>
        <v>0</v>
      </c>
      <c r="S11" s="216" t="s">
        <v>369</v>
      </c>
      <c r="T11" s="329">
        <v>6</v>
      </c>
      <c r="W11" s="216" t="s">
        <v>162</v>
      </c>
      <c r="X11" s="329"/>
      <c r="Y11" s="329">
        <v>0.45</v>
      </c>
      <c r="Z11" s="332" t="s">
        <v>370</v>
      </c>
      <c r="AA11" s="334">
        <v>4.5</v>
      </c>
      <c r="AB11" s="330"/>
      <c r="AC11" s="330"/>
      <c r="AF11" s="546"/>
      <c r="AG11" s="597"/>
      <c r="AH11" s="598"/>
      <c r="AI11" s="598"/>
      <c r="AJ11" s="597"/>
      <c r="AK11" s="322"/>
    </row>
    <row r="12" spans="1:43" ht="21">
      <c r="A12" s="517"/>
      <c r="B12" s="545"/>
      <c r="C12" s="543"/>
      <c r="D12" s="544"/>
      <c r="E12" s="517"/>
      <c r="H12" s="216" t="s">
        <v>162</v>
      </c>
      <c r="L12" s="216">
        <f>SUMIF('Flat Roof Summary'!J17:J39, "Torched", 'Flat Roof Summary'!I17:I39)</f>
        <v>4</v>
      </c>
      <c r="N12" s="216">
        <f>SUM((Takeoff!F14*Project!Y11)*Project!L12)</f>
        <v>25.2</v>
      </c>
      <c r="R12" s="216" t="s">
        <v>65</v>
      </c>
      <c r="T12" s="329"/>
      <c r="W12" s="216" t="s">
        <v>371</v>
      </c>
      <c r="X12" s="329"/>
      <c r="Y12" s="331">
        <v>0.1</v>
      </c>
      <c r="Z12" s="332" t="s">
        <v>372</v>
      </c>
      <c r="AA12" s="323">
        <v>1</v>
      </c>
      <c r="AB12" s="330"/>
      <c r="AC12" s="330"/>
      <c r="AF12" s="322"/>
      <c r="AG12" s="327"/>
      <c r="AH12" s="327"/>
      <c r="AI12" s="327"/>
      <c r="AJ12" s="327"/>
      <c r="AK12" s="599"/>
    </row>
    <row r="13" spans="1:43">
      <c r="A13" s="517"/>
      <c r="B13" s="522"/>
      <c r="C13" s="522"/>
      <c r="D13" s="523"/>
      <c r="E13" s="517"/>
      <c r="H13" s="216" t="s">
        <v>371</v>
      </c>
      <c r="L13" s="216">
        <f>SUMIF('Flat Roof Summary'!J17:J87, "Loose Laid", 'Flat Roof Summary'!I17:I87)</f>
        <v>0</v>
      </c>
      <c r="N13" s="216">
        <f>SUM((Takeoff!F14*Project!Y12)*Project!L13)</f>
        <v>0</v>
      </c>
      <c r="S13" s="216" t="s">
        <v>373</v>
      </c>
      <c r="T13" s="329">
        <v>2</v>
      </c>
      <c r="W13" s="216" t="s">
        <v>199</v>
      </c>
      <c r="X13" s="329"/>
      <c r="Y13" s="331">
        <f>Y19 + IF(D14=TRUE, Y21, 0) + IF(D15="Reuse", Y22, IF(D15="Vacuum", Y23, IF(D15="Crane", Y24, 0))) + IF(D5&gt;8, Y20, 0)</f>
        <v>1.2</v>
      </c>
      <c r="Z13" s="332" t="s">
        <v>374</v>
      </c>
      <c r="AA13" s="323">
        <v>12</v>
      </c>
      <c r="AB13" s="330" t="s">
        <v>375</v>
      </c>
      <c r="AC13" s="330"/>
      <c r="AG13" s="327"/>
      <c r="AH13" s="327"/>
      <c r="AI13" s="327"/>
      <c r="AJ13" s="327"/>
      <c r="AK13" s="327"/>
    </row>
    <row r="14" spans="1:43" ht="18">
      <c r="A14" s="526" t="s">
        <v>376</v>
      </c>
      <c r="B14" s="767" t="s">
        <v>377</v>
      </c>
      <c r="C14" s="768"/>
      <c r="D14" s="425" t="b">
        <v>0</v>
      </c>
      <c r="E14" s="517"/>
      <c r="H14" s="216" t="s">
        <v>199</v>
      </c>
      <c r="L14" s="216">
        <f>IF('Flat Roof Summary'!D44=TRUE, 1,0)</f>
        <v>0</v>
      </c>
      <c r="N14" s="216">
        <f>SUM((Takeoff!F14*Project!Y13)*Project!L14)</f>
        <v>0</v>
      </c>
      <c r="S14" s="216" t="s">
        <v>361</v>
      </c>
      <c r="T14" s="329">
        <v>3</v>
      </c>
      <c r="W14" s="216" t="s">
        <v>378</v>
      </c>
      <c r="X14" s="329"/>
      <c r="Y14" s="329">
        <v>1.5</v>
      </c>
      <c r="Z14" s="332" t="s">
        <v>379</v>
      </c>
      <c r="AA14" s="323">
        <v>15.75</v>
      </c>
      <c r="AB14" s="330"/>
      <c r="AC14" s="330"/>
      <c r="AG14" s="327"/>
      <c r="AH14" s="327"/>
      <c r="AI14" s="327"/>
      <c r="AJ14" s="327"/>
      <c r="AK14" s="327"/>
    </row>
    <row r="15" spans="1:43" ht="18">
      <c r="A15" s="517"/>
      <c r="B15" s="767" t="s">
        <v>380</v>
      </c>
      <c r="C15" s="768"/>
      <c r="D15" s="333" t="s">
        <v>97</v>
      </c>
      <c r="E15" s="517"/>
      <c r="H15" s="216" t="s">
        <v>381</v>
      </c>
      <c r="L15" s="216">
        <f>IF('Flat Roof Summary'!D45="Yes", 'Flat Roof Summary'!I45,0)</f>
        <v>0</v>
      </c>
      <c r="N15" s="216">
        <f>SUM((Takeoff!F14*Project!Y14)*Project!L15)</f>
        <v>0</v>
      </c>
      <c r="S15" s="216" t="s">
        <v>382</v>
      </c>
      <c r="T15" s="329">
        <v>5</v>
      </c>
      <c r="W15" s="216" t="s">
        <v>383</v>
      </c>
      <c r="Y15" s="423">
        <v>0.4</v>
      </c>
      <c r="Z15" s="329" t="s">
        <v>384</v>
      </c>
      <c r="AA15" s="427" t="s">
        <v>385</v>
      </c>
      <c r="AG15" s="327"/>
      <c r="AH15" s="327"/>
      <c r="AI15" s="327"/>
      <c r="AJ15" s="327"/>
      <c r="AK15" s="327"/>
    </row>
    <row r="16" spans="1:43" ht="18">
      <c r="A16" s="517"/>
      <c r="B16" s="526"/>
      <c r="C16" s="526"/>
      <c r="D16" s="523"/>
      <c r="E16" s="517"/>
      <c r="H16" s="216" t="s">
        <v>383</v>
      </c>
      <c r="L16" s="216">
        <f>SUMIF('Flat Roof Summary'!J87, "Induction", 'Flat Roof Summary'!I87)</f>
        <v>0</v>
      </c>
      <c r="N16" s="216">
        <f>SUM((Takeoff!F14*Project!Y15)*Project!L16)</f>
        <v>0</v>
      </c>
      <c r="R16" s="216" t="s">
        <v>67</v>
      </c>
      <c r="T16" s="329"/>
      <c r="W16" s="216" t="s">
        <v>222</v>
      </c>
      <c r="Y16" s="423">
        <v>0.2</v>
      </c>
      <c r="Z16" s="329" t="s">
        <v>386</v>
      </c>
    </row>
    <row r="17" spans="1:30" ht="18">
      <c r="A17" s="526" t="s">
        <v>76</v>
      </c>
      <c r="B17" s="769" t="s">
        <v>387</v>
      </c>
      <c r="C17" s="769"/>
      <c r="D17" s="441" t="s">
        <v>388</v>
      </c>
      <c r="E17" s="517"/>
      <c r="H17" s="216" t="s">
        <v>222</v>
      </c>
      <c r="L17" s="216">
        <f>SUMIF('Flat Roof Summary'!J68, "EPDM", 'Flat Roof Summary'!I68)</f>
        <v>0</v>
      </c>
      <c r="N17" s="216">
        <f>SUM((Takeoff!F14*Project!Y16)*Project!L17)</f>
        <v>0</v>
      </c>
      <c r="S17" s="216" t="s">
        <v>389</v>
      </c>
      <c r="T17" s="329">
        <v>2</v>
      </c>
    </row>
    <row r="18" spans="1:30" ht="18">
      <c r="A18" s="517"/>
      <c r="B18" s="767" t="s">
        <v>390</v>
      </c>
      <c r="C18" s="768"/>
      <c r="D18" s="386" t="b">
        <v>0</v>
      </c>
      <c r="E18" s="517"/>
      <c r="H18" s="338" t="s">
        <v>391</v>
      </c>
      <c r="I18" s="326"/>
      <c r="J18" s="326"/>
      <c r="K18" s="326"/>
      <c r="L18" s="338">
        <f>SUM(L8:M17)</f>
        <v>7.5</v>
      </c>
      <c r="M18" s="326"/>
      <c r="N18" s="338">
        <f>SUM(N8:N17)</f>
        <v>64.400000000000006</v>
      </c>
      <c r="O18" s="326"/>
      <c r="R18" s="216" t="s">
        <v>68</v>
      </c>
      <c r="T18" s="329"/>
      <c r="V18" s="318" t="s">
        <v>376</v>
      </c>
      <c r="W18" s="319"/>
    </row>
    <row r="19" spans="1:30" ht="18">
      <c r="A19" s="517"/>
      <c r="B19" s="774" t="s">
        <v>392</v>
      </c>
      <c r="C19" s="775"/>
      <c r="D19" s="386" t="b">
        <v>0</v>
      </c>
      <c r="E19" s="517"/>
      <c r="S19" s="216" t="s">
        <v>393</v>
      </c>
      <c r="T19" s="329">
        <v>3</v>
      </c>
      <c r="W19" s="216" t="s">
        <v>394</v>
      </c>
      <c r="Y19" s="424">
        <v>1.2</v>
      </c>
      <c r="Z19" s="216" t="s">
        <v>395</v>
      </c>
    </row>
    <row r="20" spans="1:30" ht="18">
      <c r="A20" s="517"/>
      <c r="B20" s="767" t="s">
        <v>396</v>
      </c>
      <c r="C20" s="768"/>
      <c r="D20" s="386" t="b">
        <v>0</v>
      </c>
      <c r="E20" s="517"/>
      <c r="H20" s="318" t="s">
        <v>397</v>
      </c>
      <c r="I20" s="318"/>
      <c r="J20" s="318"/>
      <c r="K20" s="318"/>
      <c r="L20" s="319"/>
      <c r="M20" s="319"/>
      <c r="N20" s="318" cm="1">
        <f t="array" ref="N20" xml:space="preserve">
SUMPRODUCT(Takeoff!F41:F48 * (Takeoff!G41:G48 + Takeoff!H41:H48))</f>
        <v>12</v>
      </c>
      <c r="O20" s="319"/>
      <c r="S20" s="216" t="s">
        <v>95</v>
      </c>
      <c r="T20" s="329">
        <v>4</v>
      </c>
      <c r="W20" s="216" t="s">
        <v>398</v>
      </c>
      <c r="Y20" s="349">
        <v>0.1</v>
      </c>
      <c r="Z20" s="216" t="s">
        <v>399</v>
      </c>
    </row>
    <row r="21" spans="1:30" ht="18">
      <c r="A21" s="517"/>
      <c r="B21" s="767" t="s">
        <v>400</v>
      </c>
      <c r="C21" s="768"/>
      <c r="D21" s="386" t="b">
        <v>0</v>
      </c>
      <c r="E21" s="517"/>
      <c r="S21" s="216" t="s">
        <v>369</v>
      </c>
      <c r="T21" s="329">
        <v>6</v>
      </c>
      <c r="W21" s="216" t="s">
        <v>401</v>
      </c>
      <c r="Y21" s="349">
        <v>-0.4</v>
      </c>
      <c r="Z21" s="216" t="s">
        <v>402</v>
      </c>
    </row>
    <row r="22" spans="1:30" ht="14.25">
      <c r="A22" s="517"/>
      <c r="B22" s="770" t="s">
        <v>403</v>
      </c>
      <c r="C22" s="771"/>
      <c r="D22" s="441">
        <f>Takeoff!F16</f>
        <v>10</v>
      </c>
      <c r="E22" s="517"/>
      <c r="H22" s="318" t="s">
        <v>404</v>
      </c>
      <c r="I22" s="319"/>
      <c r="J22" s="319"/>
      <c r="K22" s="319"/>
      <c r="L22" s="319"/>
      <c r="M22" s="319"/>
      <c r="N22" s="464">
        <f>Takeoff!I36</f>
        <v>0</v>
      </c>
      <c r="O22" s="319"/>
      <c r="R22" s="216" t="s">
        <v>70</v>
      </c>
      <c r="T22" s="329"/>
      <c r="W22" s="216" t="s">
        <v>405</v>
      </c>
      <c r="Y22" s="349">
        <v>0</v>
      </c>
      <c r="Z22" s="216" t="s">
        <v>406</v>
      </c>
    </row>
    <row r="23" spans="1:30" ht="14.25">
      <c r="A23" s="517"/>
      <c r="B23" s="772"/>
      <c r="C23" s="773"/>
      <c r="D23" s="441" t="s">
        <v>95</v>
      </c>
      <c r="E23" s="517"/>
      <c r="S23" s="216" t="s">
        <v>389</v>
      </c>
      <c r="T23" s="329">
        <v>2</v>
      </c>
      <c r="W23" s="216" t="s">
        <v>407</v>
      </c>
      <c r="Y23" s="329">
        <v>-0.6</v>
      </c>
      <c r="Z23" s="216" t="s">
        <v>408</v>
      </c>
    </row>
    <row r="24" spans="1:30">
      <c r="A24" s="517"/>
      <c r="B24" s="522"/>
      <c r="C24" s="522"/>
      <c r="D24" s="523"/>
      <c r="E24" s="517"/>
      <c r="H24" s="318" t="s">
        <v>409</v>
      </c>
      <c r="I24" s="319"/>
      <c r="J24" s="319"/>
      <c r="K24" s="319"/>
      <c r="L24" s="319"/>
      <c r="M24" s="319"/>
      <c r="N24" s="319"/>
      <c r="O24" s="319"/>
      <c r="R24" s="216" t="s">
        <v>71</v>
      </c>
      <c r="T24" s="329"/>
      <c r="W24" s="216" t="s">
        <v>352</v>
      </c>
      <c r="Y24" s="329">
        <v>0.2</v>
      </c>
      <c r="Z24" s="216" t="s">
        <v>410</v>
      </c>
    </row>
    <row r="25" spans="1:30" ht="18">
      <c r="A25" s="526" t="s">
        <v>115</v>
      </c>
      <c r="B25" s="767" t="s">
        <v>411</v>
      </c>
      <c r="C25" s="768"/>
      <c r="D25" s="333" t="s">
        <v>412</v>
      </c>
      <c r="E25" s="521"/>
      <c r="F25" s="216" t="s">
        <v>78</v>
      </c>
      <c r="H25" s="216" t="s">
        <v>413</v>
      </c>
      <c r="N25" s="341" cm="1">
        <f t="array" ref="N25">SUMPRODUCT(
   (Takeoff!G53:G57&lt;25)*(Takeoff!F53:F57/15))</f>
        <v>14.333333333333334</v>
      </c>
      <c r="S25" s="216" t="s">
        <v>414</v>
      </c>
      <c r="T25" s="329">
        <v>2</v>
      </c>
      <c r="W25" s="216" t="s">
        <v>415</v>
      </c>
    </row>
    <row r="26" spans="1:30" ht="18">
      <c r="A26" s="517"/>
      <c r="B26" s="767" t="s">
        <v>416</v>
      </c>
      <c r="C26" s="768"/>
      <c r="D26" s="328">
        <v>0</v>
      </c>
      <c r="E26" s="517"/>
      <c r="F26" s="216" t="s">
        <v>78</v>
      </c>
      <c r="H26" s="216" t="s">
        <v>417</v>
      </c>
      <c r="N26" s="341" cm="1">
        <f t="array" ref="N26">SUMPRODUCT(
   (Takeoff!G53:G57&gt;=25)*(Takeoff!G53:G57&lt;=69)*(Takeoff!F53:F57/12))</f>
        <v>0</v>
      </c>
      <c r="S26" s="216" t="s">
        <v>418</v>
      </c>
      <c r="T26" s="329">
        <v>4</v>
      </c>
    </row>
    <row r="27" spans="1:30">
      <c r="A27" s="517"/>
      <c r="B27" s="531"/>
      <c r="C27" s="531"/>
      <c r="D27" s="532"/>
      <c r="E27" s="517"/>
      <c r="F27" s="216" t="s">
        <v>78</v>
      </c>
      <c r="H27" s="216" t="s">
        <v>419</v>
      </c>
      <c r="N27" s="341" cm="1">
        <f t="array" ref="N27">SUMPRODUCT((Takeoff!G53:G57&gt;69)*(Takeoff!F53:F57/9)
 )</f>
        <v>0</v>
      </c>
      <c r="S27" s="216" t="s">
        <v>420</v>
      </c>
      <c r="T27" s="329" t="s">
        <v>421</v>
      </c>
      <c r="V27" s="318" t="s">
        <v>422</v>
      </c>
      <c r="W27" s="319"/>
      <c r="X27" s="216" t="s">
        <v>423</v>
      </c>
      <c r="AB27" s="216" t="s">
        <v>424</v>
      </c>
      <c r="AC27" s="329" t="s">
        <v>355</v>
      </c>
      <c r="AD27" s="216" t="s">
        <v>349</v>
      </c>
    </row>
    <row r="28" spans="1:30">
      <c r="A28" s="213"/>
      <c r="F28" s="216" t="s">
        <v>77</v>
      </c>
      <c r="H28" s="216" t="s">
        <v>425</v>
      </c>
      <c r="N28" s="341" cm="1">
        <f t="array" ref="N28">SUMPRODUCT(
   (Takeoff!G53:G57&lt;25)*(Takeoff!F53:F57/22.5))</f>
        <v>9.5555555555555554</v>
      </c>
      <c r="W28" s="216" t="s">
        <v>393</v>
      </c>
      <c r="X28" s="216" t="s">
        <v>426</v>
      </c>
      <c r="AB28" s="216">
        <v>160</v>
      </c>
      <c r="AC28" s="329" t="s">
        <v>427</v>
      </c>
      <c r="AD28" s="329">
        <v>5</v>
      </c>
    </row>
    <row r="29" spans="1:30" ht="21">
      <c r="A29" s="217" t="s">
        <v>428</v>
      </c>
      <c r="B29" s="757" t="s">
        <v>429</v>
      </c>
      <c r="C29" s="759" t="s">
        <v>430</v>
      </c>
      <c r="D29" s="761" t="s">
        <v>431</v>
      </c>
      <c r="F29" s="216" t="s">
        <v>77</v>
      </c>
      <c r="H29" s="216" t="s">
        <v>432</v>
      </c>
      <c r="N29" s="341" cm="1">
        <f t="array" ref="N29">SUMPRODUCT((Takeoff!G53:G57&gt;=25)*(Takeoff!G53:G57&lt;=69)*(Takeoff!F53:F57/18) )</f>
        <v>0</v>
      </c>
      <c r="Q29" s="318" t="s">
        <v>76</v>
      </c>
      <c r="R29" s="216" t="s">
        <v>433</v>
      </c>
      <c r="T29" s="216" t="s">
        <v>349</v>
      </c>
      <c r="W29" s="216" t="s">
        <v>434</v>
      </c>
      <c r="X29" s="216" t="s">
        <v>435</v>
      </c>
      <c r="AB29" s="216">
        <v>160</v>
      </c>
      <c r="AC29" s="329" t="s">
        <v>436</v>
      </c>
      <c r="AD29" s="329">
        <v>10</v>
      </c>
    </row>
    <row r="30" spans="1:30" ht="14.25">
      <c r="A30" s="214"/>
      <c r="B30" s="758"/>
      <c r="C30" s="760"/>
      <c r="D30" s="762"/>
      <c r="F30" s="216" t="s">
        <v>77</v>
      </c>
      <c r="H30" s="216" t="s">
        <v>437</v>
      </c>
      <c r="N30" s="341" cm="1">
        <f t="array" ref="N30">SUMPRODUCT((Takeoff!G53:G57&gt;69)*(Takeoff!F53:F57/15)
 )</f>
        <v>0</v>
      </c>
      <c r="Q30" s="216" t="s">
        <v>86</v>
      </c>
      <c r="R30" s="331">
        <v>1.2</v>
      </c>
      <c r="S30" s="329" t="s">
        <v>438</v>
      </c>
      <c r="T30" s="216" t="s">
        <v>439</v>
      </c>
      <c r="W30" s="216" t="s">
        <v>440</v>
      </c>
      <c r="X30" s="216" t="s">
        <v>441</v>
      </c>
      <c r="AB30" s="216">
        <v>160</v>
      </c>
      <c r="AC30" s="329" t="s">
        <v>442</v>
      </c>
      <c r="AD30" s="329">
        <v>20</v>
      </c>
    </row>
    <row r="31" spans="1:30" ht="15.75">
      <c r="A31" s="220" t="s">
        <v>443</v>
      </c>
      <c r="B31" s="339" t="s">
        <v>444</v>
      </c>
      <c r="C31" s="340">
        <f>SUM(N36:N38)*1.1</f>
        <v>113.7743688888889</v>
      </c>
      <c r="D31" s="340">
        <f>C31/6/10</f>
        <v>1.8962394814814818</v>
      </c>
      <c r="H31" s="326" t="s">
        <v>445</v>
      </c>
      <c r="I31" s="326"/>
      <c r="J31" s="326"/>
      <c r="K31" s="326"/>
      <c r="L31" s="326"/>
      <c r="M31" s="326"/>
      <c r="N31" s="343">
        <f>SUM(N25:N30)</f>
        <v>23.888888888888889</v>
      </c>
      <c r="O31" s="326"/>
      <c r="R31" s="216">
        <v>1</v>
      </c>
      <c r="S31" s="329" t="s">
        <v>446</v>
      </c>
      <c r="T31" s="329">
        <v>30</v>
      </c>
      <c r="W31" s="216" t="s">
        <v>369</v>
      </c>
      <c r="X31" s="216" t="s">
        <v>447</v>
      </c>
      <c r="AB31" s="216">
        <v>160</v>
      </c>
      <c r="AC31" s="329" t="s">
        <v>448</v>
      </c>
      <c r="AD31" s="329">
        <v>40</v>
      </c>
    </row>
    <row r="32" spans="1:30" ht="26.25">
      <c r="A32" s="220" t="s">
        <v>449</v>
      </c>
      <c r="B32" s="339" t="s">
        <v>450</v>
      </c>
      <c r="C32" s="340">
        <f>ROUNDUP(C34*0.5,0)</f>
        <v>49</v>
      </c>
      <c r="D32" s="340">
        <f>C32/6/10</f>
        <v>0.81666666666666665</v>
      </c>
      <c r="R32" s="511">
        <v>0.75</v>
      </c>
      <c r="S32" s="329" t="s">
        <v>451</v>
      </c>
      <c r="T32" s="329">
        <v>30</v>
      </c>
    </row>
    <row r="33" spans="1:30" ht="15.75">
      <c r="A33" s="219" t="s">
        <v>452</v>
      </c>
      <c r="B33" s="339" t="s">
        <v>453</v>
      </c>
      <c r="C33" s="421">
        <f>ROUNDUP(C34*0.3,0)*8</f>
        <v>240</v>
      </c>
      <c r="D33" s="218">
        <f>C33/6/10</f>
        <v>4</v>
      </c>
      <c r="H33" s="318" t="s">
        <v>454</v>
      </c>
      <c r="I33" s="319"/>
      <c r="J33" s="319"/>
      <c r="K33" s="319"/>
      <c r="L33" s="319"/>
      <c r="M33" s="319"/>
      <c r="N33" s="318">
        <f>(Takeoff!F16*1.1)</f>
        <v>11</v>
      </c>
      <c r="O33" s="319"/>
      <c r="S33" s="329"/>
      <c r="V33" s="318" t="s">
        <v>422</v>
      </c>
      <c r="W33" s="319"/>
      <c r="X33" s="216" t="s">
        <v>455</v>
      </c>
      <c r="Z33" s="216" t="s">
        <v>456</v>
      </c>
      <c r="AA33" s="216" t="s">
        <v>457</v>
      </c>
      <c r="AB33" s="216" t="s">
        <v>458</v>
      </c>
    </row>
    <row r="34" spans="1:30" ht="26.25">
      <c r="A34" s="220" t="s">
        <v>459</v>
      </c>
      <c r="B34" s="339" t="s">
        <v>460</v>
      </c>
      <c r="C34" s="340">
        <f>(N18+N31)*1.1</f>
        <v>97.117777777777789</v>
      </c>
      <c r="D34" s="340">
        <f t="shared" ref="D34:D39" si="0">C34/6/10</f>
        <v>1.6186296296296299</v>
      </c>
      <c r="Q34" s="216" t="s">
        <v>461</v>
      </c>
      <c r="S34" s="329" t="s">
        <v>462</v>
      </c>
      <c r="T34" s="329">
        <v>40</v>
      </c>
      <c r="W34" s="215" t="s">
        <v>463</v>
      </c>
      <c r="X34" s="215"/>
      <c r="Z34" s="216" t="s">
        <v>464</v>
      </c>
      <c r="AA34" s="342" t="s">
        <v>465</v>
      </c>
      <c r="AB34" s="216">
        <v>5</v>
      </c>
    </row>
    <row r="35" spans="1:30" ht="26.25">
      <c r="A35" s="220" t="s">
        <v>466</v>
      </c>
      <c r="B35" s="339" t="s">
        <v>467</v>
      </c>
      <c r="C35" s="340">
        <f>N33</f>
        <v>11</v>
      </c>
      <c r="D35" s="340">
        <f t="shared" si="0"/>
        <v>0.18333333333333332</v>
      </c>
      <c r="H35" s="318" t="s">
        <v>346</v>
      </c>
      <c r="I35" s="318"/>
      <c r="J35" s="318"/>
      <c r="K35" s="319"/>
      <c r="L35" s="319"/>
      <c r="M35" s="319"/>
      <c r="N35" s="319"/>
      <c r="O35" s="319"/>
      <c r="S35" s="329" t="s">
        <v>468</v>
      </c>
      <c r="T35" s="329">
        <v>20</v>
      </c>
      <c r="W35" s="215" t="s">
        <v>469</v>
      </c>
      <c r="X35" s="215"/>
      <c r="Z35" s="216" t="s">
        <v>470</v>
      </c>
      <c r="AA35" s="342">
        <v>4.38</v>
      </c>
      <c r="AB35" s="216">
        <v>3</v>
      </c>
    </row>
    <row r="36" spans="1:30" ht="15.75">
      <c r="A36" s="220" t="s">
        <v>471</v>
      </c>
      <c r="B36" s="339" t="s">
        <v>472</v>
      </c>
      <c r="C36" s="340">
        <f>N20+N22</f>
        <v>12</v>
      </c>
      <c r="D36" s="340">
        <f t="shared" si="0"/>
        <v>0.2</v>
      </c>
      <c r="I36" s="216" t="s">
        <v>473</v>
      </c>
      <c r="N36" s="351">
        <f>D5</f>
        <v>2</v>
      </c>
      <c r="S36" s="329" t="s">
        <v>474</v>
      </c>
      <c r="T36" s="329">
        <v>10</v>
      </c>
      <c r="W36" s="215" t="s">
        <v>475</v>
      </c>
      <c r="X36" s="215"/>
      <c r="Z36" s="216" t="s">
        <v>476</v>
      </c>
      <c r="AA36" s="342">
        <v>1.88</v>
      </c>
      <c r="AB36" s="216">
        <v>1.5</v>
      </c>
    </row>
    <row r="37" spans="1:30" ht="15.75">
      <c r="A37" s="220" t="s">
        <v>423</v>
      </c>
      <c r="B37" s="339" t="s">
        <v>477</v>
      </c>
      <c r="C37" s="340">
        <f>N40</f>
        <v>9.7117777777777796</v>
      </c>
      <c r="D37" s="340">
        <f t="shared" si="0"/>
        <v>0.16186296296296299</v>
      </c>
      <c r="I37" s="216" t="s">
        <v>352</v>
      </c>
      <c r="N37" s="352">
        <f>(
    IF(D6="yes",
        IF(D5&lt;3, AA44,
            IF(AND(D5&gt;2, D5&lt;16), AA45,
                IF(D5&gt;15, AA46, 0)
            )
        ),
        0
    )
    +
    IF(D7="Easy", 0,
        IF(D7="Normal", 1,
            IF(D7="Hard", 3, 0)
        )
    )
) * D8</f>
        <v>93</v>
      </c>
      <c r="Q37" s="216" t="s">
        <v>478</v>
      </c>
      <c r="R37" s="216">
        <v>1</v>
      </c>
      <c r="S37" s="329" t="s">
        <v>479</v>
      </c>
      <c r="T37" s="329" t="s">
        <v>480</v>
      </c>
      <c r="W37" s="216" t="s">
        <v>481</v>
      </c>
    </row>
    <row r="38" spans="1:30" ht="15.75">
      <c r="A38" s="220" t="s">
        <v>76</v>
      </c>
      <c r="B38" s="339" t="s">
        <v>482</v>
      </c>
      <c r="C38" s="340">
        <f>N43+N44</f>
        <v>77.333333333333343</v>
      </c>
      <c r="D38" s="340">
        <f>C38/6/10</f>
        <v>1.2888888888888892</v>
      </c>
      <c r="I38" s="216" t="s">
        <v>483</v>
      </c>
      <c r="N38" s="351">
        <f>IF(D9="Easy",(SUM(D32:D40)*0.5),
IF(D9="Normal",(SUM(D32:D40)*1),
IF(D9="Hard",(SUM(D32:D40)*2),0)))</f>
        <v>8.4312444444444452</v>
      </c>
      <c r="R38" s="216">
        <v>0.9</v>
      </c>
      <c r="S38" s="329" t="s">
        <v>484</v>
      </c>
      <c r="W38" s="216" t="s">
        <v>485</v>
      </c>
    </row>
    <row r="39" spans="1:30" ht="15.75">
      <c r="A39" s="220" t="s">
        <v>114</v>
      </c>
      <c r="B39" s="339" t="s">
        <v>486</v>
      </c>
      <c r="C39" s="340" cm="1">
        <f t="array" ref="C39">SUMPRODUCT(Takeoff!C32:C35*0.5) + Takeoff!E37</f>
        <v>0</v>
      </c>
      <c r="D39" s="340">
        <f t="shared" si="0"/>
        <v>0</v>
      </c>
      <c r="R39" s="216">
        <v>1.5</v>
      </c>
      <c r="S39" s="329" t="s">
        <v>487</v>
      </c>
    </row>
    <row r="40" spans="1:30" ht="15.75">
      <c r="A40" s="220" t="s">
        <v>488</v>
      </c>
      <c r="B40" s="339" t="s">
        <v>489</v>
      </c>
      <c r="C40" s="340">
        <f>C34*0.1</f>
        <v>9.7117777777777796</v>
      </c>
      <c r="D40" s="344">
        <f>C40/6/10</f>
        <v>0.16186296296296299</v>
      </c>
      <c r="H40" s="318" t="s">
        <v>423</v>
      </c>
      <c r="I40" s="319"/>
      <c r="J40" s="319"/>
      <c r="K40" s="319"/>
      <c r="L40" s="319"/>
      <c r="M40" s="319"/>
      <c r="N40" s="353" cm="1">
        <f t="array" ref="N40" xml:space="preserve">
(SUMPRODUCT((Takeoff!E53:E57="Cant") * (Takeoff!F53:F57/160) * 1.1))
+
(
SUMPRODUCT(
IF((Takeoff!E68:E76="Plywood")*(Takeoff!G68:G76&gt;0)*(Takeoff!G68:G76&lt;3),(Takeoff!F68:F76/160)*5,
IF((Takeoff!E68:E76="Plywood")*(Takeoff!G68:G76&gt;2),(Takeoff!F68:F76/160)*10,
IF((Takeoff!E68:E76="Vertical")*(Takeoff!G68:G76&gt;0)*(Takeoff!G68:G76&lt;5),(Takeoff!F68:F76/160)*10,
IF((Takeoff!E68:E76="Vertical")*(Takeoff!G68:G76&gt;4),(Takeoff!F68:F76/160)*20,
IF((Takeoff!E68:E76="Horizontal")*(Takeoff!G68:G76&gt;0)*(Takeoff!G68:G76&lt;5),(Takeoff!F68:F76/160)*10,
IF((Takeoff!E68:E76="Horizontal")*(Takeoff!G68:G76&gt;4),(Takeoff!F68:F76/160)*20,0)))))))
)
+
(IF(D25="Yes",(D26/160)*40,0))
+
(C34*0.1)</f>
        <v>9.7117777777777796</v>
      </c>
      <c r="Q40" s="216" t="s">
        <v>490</v>
      </c>
      <c r="S40" s="354" t="s">
        <v>491</v>
      </c>
      <c r="V40" s="318" t="s">
        <v>492</v>
      </c>
      <c r="W40" s="319"/>
      <c r="X40" s="216" t="s">
        <v>493</v>
      </c>
    </row>
    <row r="41" spans="1:30">
      <c r="A41" s="316"/>
      <c r="B41" s="346"/>
      <c r="C41" s="347" t="s">
        <v>9</v>
      </c>
      <c r="D41" s="348" t="s">
        <v>494</v>
      </c>
      <c r="S41" s="216" t="s">
        <v>495</v>
      </c>
      <c r="T41" s="355">
        <v>-0.1</v>
      </c>
      <c r="W41" s="216" t="s">
        <v>496</v>
      </c>
      <c r="X41" s="216" t="s">
        <v>497</v>
      </c>
      <c r="Y41" s="216" t="s">
        <v>498</v>
      </c>
    </row>
    <row r="42" spans="1:30" ht="23.25">
      <c r="A42" s="350"/>
      <c r="B42" s="350"/>
      <c r="C42" s="763">
        <f>SUM(C31:C40)</f>
        <v>619.64903555555566</v>
      </c>
      <c r="D42" s="765">
        <f>SUM(D31:D39)</f>
        <v>10.165620962962965</v>
      </c>
      <c r="H42" s="318" t="s">
        <v>76</v>
      </c>
      <c r="I42" s="318"/>
      <c r="J42" s="318"/>
      <c r="K42" s="318"/>
      <c r="L42" s="318"/>
      <c r="M42" s="318"/>
      <c r="N42" s="319"/>
      <c r="S42" s="216" t="s">
        <v>499</v>
      </c>
      <c r="T42" s="355">
        <v>-0.1</v>
      </c>
    </row>
    <row r="43" spans="1:30" ht="23.25">
      <c r="A43" s="350"/>
      <c r="B43" s="350"/>
      <c r="C43" s="763"/>
      <c r="D43" s="765"/>
      <c r="H43" s="357"/>
      <c r="I43" s="216" t="s">
        <v>50</v>
      </c>
      <c r="N43" s="508">
        <f xml:space="preserve">
 (
  SUMIF(Takeoff!I53:I57, "Easy", Takeoff!R53:R57) * Project!R32
+ SUMIF(Takeoff!I53:I57, "Normal", Takeoff!R53:R57) * Project!R31
+ SUMIF(Takeoff!I53:I57, "Hard", Takeoff!R53:R57) * Project!R30
  )
+
 (SUM(Takeoff!R53:R57))
+
  (
   Project!D22*(IF(Project!D23="Easy",Project!T48,
        IF(Project!D23="Normal",Project!T47,
        0)))
  )
+
  (
   IF(Project!D17="1-2 Stories",Project!T36,
   IF(Project!D17="Hoist/Elevator",Project!T35,
   IF(Project!D17="Crane/Stairs",Project!T34,
   0)))
  )</f>
        <v>77.333333333333343</v>
      </c>
      <c r="Q43" s="746" t="s">
        <v>500</v>
      </c>
      <c r="R43" s="746"/>
      <c r="S43" s="746"/>
      <c r="T43" s="355">
        <v>-0.1</v>
      </c>
      <c r="V43" s="318" t="s">
        <v>346</v>
      </c>
      <c r="X43" s="345"/>
      <c r="Y43" s="345"/>
      <c r="Z43" s="216" t="s">
        <v>501</v>
      </c>
      <c r="AA43" s="216" t="s">
        <v>502</v>
      </c>
    </row>
    <row r="44" spans="1:30" ht="23.25">
      <c r="A44" s="350"/>
      <c r="B44" s="350"/>
      <c r="C44" s="764"/>
      <c r="D44" s="766"/>
      <c r="I44" s="216" t="s">
        <v>103</v>
      </c>
      <c r="N44" s="535">
        <f>Takeoff!O65</f>
        <v>0</v>
      </c>
      <c r="S44" s="216" t="s">
        <v>503</v>
      </c>
      <c r="V44" s="330" t="s">
        <v>352</v>
      </c>
      <c r="W44" s="216" t="s">
        <v>388</v>
      </c>
      <c r="Y44" s="216" t="s">
        <v>504</v>
      </c>
      <c r="Z44" s="329">
        <v>5</v>
      </c>
      <c r="AA44" s="216">
        <v>30</v>
      </c>
      <c r="AC44" s="329" t="s">
        <v>393</v>
      </c>
      <c r="AD44" s="349" t="s">
        <v>505</v>
      </c>
    </row>
    <row r="45" spans="1:30">
      <c r="S45" s="216" t="s">
        <v>506</v>
      </c>
      <c r="T45" s="355">
        <v>-0.1</v>
      </c>
      <c r="W45" s="216" t="s">
        <v>507</v>
      </c>
      <c r="Y45" s="216" t="s">
        <v>508</v>
      </c>
      <c r="Z45" s="329">
        <v>7</v>
      </c>
      <c r="AA45" s="216">
        <v>42</v>
      </c>
      <c r="AC45" s="329" t="s">
        <v>95</v>
      </c>
      <c r="AD45" s="349" t="s">
        <v>509</v>
      </c>
    </row>
    <row r="46" spans="1:30">
      <c r="S46" s="216" t="s">
        <v>400</v>
      </c>
      <c r="T46" s="355">
        <v>-0.2</v>
      </c>
      <c r="W46" s="216" t="s">
        <v>510</v>
      </c>
      <c r="Y46" s="216" t="s">
        <v>511</v>
      </c>
      <c r="Z46" s="329">
        <v>9</v>
      </c>
      <c r="AA46" s="216">
        <v>54</v>
      </c>
      <c r="AC46" s="329" t="s">
        <v>369</v>
      </c>
      <c r="AD46" s="349" t="s">
        <v>512</v>
      </c>
    </row>
    <row r="47" spans="1:30">
      <c r="D47" s="356"/>
      <c r="Q47" s="216" t="s">
        <v>454</v>
      </c>
      <c r="S47" s="216" t="s">
        <v>513</v>
      </c>
      <c r="T47" s="216">
        <v>1</v>
      </c>
      <c r="V47" s="216" t="s">
        <v>483</v>
      </c>
    </row>
    <row r="48" spans="1:30">
      <c r="S48" s="216" t="s">
        <v>514</v>
      </c>
      <c r="T48" s="216">
        <v>0.5</v>
      </c>
      <c r="W48" s="216" t="s">
        <v>515</v>
      </c>
      <c r="AA48" s="216" t="s">
        <v>516</v>
      </c>
    </row>
    <row r="49" spans="14:27" ht="17.649999999999999" customHeight="1">
      <c r="W49" s="216" t="s">
        <v>517</v>
      </c>
      <c r="AA49" s="216">
        <v>1</v>
      </c>
    </row>
    <row r="50" spans="14:27" ht="27" customHeight="1">
      <c r="N50" s="746" t="s">
        <v>518</v>
      </c>
      <c r="O50" s="746"/>
      <c r="P50" s="746"/>
      <c r="Q50" s="746"/>
      <c r="R50" s="746"/>
      <c r="S50" s="746"/>
      <c r="T50" s="746"/>
      <c r="U50" s="746"/>
      <c r="V50" s="746"/>
      <c r="W50" s="216" t="s">
        <v>510</v>
      </c>
      <c r="Y50" s="216" t="s">
        <v>519</v>
      </c>
      <c r="AA50" s="216">
        <v>2</v>
      </c>
    </row>
    <row r="51" spans="14:27">
      <c r="V51" s="216" t="s">
        <v>520</v>
      </c>
    </row>
    <row r="52" spans="14:27">
      <c r="Q52" s="216" t="s">
        <v>521</v>
      </c>
      <c r="R52" s="427" t="s">
        <v>522</v>
      </c>
      <c r="S52" s="427"/>
      <c r="T52" s="216" t="s">
        <v>523</v>
      </c>
      <c r="W52" s="216" t="s">
        <v>524</v>
      </c>
    </row>
    <row r="53" spans="14:27">
      <c r="R53" s="216" t="s">
        <v>130</v>
      </c>
      <c r="T53" s="216" t="s">
        <v>525</v>
      </c>
      <c r="U53" s="329" t="s">
        <v>526</v>
      </c>
      <c r="W53" s="216" t="s">
        <v>527</v>
      </c>
    </row>
    <row r="54" spans="14:27">
      <c r="S54" s="216" t="s">
        <v>528</v>
      </c>
      <c r="T54" s="216">
        <v>8</v>
      </c>
      <c r="U54" s="216">
        <v>1</v>
      </c>
    </row>
    <row r="55" spans="14:27">
      <c r="S55" s="422" t="s">
        <v>529</v>
      </c>
      <c r="T55" s="216">
        <v>7</v>
      </c>
      <c r="U55" s="216">
        <v>0.875</v>
      </c>
    </row>
    <row r="56" spans="14:27">
      <c r="S56" s="354" t="s">
        <v>530</v>
      </c>
      <c r="T56" s="216">
        <v>6</v>
      </c>
      <c r="U56" s="216">
        <v>0.75</v>
      </c>
    </row>
    <row r="57" spans="14:27">
      <c r="S57" s="216" t="s">
        <v>531</v>
      </c>
      <c r="T57" s="216">
        <v>5</v>
      </c>
      <c r="U57" s="216">
        <v>0.625</v>
      </c>
    </row>
    <row r="58" spans="14:27">
      <c r="R58" s="216" t="s">
        <v>532</v>
      </c>
    </row>
    <row r="59" spans="14:27">
      <c r="R59" s="216" t="s">
        <v>107</v>
      </c>
      <c r="U59" s="216">
        <v>-0.3</v>
      </c>
    </row>
    <row r="60" spans="14:27">
      <c r="R60" s="216" t="s">
        <v>533</v>
      </c>
      <c r="U60" s="216">
        <v>-0.1</v>
      </c>
    </row>
    <row r="61" spans="14:27">
      <c r="R61" s="216" t="s">
        <v>534</v>
      </c>
      <c r="U61" s="216">
        <v>-0.05</v>
      </c>
    </row>
    <row r="62" spans="14:27">
      <c r="R62" s="514" t="s">
        <v>535</v>
      </c>
      <c r="T62" s="528" t="s">
        <v>393</v>
      </c>
      <c r="U62" s="216">
        <v>-0.05</v>
      </c>
    </row>
    <row r="63" spans="14:27">
      <c r="T63" s="528" t="s">
        <v>95</v>
      </c>
      <c r="U63" s="216">
        <v>-0.1</v>
      </c>
    </row>
    <row r="64" spans="14:27">
      <c r="T64" s="528" t="s">
        <v>369</v>
      </c>
      <c r="U64" s="216">
        <v>-0.2</v>
      </c>
    </row>
  </sheetData>
  <mergeCells count="22">
    <mergeCell ref="B26:C26"/>
    <mergeCell ref="B22:C23"/>
    <mergeCell ref="B18:C18"/>
    <mergeCell ref="B19:C19"/>
    <mergeCell ref="B20:C20"/>
    <mergeCell ref="B21:C21"/>
    <mergeCell ref="Q43:S43"/>
    <mergeCell ref="N50:V50"/>
    <mergeCell ref="B2:B3"/>
    <mergeCell ref="B5:C5"/>
    <mergeCell ref="B6:C7"/>
    <mergeCell ref="H6:O6"/>
    <mergeCell ref="B9:C9"/>
    <mergeCell ref="B29:B30"/>
    <mergeCell ref="C29:C30"/>
    <mergeCell ref="D29:D30"/>
    <mergeCell ref="C42:C44"/>
    <mergeCell ref="D42:D44"/>
    <mergeCell ref="B14:C14"/>
    <mergeCell ref="B15:C15"/>
    <mergeCell ref="B17:C17"/>
    <mergeCell ref="B25:C25"/>
  </mergeCells>
  <phoneticPr fontId="29" type="noConversion"/>
  <dataValidations count="7">
    <dataValidation type="list" allowBlank="1" showInputMessage="1" showErrorMessage="1" sqref="D25" xr:uid="{C32480AA-2CAD-47BE-8E42-602053F1AB37}">
      <formula1>"No, Yes"</formula1>
    </dataValidation>
    <dataValidation type="list" allowBlank="1" showInputMessage="1" showErrorMessage="1" sqref="D7 D9" xr:uid="{135C7CCA-EB14-489B-8347-8027B7B25073}">
      <formula1>"Choose, Easy, Normal, Hard"</formula1>
    </dataValidation>
    <dataValidation type="list" allowBlank="1" showInputMessage="1" showErrorMessage="1" sqref="D15" xr:uid="{6331E00C-8C0D-4271-820A-7D8E13A8528D}">
      <formula1>"Choose, Reuse, Vacuum, Crane"</formula1>
    </dataValidation>
    <dataValidation type="list" allowBlank="1" showInputMessage="1" showErrorMessage="1" sqref="D23" xr:uid="{3C517178-83C4-4589-AC0E-B50CFAE02B82}">
      <formula1>"Difficulty, Easy, Normal"</formula1>
    </dataValidation>
    <dataValidation type="list" allowBlank="1" showInputMessage="1" showErrorMessage="1" sqref="D17" xr:uid="{1B7F84FD-C7DB-48C0-9109-34BFCC7B9012}">
      <formula1>"Choose, Crane/Stairs,Hoist/Elevator,1-2 Stories"</formula1>
    </dataValidation>
    <dataValidation type="list" allowBlank="1" showInputMessage="1" showErrorMessage="1" prompt="Crane needs for the roofers, not metal. Metal loadup is under the Metal section." sqref="D6" xr:uid="{1A7B950A-90AC-42E8-A8A3-69C5A113226A}">
      <formula1>"No, Yes"</formula1>
    </dataValidation>
    <dataValidation allowBlank="1" showInputMessage="1" showErrorMessage="1" prompt="Typical Upload can load up to 150sq's of material" sqref="D8" xr:uid="{7991A3E2-393B-43A0-89CE-95AC69E64E6E}"/>
  </dataValidations>
  <pageMargins left="0.45" right="0.45" top="0.5" bottom="0.5" header="0.3" footer="0.3"/>
  <pageSetup scale="4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C688B-28E2-4F32-93D7-2A238C246E8E}">
  <sheetPr codeName="Sheet1"/>
  <dimension ref="A1:AD1748"/>
  <sheetViews>
    <sheetView zoomScale="122" workbookViewId="0">
      <selection activeCell="A1514" sqref="A1514:XFD1514"/>
    </sheetView>
  </sheetViews>
  <sheetFormatPr defaultRowHeight="13.5"/>
  <cols>
    <col min="1" max="6" width="11.5" bestFit="1" customWidth="1"/>
    <col min="7" max="7" width="11.375" bestFit="1" customWidth="1"/>
    <col min="8" max="8" width="11.5" bestFit="1" customWidth="1"/>
    <col min="9" max="9" width="4.875" bestFit="1" customWidth="1"/>
    <col min="10" max="14" width="11.5" bestFit="1" customWidth="1"/>
    <col min="15" max="15" width="9.5" bestFit="1" customWidth="1"/>
    <col min="16" max="16" width="11.5" bestFit="1" customWidth="1"/>
    <col min="17" max="17" width="6.25" bestFit="1" customWidth="1"/>
    <col min="18" max="18" width="7.125" bestFit="1" customWidth="1"/>
    <col min="19" max="27" width="11.5" bestFit="1" customWidth="1"/>
  </cols>
  <sheetData>
    <row r="1" spans="1:30">
      <c r="A1" t="s">
        <v>536</v>
      </c>
      <c r="B1" t="s">
        <v>14</v>
      </c>
      <c r="C1" t="s">
        <v>537</v>
      </c>
      <c r="D1" t="s">
        <v>538</v>
      </c>
      <c r="E1" t="s">
        <v>10</v>
      </c>
      <c r="F1" t="s">
        <v>539</v>
      </c>
      <c r="G1" t="s">
        <v>540</v>
      </c>
      <c r="H1" t="s">
        <v>541</v>
      </c>
      <c r="I1" t="s">
        <v>542</v>
      </c>
      <c r="J1" t="s">
        <v>543</v>
      </c>
      <c r="K1" t="s">
        <v>544</v>
      </c>
      <c r="L1" t="s">
        <v>545</v>
      </c>
      <c r="M1" t="s">
        <v>546</v>
      </c>
      <c r="N1" t="s">
        <v>547</v>
      </c>
      <c r="O1" t="s">
        <v>24</v>
      </c>
      <c r="P1" t="s">
        <v>548</v>
      </c>
      <c r="Q1" t="s">
        <v>549</v>
      </c>
      <c r="R1" t="s">
        <v>82</v>
      </c>
      <c r="S1" t="s">
        <v>550</v>
      </c>
      <c r="T1" t="s">
        <v>551</v>
      </c>
      <c r="U1" t="s">
        <v>552</v>
      </c>
      <c r="V1" t="s">
        <v>553</v>
      </c>
      <c r="W1" t="s">
        <v>554</v>
      </c>
      <c r="X1" t="s">
        <v>555</v>
      </c>
      <c r="Y1" t="s">
        <v>556</v>
      </c>
      <c r="Z1" t="s">
        <v>557</v>
      </c>
      <c r="AA1" t="s">
        <v>558</v>
      </c>
      <c r="AC1" t="str" cm="1">
        <f t="array" ref="AC1:AC580">_xlfn._xlws.SORT(_xlfn.UNIQUE(Customer_Book__SiteList[Client Name]))</f>
        <v>1000839663 Ontario Inc</v>
      </c>
      <c r="AD1" t="e" cm="1" vm="1">
        <f t="array" ref="AD1">_xlfn._xlws.SORT(_xlfn._xlws.FILTER(Customer_Book__SiteList[Site Address],Customer_Book__SiteList[Client Name]=Summary!D8))</f>
        <v>#VALUE!</v>
      </c>
    </row>
    <row r="2" spans="1:30">
      <c r="A2" t="s">
        <v>559</v>
      </c>
      <c r="B2" t="s">
        <v>560</v>
      </c>
      <c r="C2" t="s">
        <v>561</v>
      </c>
      <c r="D2" t="s">
        <v>562</v>
      </c>
      <c r="E2" t="s">
        <v>563</v>
      </c>
      <c r="F2" t="s">
        <v>562</v>
      </c>
      <c r="G2" t="s">
        <v>562</v>
      </c>
      <c r="H2" t="s">
        <v>562</v>
      </c>
      <c r="I2">
        <v>4928</v>
      </c>
      <c r="J2" t="s">
        <v>564</v>
      </c>
      <c r="K2" s="698">
        <v>45957.556250000001</v>
      </c>
      <c r="L2" s="698">
        <v>45957.556250000001</v>
      </c>
      <c r="M2" t="s">
        <v>565</v>
      </c>
      <c r="N2" t="s">
        <v>565</v>
      </c>
      <c r="O2" t="s">
        <v>566</v>
      </c>
      <c r="P2" t="s">
        <v>567</v>
      </c>
      <c r="S2" t="s">
        <v>567</v>
      </c>
      <c r="T2" t="s">
        <v>567</v>
      </c>
      <c r="Z2" t="s">
        <v>568</v>
      </c>
      <c r="AA2" t="s">
        <v>568</v>
      </c>
      <c r="AC2" t="str">
        <v>1121695 AB LTD</v>
      </c>
    </row>
    <row r="3" spans="1:30">
      <c r="A3" t="s">
        <v>559</v>
      </c>
      <c r="B3" t="s">
        <v>569</v>
      </c>
      <c r="C3" t="s">
        <v>570</v>
      </c>
      <c r="D3" t="s">
        <v>562</v>
      </c>
      <c r="E3" t="s">
        <v>571</v>
      </c>
      <c r="F3" t="s">
        <v>562</v>
      </c>
      <c r="G3" t="s">
        <v>562</v>
      </c>
      <c r="H3" t="s">
        <v>562</v>
      </c>
      <c r="I3">
        <v>5136</v>
      </c>
      <c r="J3" t="s">
        <v>564</v>
      </c>
      <c r="K3" s="698">
        <v>45957.5625</v>
      </c>
      <c r="L3" s="698">
        <v>45957.5625</v>
      </c>
      <c r="M3" t="s">
        <v>565</v>
      </c>
      <c r="N3" t="s">
        <v>565</v>
      </c>
      <c r="O3" t="s">
        <v>566</v>
      </c>
      <c r="P3" t="s">
        <v>567</v>
      </c>
      <c r="S3" t="s">
        <v>567</v>
      </c>
      <c r="T3" t="s">
        <v>567</v>
      </c>
      <c r="Z3" t="s">
        <v>568</v>
      </c>
      <c r="AA3" t="s">
        <v>568</v>
      </c>
      <c r="AC3" t="str">
        <v>12185806 Canada Inc</v>
      </c>
    </row>
    <row r="4" spans="1:30">
      <c r="A4" t="s">
        <v>572</v>
      </c>
      <c r="B4" t="s">
        <v>573</v>
      </c>
      <c r="C4" t="s">
        <v>562</v>
      </c>
      <c r="D4" t="s">
        <v>562</v>
      </c>
      <c r="E4" t="s">
        <v>574</v>
      </c>
      <c r="F4" t="s">
        <v>562</v>
      </c>
      <c r="G4" t="s">
        <v>562</v>
      </c>
      <c r="H4" t="s">
        <v>562</v>
      </c>
      <c r="I4">
        <v>5160</v>
      </c>
      <c r="J4" t="s">
        <v>564</v>
      </c>
      <c r="K4" s="698">
        <v>45957.563194444447</v>
      </c>
      <c r="L4" s="698">
        <v>45957.563194444447</v>
      </c>
      <c r="M4" t="s">
        <v>565</v>
      </c>
      <c r="N4" t="s">
        <v>565</v>
      </c>
      <c r="O4" t="s">
        <v>566</v>
      </c>
      <c r="P4" t="s">
        <v>567</v>
      </c>
      <c r="S4" t="s">
        <v>567</v>
      </c>
      <c r="T4" t="s">
        <v>567</v>
      </c>
      <c r="Z4" t="s">
        <v>568</v>
      </c>
      <c r="AA4" t="s">
        <v>568</v>
      </c>
      <c r="AC4" t="str">
        <v>1287760 Alberta Ltd.</v>
      </c>
    </row>
    <row r="5" spans="1:30">
      <c r="A5" t="s">
        <v>575</v>
      </c>
      <c r="B5" t="s">
        <v>576</v>
      </c>
      <c r="C5" t="s">
        <v>577</v>
      </c>
      <c r="D5" t="s">
        <v>562</v>
      </c>
      <c r="E5" t="s">
        <v>578</v>
      </c>
      <c r="F5" t="s">
        <v>562</v>
      </c>
      <c r="G5" t="s">
        <v>562</v>
      </c>
      <c r="H5" t="s">
        <v>562</v>
      </c>
      <c r="I5">
        <v>3702</v>
      </c>
      <c r="J5" t="s">
        <v>564</v>
      </c>
      <c r="K5" s="698">
        <v>45957.431250000001</v>
      </c>
      <c r="L5" s="698">
        <v>45957.431250000001</v>
      </c>
      <c r="M5" t="s">
        <v>565</v>
      </c>
      <c r="N5" t="s">
        <v>565</v>
      </c>
      <c r="O5" t="s">
        <v>566</v>
      </c>
      <c r="P5" t="s">
        <v>567</v>
      </c>
      <c r="S5" t="s">
        <v>567</v>
      </c>
      <c r="T5" t="s">
        <v>567</v>
      </c>
      <c r="Z5" t="s">
        <v>568</v>
      </c>
      <c r="AA5" t="s">
        <v>568</v>
      </c>
      <c r="AC5" t="str">
        <v>12962</v>
      </c>
    </row>
    <row r="6" spans="1:30">
      <c r="A6" t="s">
        <v>579</v>
      </c>
      <c r="B6" t="s">
        <v>580</v>
      </c>
      <c r="C6" t="s">
        <v>581</v>
      </c>
      <c r="D6" t="s">
        <v>562</v>
      </c>
      <c r="E6" t="s">
        <v>582</v>
      </c>
      <c r="F6" t="s">
        <v>562</v>
      </c>
      <c r="G6" t="s">
        <v>562</v>
      </c>
      <c r="H6" t="s">
        <v>562</v>
      </c>
      <c r="I6">
        <v>4780</v>
      </c>
      <c r="J6" t="s">
        <v>564</v>
      </c>
      <c r="K6" s="698">
        <v>45957.551388888889</v>
      </c>
      <c r="L6" s="698">
        <v>45957.551388888889</v>
      </c>
      <c r="M6" t="s">
        <v>565</v>
      </c>
      <c r="N6" t="s">
        <v>565</v>
      </c>
      <c r="O6" t="s">
        <v>566</v>
      </c>
      <c r="P6" t="s">
        <v>567</v>
      </c>
      <c r="S6" t="s">
        <v>567</v>
      </c>
      <c r="T6" t="s">
        <v>567</v>
      </c>
      <c r="Z6" t="s">
        <v>568</v>
      </c>
      <c r="AA6" t="s">
        <v>568</v>
      </c>
      <c r="AC6" t="str">
        <v>1368489 Alberta Ltd.</v>
      </c>
    </row>
    <row r="7" spans="1:30">
      <c r="A7" t="s">
        <v>583</v>
      </c>
      <c r="B7" t="s">
        <v>584</v>
      </c>
      <c r="C7" t="s">
        <v>585</v>
      </c>
      <c r="D7" t="s">
        <v>562</v>
      </c>
      <c r="E7" t="s">
        <v>562</v>
      </c>
      <c r="F7" t="s">
        <v>562</v>
      </c>
      <c r="G7" t="s">
        <v>562</v>
      </c>
      <c r="H7" t="s">
        <v>562</v>
      </c>
      <c r="I7">
        <v>5203</v>
      </c>
      <c r="J7" t="s">
        <v>564</v>
      </c>
      <c r="K7" s="698">
        <v>45957.564583333333</v>
      </c>
      <c r="L7" s="698">
        <v>45957.564583333333</v>
      </c>
      <c r="M7" t="s">
        <v>565</v>
      </c>
      <c r="N7" t="s">
        <v>565</v>
      </c>
      <c r="O7" t="s">
        <v>566</v>
      </c>
      <c r="P7" t="s">
        <v>567</v>
      </c>
      <c r="S7" t="s">
        <v>567</v>
      </c>
      <c r="T7" t="s">
        <v>567</v>
      </c>
      <c r="Z7" t="s">
        <v>568</v>
      </c>
      <c r="AA7" t="s">
        <v>568</v>
      </c>
      <c r="AC7" t="str">
        <v>1439368 AB Ltd</v>
      </c>
    </row>
    <row r="8" spans="1:30">
      <c r="A8" t="s">
        <v>586</v>
      </c>
      <c r="B8" t="s">
        <v>587</v>
      </c>
      <c r="C8" t="s">
        <v>588</v>
      </c>
      <c r="D8" t="s">
        <v>562</v>
      </c>
      <c r="E8" t="s">
        <v>589</v>
      </c>
      <c r="F8" t="s">
        <v>562</v>
      </c>
      <c r="G8" t="s">
        <v>562</v>
      </c>
      <c r="H8" t="s">
        <v>562</v>
      </c>
      <c r="I8">
        <v>4655</v>
      </c>
      <c r="J8" t="s">
        <v>564</v>
      </c>
      <c r="K8" s="698">
        <v>45957.54791666667</v>
      </c>
      <c r="L8" s="698">
        <v>45957.54791666667</v>
      </c>
      <c r="M8" t="s">
        <v>565</v>
      </c>
      <c r="N8" t="s">
        <v>565</v>
      </c>
      <c r="O8" t="s">
        <v>566</v>
      </c>
      <c r="P8" t="s">
        <v>567</v>
      </c>
      <c r="S8" t="s">
        <v>567</v>
      </c>
      <c r="T8" t="s">
        <v>567</v>
      </c>
      <c r="Z8" t="s">
        <v>568</v>
      </c>
      <c r="AA8" t="s">
        <v>568</v>
      </c>
      <c r="AC8" t="str">
        <v>1499714 Alberta LTD</v>
      </c>
    </row>
    <row r="9" spans="1:30">
      <c r="A9" t="s">
        <v>590</v>
      </c>
      <c r="B9" t="s">
        <v>591</v>
      </c>
      <c r="C9" t="s">
        <v>592</v>
      </c>
      <c r="D9" t="s">
        <v>562</v>
      </c>
      <c r="E9" t="s">
        <v>593</v>
      </c>
      <c r="F9" t="s">
        <v>562</v>
      </c>
      <c r="G9" t="s">
        <v>562</v>
      </c>
      <c r="H9" t="s">
        <v>562</v>
      </c>
      <c r="I9">
        <v>4255</v>
      </c>
      <c r="J9" t="s">
        <v>564</v>
      </c>
      <c r="K9" s="698">
        <v>45957.495833333334</v>
      </c>
      <c r="L9" s="698">
        <v>45957.495833333334</v>
      </c>
      <c r="M9" t="s">
        <v>565</v>
      </c>
      <c r="N9" t="s">
        <v>565</v>
      </c>
      <c r="O9" t="s">
        <v>566</v>
      </c>
      <c r="P9" t="s">
        <v>567</v>
      </c>
      <c r="S9" t="s">
        <v>567</v>
      </c>
      <c r="T9" t="s">
        <v>567</v>
      </c>
      <c r="Z9" t="s">
        <v>568</v>
      </c>
      <c r="AA9" t="s">
        <v>568</v>
      </c>
      <c r="AC9" t="str">
        <v>1700005 Alberta Ltd</v>
      </c>
    </row>
    <row r="10" spans="1:30">
      <c r="A10" t="s">
        <v>594</v>
      </c>
      <c r="B10" t="s">
        <v>595</v>
      </c>
      <c r="C10" t="s">
        <v>596</v>
      </c>
      <c r="D10" t="s">
        <v>562</v>
      </c>
      <c r="E10" t="s">
        <v>597</v>
      </c>
      <c r="F10" t="s">
        <v>562</v>
      </c>
      <c r="G10" t="s">
        <v>562</v>
      </c>
      <c r="H10" t="s">
        <v>562</v>
      </c>
      <c r="I10">
        <v>4639</v>
      </c>
      <c r="J10" t="s">
        <v>564</v>
      </c>
      <c r="K10" s="698">
        <v>45957.547222222223</v>
      </c>
      <c r="L10" s="698">
        <v>45957.547222222223</v>
      </c>
      <c r="M10" t="s">
        <v>565</v>
      </c>
      <c r="N10" t="s">
        <v>565</v>
      </c>
      <c r="O10" t="s">
        <v>566</v>
      </c>
      <c r="P10" t="s">
        <v>567</v>
      </c>
      <c r="S10" t="s">
        <v>567</v>
      </c>
      <c r="T10" t="s">
        <v>567</v>
      </c>
      <c r="Z10" t="s">
        <v>568</v>
      </c>
      <c r="AA10" t="s">
        <v>568</v>
      </c>
      <c r="AC10" t="str">
        <v>1717823 Alberta Ltd.</v>
      </c>
    </row>
    <row r="11" spans="1:30">
      <c r="A11" t="s">
        <v>598</v>
      </c>
      <c r="B11" t="s">
        <v>599</v>
      </c>
      <c r="C11" t="s">
        <v>600</v>
      </c>
      <c r="D11" t="s">
        <v>562</v>
      </c>
      <c r="E11" t="s">
        <v>601</v>
      </c>
      <c r="F11" t="s">
        <v>562</v>
      </c>
      <c r="G11" t="s">
        <v>562</v>
      </c>
      <c r="H11" t="s">
        <v>562</v>
      </c>
      <c r="I11">
        <v>4793</v>
      </c>
      <c r="J11" t="s">
        <v>564</v>
      </c>
      <c r="K11" s="698">
        <v>45957.552083333336</v>
      </c>
      <c r="L11" s="698">
        <v>45957.552083333336</v>
      </c>
      <c r="M11" t="s">
        <v>565</v>
      </c>
      <c r="N11" t="s">
        <v>565</v>
      </c>
      <c r="O11" t="s">
        <v>566</v>
      </c>
      <c r="P11" t="s">
        <v>567</v>
      </c>
      <c r="S11" t="s">
        <v>567</v>
      </c>
      <c r="T11" t="s">
        <v>567</v>
      </c>
      <c r="Z11" t="s">
        <v>568</v>
      </c>
      <c r="AA11" t="s">
        <v>568</v>
      </c>
      <c r="AC11" t="str">
        <v>1821689 Alberta Ltd c/o Palladium Properties</v>
      </c>
    </row>
    <row r="12" spans="1:30">
      <c r="A12" t="s">
        <v>602</v>
      </c>
      <c r="B12" t="s">
        <v>603</v>
      </c>
      <c r="C12" t="s">
        <v>562</v>
      </c>
      <c r="D12" t="s">
        <v>562</v>
      </c>
      <c r="E12" t="s">
        <v>604</v>
      </c>
      <c r="F12" t="s">
        <v>562</v>
      </c>
      <c r="G12" t="s">
        <v>562</v>
      </c>
      <c r="H12" t="s">
        <v>562</v>
      </c>
      <c r="I12">
        <v>3665</v>
      </c>
      <c r="J12" t="s">
        <v>564</v>
      </c>
      <c r="K12" s="698">
        <v>45957.427083333336</v>
      </c>
      <c r="L12" s="698">
        <v>45957.427083333336</v>
      </c>
      <c r="M12" t="s">
        <v>565</v>
      </c>
      <c r="N12" t="s">
        <v>565</v>
      </c>
      <c r="O12" t="s">
        <v>566</v>
      </c>
      <c r="P12" t="s">
        <v>567</v>
      </c>
      <c r="S12" t="s">
        <v>567</v>
      </c>
      <c r="T12" t="s">
        <v>567</v>
      </c>
      <c r="Z12" t="s">
        <v>568</v>
      </c>
      <c r="AA12" t="s">
        <v>568</v>
      </c>
      <c r="AC12" t="str">
        <v>1831452 Alberta Ltd.</v>
      </c>
    </row>
    <row r="13" spans="1:30">
      <c r="A13" t="s">
        <v>605</v>
      </c>
      <c r="B13" t="s">
        <v>606</v>
      </c>
      <c r="C13" t="s">
        <v>607</v>
      </c>
      <c r="D13" t="s">
        <v>562</v>
      </c>
      <c r="E13" t="s">
        <v>608</v>
      </c>
      <c r="F13" t="s">
        <v>562</v>
      </c>
      <c r="G13" t="s">
        <v>562</v>
      </c>
      <c r="H13" t="s">
        <v>562</v>
      </c>
      <c r="I13">
        <v>4822</v>
      </c>
      <c r="J13" t="s">
        <v>564</v>
      </c>
      <c r="K13" s="698">
        <v>45957.552777777775</v>
      </c>
      <c r="L13" s="698">
        <v>45957.552777777775</v>
      </c>
      <c r="M13" t="s">
        <v>565</v>
      </c>
      <c r="N13" t="s">
        <v>565</v>
      </c>
      <c r="O13" t="s">
        <v>566</v>
      </c>
      <c r="P13" t="s">
        <v>567</v>
      </c>
      <c r="S13" t="s">
        <v>567</v>
      </c>
      <c r="T13" t="s">
        <v>567</v>
      </c>
      <c r="Z13" t="s">
        <v>568</v>
      </c>
      <c r="AA13" t="s">
        <v>568</v>
      </c>
      <c r="AC13" t="str">
        <v>2055169 Alberta Ltd.</v>
      </c>
    </row>
    <row r="14" spans="1:30">
      <c r="A14" t="s">
        <v>609</v>
      </c>
      <c r="B14" t="s">
        <v>610</v>
      </c>
      <c r="C14" t="s">
        <v>611</v>
      </c>
      <c r="D14" t="s">
        <v>562</v>
      </c>
      <c r="E14" t="s">
        <v>612</v>
      </c>
      <c r="F14" t="s">
        <v>562</v>
      </c>
      <c r="G14" t="s">
        <v>562</v>
      </c>
      <c r="H14" t="s">
        <v>562</v>
      </c>
      <c r="I14">
        <v>4797</v>
      </c>
      <c r="J14" t="s">
        <v>564</v>
      </c>
      <c r="K14" s="698">
        <v>45957.552083333336</v>
      </c>
      <c r="L14" s="698">
        <v>45957.552083333336</v>
      </c>
      <c r="M14" t="s">
        <v>565</v>
      </c>
      <c r="N14" t="s">
        <v>565</v>
      </c>
      <c r="O14" t="s">
        <v>566</v>
      </c>
      <c r="P14" t="s">
        <v>567</v>
      </c>
      <c r="S14" t="s">
        <v>567</v>
      </c>
      <c r="T14" t="s">
        <v>567</v>
      </c>
      <c r="Z14" t="s">
        <v>568</v>
      </c>
      <c r="AA14" t="s">
        <v>568</v>
      </c>
      <c r="AC14" t="str">
        <v>2229246 Alberta Ltd</v>
      </c>
    </row>
    <row r="15" spans="1:30">
      <c r="A15" t="s">
        <v>613</v>
      </c>
      <c r="B15" t="s">
        <v>614</v>
      </c>
      <c r="C15" t="s">
        <v>581</v>
      </c>
      <c r="D15" t="s">
        <v>562</v>
      </c>
      <c r="E15" t="s">
        <v>615</v>
      </c>
      <c r="F15" t="s">
        <v>562</v>
      </c>
      <c r="G15" t="s">
        <v>562</v>
      </c>
      <c r="H15" t="s">
        <v>562</v>
      </c>
      <c r="I15">
        <v>4848</v>
      </c>
      <c r="J15" t="s">
        <v>564</v>
      </c>
      <c r="K15" s="698">
        <v>45957.553472222222</v>
      </c>
      <c r="L15" s="698">
        <v>45957.553472222222</v>
      </c>
      <c r="M15" t="s">
        <v>565</v>
      </c>
      <c r="N15" t="s">
        <v>565</v>
      </c>
      <c r="O15" t="s">
        <v>566</v>
      </c>
      <c r="P15" t="s">
        <v>567</v>
      </c>
      <c r="S15" t="s">
        <v>567</v>
      </c>
      <c r="T15" t="s">
        <v>567</v>
      </c>
      <c r="Z15" t="s">
        <v>568</v>
      </c>
      <c r="AA15" t="s">
        <v>568</v>
      </c>
      <c r="AC15" t="str">
        <v>2621374 Alberta Inc</v>
      </c>
    </row>
    <row r="16" spans="1:30">
      <c r="A16" t="s">
        <v>616</v>
      </c>
      <c r="B16" t="s">
        <v>617</v>
      </c>
      <c r="C16" t="s">
        <v>618</v>
      </c>
      <c r="D16" t="s">
        <v>562</v>
      </c>
      <c r="E16" t="s">
        <v>619</v>
      </c>
      <c r="F16" t="s">
        <v>562</v>
      </c>
      <c r="G16" t="s">
        <v>562</v>
      </c>
      <c r="H16" t="s">
        <v>562</v>
      </c>
      <c r="I16">
        <v>5199</v>
      </c>
      <c r="J16" t="s">
        <v>564</v>
      </c>
      <c r="K16" s="698">
        <v>45957.564583333333</v>
      </c>
      <c r="L16" s="698">
        <v>45957.564583333333</v>
      </c>
      <c r="M16" t="s">
        <v>565</v>
      </c>
      <c r="N16" t="s">
        <v>565</v>
      </c>
      <c r="O16" t="s">
        <v>566</v>
      </c>
      <c r="P16" t="s">
        <v>567</v>
      </c>
      <c r="S16" t="s">
        <v>567</v>
      </c>
      <c r="T16" t="s">
        <v>567</v>
      </c>
      <c r="Z16" t="s">
        <v>568</v>
      </c>
      <c r="AA16" t="s">
        <v>568</v>
      </c>
      <c r="AC16" t="str">
        <v>3 D Interiors</v>
      </c>
    </row>
    <row r="17" spans="1:29">
      <c r="A17" t="s">
        <v>620</v>
      </c>
      <c r="B17" t="s">
        <v>621</v>
      </c>
      <c r="C17" t="s">
        <v>622</v>
      </c>
      <c r="D17" t="s">
        <v>562</v>
      </c>
      <c r="E17" t="s">
        <v>623</v>
      </c>
      <c r="F17" t="s">
        <v>562</v>
      </c>
      <c r="G17" t="s">
        <v>562</v>
      </c>
      <c r="H17" t="s">
        <v>562</v>
      </c>
      <c r="I17">
        <v>4898</v>
      </c>
      <c r="J17" t="s">
        <v>564</v>
      </c>
      <c r="K17" s="698">
        <v>45957.555555555555</v>
      </c>
      <c r="L17" s="698">
        <v>45957.555555555555</v>
      </c>
      <c r="M17" t="s">
        <v>565</v>
      </c>
      <c r="N17" t="s">
        <v>565</v>
      </c>
      <c r="O17" t="s">
        <v>566</v>
      </c>
      <c r="P17" t="s">
        <v>567</v>
      </c>
      <c r="S17" t="s">
        <v>567</v>
      </c>
      <c r="T17" t="s">
        <v>567</v>
      </c>
      <c r="Z17" t="s">
        <v>568</v>
      </c>
      <c r="AA17" t="s">
        <v>568</v>
      </c>
      <c r="AC17" t="str">
        <v>3333 Sunridge Way Inc</v>
      </c>
    </row>
    <row r="18" spans="1:29">
      <c r="A18" t="s">
        <v>624</v>
      </c>
      <c r="B18" t="s">
        <v>625</v>
      </c>
      <c r="C18" t="s">
        <v>626</v>
      </c>
      <c r="D18" t="s">
        <v>627</v>
      </c>
      <c r="E18" t="s">
        <v>628</v>
      </c>
      <c r="F18" t="s">
        <v>562</v>
      </c>
      <c r="G18" t="s">
        <v>562</v>
      </c>
      <c r="H18" t="s">
        <v>562</v>
      </c>
      <c r="I18">
        <v>3990</v>
      </c>
      <c r="J18" t="s">
        <v>564</v>
      </c>
      <c r="K18" s="698">
        <v>45957.463194444441</v>
      </c>
      <c r="L18" s="698">
        <v>45957.463194444441</v>
      </c>
      <c r="M18" t="s">
        <v>565</v>
      </c>
      <c r="N18" t="s">
        <v>565</v>
      </c>
      <c r="O18" t="s">
        <v>566</v>
      </c>
      <c r="P18" t="s">
        <v>567</v>
      </c>
      <c r="S18" t="s">
        <v>567</v>
      </c>
      <c r="T18" t="s">
        <v>567</v>
      </c>
      <c r="Z18" t="s">
        <v>568</v>
      </c>
      <c r="AA18" t="s">
        <v>568</v>
      </c>
      <c r="AC18" t="str">
        <v>3934381 Canada Inc.</v>
      </c>
    </row>
    <row r="19" spans="1:29">
      <c r="A19" t="s">
        <v>629</v>
      </c>
      <c r="B19" t="s">
        <v>562</v>
      </c>
      <c r="C19" t="s">
        <v>562</v>
      </c>
      <c r="D19" t="s">
        <v>630</v>
      </c>
      <c r="E19" t="s">
        <v>631</v>
      </c>
      <c r="F19" t="s">
        <v>562</v>
      </c>
      <c r="G19" t="s">
        <v>562</v>
      </c>
      <c r="H19" t="s">
        <v>562</v>
      </c>
      <c r="I19">
        <v>3644</v>
      </c>
      <c r="J19" t="s">
        <v>564</v>
      </c>
      <c r="K19" s="698">
        <v>45957.425000000003</v>
      </c>
      <c r="L19" s="698">
        <v>45957.425000000003</v>
      </c>
      <c r="M19" t="s">
        <v>565</v>
      </c>
      <c r="N19" t="s">
        <v>565</v>
      </c>
      <c r="O19" t="s">
        <v>566</v>
      </c>
      <c r="P19" t="s">
        <v>567</v>
      </c>
      <c r="S19" t="s">
        <v>567</v>
      </c>
      <c r="T19" t="s">
        <v>567</v>
      </c>
      <c r="Z19" t="s">
        <v>568</v>
      </c>
      <c r="AA19" t="s">
        <v>568</v>
      </c>
      <c r="AC19" t="str">
        <v>404305 Alberta Ltd</v>
      </c>
    </row>
    <row r="20" spans="1:29">
      <c r="A20" t="s">
        <v>632</v>
      </c>
      <c r="B20" t="s">
        <v>633</v>
      </c>
      <c r="C20" t="s">
        <v>634</v>
      </c>
      <c r="D20" t="s">
        <v>562</v>
      </c>
      <c r="E20" t="s">
        <v>635</v>
      </c>
      <c r="F20" t="s">
        <v>562</v>
      </c>
      <c r="G20" t="s">
        <v>562</v>
      </c>
      <c r="H20" t="s">
        <v>562</v>
      </c>
      <c r="I20">
        <v>3583</v>
      </c>
      <c r="J20" t="s">
        <v>564</v>
      </c>
      <c r="K20" s="698">
        <v>45957.418055555558</v>
      </c>
      <c r="L20" s="698">
        <v>45957.418055555558</v>
      </c>
      <c r="M20" t="s">
        <v>565</v>
      </c>
      <c r="N20" t="s">
        <v>565</v>
      </c>
      <c r="O20" t="s">
        <v>566</v>
      </c>
      <c r="P20" t="s">
        <v>567</v>
      </c>
      <c r="S20" t="s">
        <v>567</v>
      </c>
      <c r="T20" t="s">
        <v>567</v>
      </c>
      <c r="Z20" t="s">
        <v>568</v>
      </c>
      <c r="AA20" t="s">
        <v>568</v>
      </c>
      <c r="AC20" t="str">
        <v>52nd Street Business Centre LP</v>
      </c>
    </row>
    <row r="21" spans="1:29">
      <c r="A21" t="s">
        <v>632</v>
      </c>
      <c r="B21" t="s">
        <v>633</v>
      </c>
      <c r="C21" t="s">
        <v>634</v>
      </c>
      <c r="D21" t="s">
        <v>562</v>
      </c>
      <c r="E21" t="s">
        <v>636</v>
      </c>
      <c r="F21" t="s">
        <v>562</v>
      </c>
      <c r="G21" t="s">
        <v>562</v>
      </c>
      <c r="H21" t="s">
        <v>562</v>
      </c>
      <c r="I21">
        <v>3666</v>
      </c>
      <c r="J21" t="s">
        <v>564</v>
      </c>
      <c r="K21" s="698">
        <v>45957.427083333336</v>
      </c>
      <c r="L21" s="698">
        <v>45957.427083333336</v>
      </c>
      <c r="M21" t="s">
        <v>565</v>
      </c>
      <c r="N21" t="s">
        <v>565</v>
      </c>
      <c r="O21" t="s">
        <v>566</v>
      </c>
      <c r="P21" t="s">
        <v>567</v>
      </c>
      <c r="S21" t="s">
        <v>567</v>
      </c>
      <c r="T21" t="s">
        <v>567</v>
      </c>
      <c r="Z21" t="s">
        <v>568</v>
      </c>
      <c r="AA21" t="s">
        <v>568</v>
      </c>
      <c r="AC21" t="str">
        <v>5400 Dalhousie</v>
      </c>
    </row>
    <row r="22" spans="1:29">
      <c r="A22" t="s">
        <v>632</v>
      </c>
      <c r="B22" t="s">
        <v>637</v>
      </c>
      <c r="C22" t="s">
        <v>638</v>
      </c>
      <c r="D22" t="s">
        <v>562</v>
      </c>
      <c r="E22" t="s">
        <v>639</v>
      </c>
      <c r="F22" t="s">
        <v>562</v>
      </c>
      <c r="G22" t="s">
        <v>562</v>
      </c>
      <c r="H22" t="s">
        <v>562</v>
      </c>
      <c r="I22">
        <v>3674</v>
      </c>
      <c r="J22" t="s">
        <v>564</v>
      </c>
      <c r="K22" s="698">
        <v>45957.427777777775</v>
      </c>
      <c r="L22" s="698">
        <v>45957.427777777775</v>
      </c>
      <c r="M22" t="s">
        <v>565</v>
      </c>
      <c r="N22" t="s">
        <v>565</v>
      </c>
      <c r="O22" t="s">
        <v>566</v>
      </c>
      <c r="P22" t="s">
        <v>567</v>
      </c>
      <c r="S22" t="s">
        <v>567</v>
      </c>
      <c r="T22" t="s">
        <v>567</v>
      </c>
      <c r="Z22" t="s">
        <v>568</v>
      </c>
      <c r="AA22" t="s">
        <v>568</v>
      </c>
      <c r="AC22" t="str">
        <v>58 Wen Inc</v>
      </c>
    </row>
    <row r="23" spans="1:29">
      <c r="A23" t="s">
        <v>632</v>
      </c>
      <c r="B23" t="s">
        <v>633</v>
      </c>
      <c r="C23" t="s">
        <v>634</v>
      </c>
      <c r="D23" t="s">
        <v>562</v>
      </c>
      <c r="E23" t="s">
        <v>640</v>
      </c>
      <c r="F23" t="s">
        <v>562</v>
      </c>
      <c r="G23" t="s">
        <v>562</v>
      </c>
      <c r="H23" t="s">
        <v>562</v>
      </c>
      <c r="I23">
        <v>3680</v>
      </c>
      <c r="J23" t="s">
        <v>564</v>
      </c>
      <c r="K23" s="698">
        <v>45957.429166666669</v>
      </c>
      <c r="L23" s="698">
        <v>45957.429166666669</v>
      </c>
      <c r="M23" t="s">
        <v>565</v>
      </c>
      <c r="N23" t="s">
        <v>565</v>
      </c>
      <c r="O23" t="s">
        <v>566</v>
      </c>
      <c r="P23" t="s">
        <v>567</v>
      </c>
      <c r="S23" t="s">
        <v>567</v>
      </c>
      <c r="T23" t="s">
        <v>567</v>
      </c>
      <c r="Z23" t="s">
        <v>568</v>
      </c>
      <c r="AA23" t="s">
        <v>568</v>
      </c>
      <c r="AC23" t="str">
        <v>6020 Business Park Ltd</v>
      </c>
    </row>
    <row r="24" spans="1:29">
      <c r="A24" t="s">
        <v>632</v>
      </c>
      <c r="B24" t="s">
        <v>641</v>
      </c>
      <c r="C24" t="s">
        <v>638</v>
      </c>
      <c r="D24" t="s">
        <v>562</v>
      </c>
      <c r="E24" t="s">
        <v>642</v>
      </c>
      <c r="F24" t="s">
        <v>562</v>
      </c>
      <c r="G24" t="s">
        <v>562</v>
      </c>
      <c r="H24" t="s">
        <v>562</v>
      </c>
      <c r="I24">
        <v>3701</v>
      </c>
      <c r="J24" t="s">
        <v>564</v>
      </c>
      <c r="K24" s="698">
        <v>45957.431250000001</v>
      </c>
      <c r="L24" s="698">
        <v>45957.431250000001</v>
      </c>
      <c r="M24" t="s">
        <v>565</v>
      </c>
      <c r="N24" t="s">
        <v>565</v>
      </c>
      <c r="O24" t="s">
        <v>566</v>
      </c>
      <c r="P24" t="s">
        <v>567</v>
      </c>
      <c r="S24" t="s">
        <v>567</v>
      </c>
      <c r="T24" t="s">
        <v>567</v>
      </c>
      <c r="Z24" t="s">
        <v>568</v>
      </c>
      <c r="AA24" t="s">
        <v>568</v>
      </c>
      <c r="AC24" t="str">
        <v>607347 Alberta Ltd</v>
      </c>
    </row>
    <row r="25" spans="1:29">
      <c r="A25" t="s">
        <v>632</v>
      </c>
      <c r="B25" t="s">
        <v>633</v>
      </c>
      <c r="C25" t="s">
        <v>634</v>
      </c>
      <c r="D25" t="s">
        <v>562</v>
      </c>
      <c r="E25" t="s">
        <v>643</v>
      </c>
      <c r="F25" t="s">
        <v>562</v>
      </c>
      <c r="G25" t="s">
        <v>562</v>
      </c>
      <c r="H25" t="s">
        <v>562</v>
      </c>
      <c r="I25">
        <v>4294</v>
      </c>
      <c r="J25" t="s">
        <v>564</v>
      </c>
      <c r="K25" s="698">
        <v>45957.500694444447</v>
      </c>
      <c r="L25" s="698">
        <v>45957.500694444447</v>
      </c>
      <c r="M25" t="s">
        <v>565</v>
      </c>
      <c r="N25" t="s">
        <v>565</v>
      </c>
      <c r="O25" t="s">
        <v>566</v>
      </c>
      <c r="P25" t="s">
        <v>567</v>
      </c>
      <c r="S25" t="s">
        <v>567</v>
      </c>
      <c r="T25" t="s">
        <v>567</v>
      </c>
      <c r="Z25" t="s">
        <v>568</v>
      </c>
      <c r="AA25" t="s">
        <v>568</v>
      </c>
      <c r="AC25" t="str">
        <v>623201 Alberta Ltd.</v>
      </c>
    </row>
    <row r="26" spans="1:29">
      <c r="A26" t="s">
        <v>632</v>
      </c>
      <c r="B26" t="s">
        <v>633</v>
      </c>
      <c r="C26" t="s">
        <v>634</v>
      </c>
      <c r="D26" t="s">
        <v>562</v>
      </c>
      <c r="E26" t="s">
        <v>644</v>
      </c>
      <c r="F26" t="s">
        <v>562</v>
      </c>
      <c r="G26" t="s">
        <v>562</v>
      </c>
      <c r="H26" t="s">
        <v>562</v>
      </c>
      <c r="I26">
        <v>4305</v>
      </c>
      <c r="J26" t="s">
        <v>564</v>
      </c>
      <c r="K26" s="698">
        <v>45957.502083333333</v>
      </c>
      <c r="L26" s="698">
        <v>45957.502083333333</v>
      </c>
      <c r="M26" t="s">
        <v>565</v>
      </c>
      <c r="N26" t="s">
        <v>565</v>
      </c>
      <c r="O26" t="s">
        <v>566</v>
      </c>
      <c r="P26" t="s">
        <v>567</v>
      </c>
      <c r="S26" t="s">
        <v>567</v>
      </c>
      <c r="T26" t="s">
        <v>567</v>
      </c>
      <c r="Z26" t="s">
        <v>568</v>
      </c>
      <c r="AA26" t="s">
        <v>568</v>
      </c>
      <c r="AC26" t="str">
        <v>7 Construction Inc.</v>
      </c>
    </row>
    <row r="27" spans="1:29">
      <c r="A27" t="s">
        <v>632</v>
      </c>
      <c r="B27" t="s">
        <v>633</v>
      </c>
      <c r="C27" t="s">
        <v>634</v>
      </c>
      <c r="D27" t="s">
        <v>562</v>
      </c>
      <c r="E27" t="s">
        <v>645</v>
      </c>
      <c r="F27" t="s">
        <v>562</v>
      </c>
      <c r="G27" t="s">
        <v>562</v>
      </c>
      <c r="H27" t="s">
        <v>562</v>
      </c>
      <c r="I27">
        <v>4326</v>
      </c>
      <c r="J27" t="s">
        <v>564</v>
      </c>
      <c r="K27" s="698">
        <v>45957.504861111112</v>
      </c>
      <c r="L27" s="698">
        <v>45957.504861111112</v>
      </c>
      <c r="M27" t="s">
        <v>565</v>
      </c>
      <c r="N27" t="s">
        <v>565</v>
      </c>
      <c r="O27" t="s">
        <v>566</v>
      </c>
      <c r="P27" t="s">
        <v>567</v>
      </c>
      <c r="S27" t="s">
        <v>567</v>
      </c>
      <c r="T27" t="s">
        <v>567</v>
      </c>
      <c r="Z27" t="s">
        <v>568</v>
      </c>
      <c r="AA27" t="s">
        <v>568</v>
      </c>
      <c r="AC27" t="str">
        <v>715639 Alberta Ltd</v>
      </c>
    </row>
    <row r="28" spans="1:29">
      <c r="A28" t="s">
        <v>632</v>
      </c>
      <c r="B28" t="s">
        <v>646</v>
      </c>
      <c r="C28" t="s">
        <v>647</v>
      </c>
      <c r="D28" t="s">
        <v>562</v>
      </c>
      <c r="E28" t="s">
        <v>648</v>
      </c>
      <c r="F28" t="s">
        <v>562</v>
      </c>
      <c r="G28" t="s">
        <v>562</v>
      </c>
      <c r="H28" t="s">
        <v>562</v>
      </c>
      <c r="I28">
        <v>4537</v>
      </c>
      <c r="J28" t="s">
        <v>564</v>
      </c>
      <c r="K28" s="698">
        <v>45957.530555555553</v>
      </c>
      <c r="L28" s="698">
        <v>45957.530555555553</v>
      </c>
      <c r="M28" t="s">
        <v>565</v>
      </c>
      <c r="N28" t="s">
        <v>565</v>
      </c>
      <c r="O28" t="s">
        <v>566</v>
      </c>
      <c r="P28" t="s">
        <v>567</v>
      </c>
      <c r="S28" t="s">
        <v>567</v>
      </c>
      <c r="T28" t="s">
        <v>567</v>
      </c>
      <c r="Z28" t="s">
        <v>568</v>
      </c>
      <c r="AA28" t="s">
        <v>568</v>
      </c>
      <c r="AC28" t="str">
        <v>729608 Alberta Ltd.</v>
      </c>
    </row>
    <row r="29" spans="1:29">
      <c r="A29" t="s">
        <v>632</v>
      </c>
      <c r="B29" t="s">
        <v>646</v>
      </c>
      <c r="C29" t="s">
        <v>647</v>
      </c>
      <c r="D29" t="s">
        <v>562</v>
      </c>
      <c r="E29" t="s">
        <v>649</v>
      </c>
      <c r="F29" t="s">
        <v>562</v>
      </c>
      <c r="G29" t="s">
        <v>562</v>
      </c>
      <c r="H29" t="s">
        <v>562</v>
      </c>
      <c r="I29">
        <v>4545</v>
      </c>
      <c r="J29" t="s">
        <v>564</v>
      </c>
      <c r="K29" s="698">
        <v>45957.53125</v>
      </c>
      <c r="L29" s="698">
        <v>45957.53125</v>
      </c>
      <c r="M29" t="s">
        <v>565</v>
      </c>
      <c r="N29" t="s">
        <v>565</v>
      </c>
      <c r="O29" t="s">
        <v>566</v>
      </c>
      <c r="P29" t="s">
        <v>567</v>
      </c>
      <c r="S29" t="s">
        <v>567</v>
      </c>
      <c r="T29" t="s">
        <v>567</v>
      </c>
      <c r="Z29" t="s">
        <v>568</v>
      </c>
      <c r="AA29" t="s">
        <v>568</v>
      </c>
      <c r="AC29" t="str">
        <v>7796528 &amp; CLAC</v>
      </c>
    </row>
    <row r="30" spans="1:29">
      <c r="A30" t="s">
        <v>632</v>
      </c>
      <c r="B30" t="s">
        <v>633</v>
      </c>
      <c r="C30" t="s">
        <v>634</v>
      </c>
      <c r="D30" t="s">
        <v>562</v>
      </c>
      <c r="E30" t="s">
        <v>650</v>
      </c>
      <c r="F30" t="s">
        <v>562</v>
      </c>
      <c r="G30" t="s">
        <v>562</v>
      </c>
      <c r="H30" t="s">
        <v>562</v>
      </c>
      <c r="I30">
        <v>4546</v>
      </c>
      <c r="J30" t="s">
        <v>564</v>
      </c>
      <c r="K30" s="698">
        <v>45957.531944444447</v>
      </c>
      <c r="L30" s="698">
        <v>45957.531944444447</v>
      </c>
      <c r="M30" t="s">
        <v>565</v>
      </c>
      <c r="N30" t="s">
        <v>565</v>
      </c>
      <c r="O30" t="s">
        <v>566</v>
      </c>
      <c r="P30" t="s">
        <v>567</v>
      </c>
      <c r="S30" t="s">
        <v>567</v>
      </c>
      <c r="T30" t="s">
        <v>567</v>
      </c>
      <c r="Z30" t="s">
        <v>568</v>
      </c>
      <c r="AA30" t="s">
        <v>568</v>
      </c>
      <c r="AC30" t="str">
        <v>800 Fifth Limited Partnership</v>
      </c>
    </row>
    <row r="31" spans="1:29">
      <c r="A31" t="s">
        <v>632</v>
      </c>
      <c r="B31" t="s">
        <v>641</v>
      </c>
      <c r="C31" t="s">
        <v>638</v>
      </c>
      <c r="D31" t="s">
        <v>562</v>
      </c>
      <c r="E31" t="s">
        <v>651</v>
      </c>
      <c r="F31" t="s">
        <v>562</v>
      </c>
      <c r="G31" t="s">
        <v>562</v>
      </c>
      <c r="H31" t="s">
        <v>562</v>
      </c>
      <c r="I31">
        <v>4588</v>
      </c>
      <c r="J31" t="s">
        <v>564</v>
      </c>
      <c r="K31" s="698">
        <v>45957.537499999999</v>
      </c>
      <c r="L31" s="698">
        <v>45957.537499999999</v>
      </c>
      <c r="M31" t="s">
        <v>565</v>
      </c>
      <c r="N31" t="s">
        <v>565</v>
      </c>
      <c r="O31" t="s">
        <v>566</v>
      </c>
      <c r="P31" t="s">
        <v>567</v>
      </c>
      <c r="S31" t="s">
        <v>567</v>
      </c>
      <c r="T31" t="s">
        <v>567</v>
      </c>
      <c r="Z31" t="s">
        <v>568</v>
      </c>
      <c r="AA31" t="s">
        <v>568</v>
      </c>
      <c r="AC31" t="str">
        <v>8800 Venture c/o Go Smart Property Managers Inc.</v>
      </c>
    </row>
    <row r="32" spans="1:29">
      <c r="A32" t="s">
        <v>632</v>
      </c>
      <c r="B32" t="s">
        <v>652</v>
      </c>
      <c r="C32" t="s">
        <v>653</v>
      </c>
      <c r="D32" t="s">
        <v>562</v>
      </c>
      <c r="E32" t="s">
        <v>654</v>
      </c>
      <c r="F32" t="s">
        <v>562</v>
      </c>
      <c r="G32" t="s">
        <v>562</v>
      </c>
      <c r="H32" t="s">
        <v>562</v>
      </c>
      <c r="I32">
        <v>4730</v>
      </c>
      <c r="J32" t="s">
        <v>564</v>
      </c>
      <c r="K32" s="698">
        <v>45957.55</v>
      </c>
      <c r="L32" s="698">
        <v>45957.55</v>
      </c>
      <c r="M32" t="s">
        <v>565</v>
      </c>
      <c r="N32" t="s">
        <v>565</v>
      </c>
      <c r="O32" t="s">
        <v>566</v>
      </c>
      <c r="P32" t="s">
        <v>567</v>
      </c>
      <c r="S32" t="s">
        <v>567</v>
      </c>
      <c r="T32" t="s">
        <v>567</v>
      </c>
      <c r="Z32" t="s">
        <v>568</v>
      </c>
      <c r="AA32" t="s">
        <v>568</v>
      </c>
      <c r="AC32" t="str">
        <v>987338 AB Ltd</v>
      </c>
    </row>
    <row r="33" spans="1:29">
      <c r="A33" t="s">
        <v>632</v>
      </c>
      <c r="B33" t="s">
        <v>655</v>
      </c>
      <c r="C33" t="s">
        <v>634</v>
      </c>
      <c r="D33" t="s">
        <v>562</v>
      </c>
      <c r="E33" t="s">
        <v>656</v>
      </c>
      <c r="F33" t="s">
        <v>562</v>
      </c>
      <c r="G33" t="s">
        <v>562</v>
      </c>
      <c r="H33" t="s">
        <v>562</v>
      </c>
      <c r="I33">
        <v>4760</v>
      </c>
      <c r="J33" t="s">
        <v>564</v>
      </c>
      <c r="K33" s="698">
        <v>45957.551388888889</v>
      </c>
      <c r="L33" s="698">
        <v>45957.551388888889</v>
      </c>
      <c r="M33" t="s">
        <v>565</v>
      </c>
      <c r="N33" t="s">
        <v>565</v>
      </c>
      <c r="O33" t="s">
        <v>566</v>
      </c>
      <c r="P33" t="s">
        <v>567</v>
      </c>
      <c r="S33" t="s">
        <v>567</v>
      </c>
      <c r="T33" t="s">
        <v>567</v>
      </c>
      <c r="Z33" t="s">
        <v>568</v>
      </c>
      <c r="AA33" t="s">
        <v>568</v>
      </c>
      <c r="AC33" t="str">
        <v>A G Baxter Contracting Co Ltd</v>
      </c>
    </row>
    <row r="34" spans="1:29">
      <c r="A34" t="s">
        <v>632</v>
      </c>
      <c r="B34" t="s">
        <v>633</v>
      </c>
      <c r="C34" t="s">
        <v>562</v>
      </c>
      <c r="D34" t="s">
        <v>562</v>
      </c>
      <c r="E34" t="s">
        <v>657</v>
      </c>
      <c r="F34" t="s">
        <v>562</v>
      </c>
      <c r="G34" t="s">
        <v>562</v>
      </c>
      <c r="H34" t="s">
        <v>562</v>
      </c>
      <c r="I34">
        <v>4778</v>
      </c>
      <c r="J34" t="s">
        <v>564</v>
      </c>
      <c r="K34" s="698">
        <v>45957.551388888889</v>
      </c>
      <c r="L34" s="698">
        <v>45957.551388888889</v>
      </c>
      <c r="M34" t="s">
        <v>565</v>
      </c>
      <c r="N34" t="s">
        <v>565</v>
      </c>
      <c r="O34" t="s">
        <v>566</v>
      </c>
      <c r="P34" t="s">
        <v>567</v>
      </c>
      <c r="S34" t="s">
        <v>567</v>
      </c>
      <c r="T34" t="s">
        <v>567</v>
      </c>
      <c r="Z34" t="s">
        <v>568</v>
      </c>
      <c r="AA34" t="s">
        <v>568</v>
      </c>
      <c r="AC34" t="str">
        <v>A&amp;W Glendeer JCT</v>
      </c>
    </row>
    <row r="35" spans="1:29">
      <c r="A35" t="s">
        <v>632</v>
      </c>
      <c r="B35" t="s">
        <v>658</v>
      </c>
      <c r="C35" t="s">
        <v>634</v>
      </c>
      <c r="D35" t="s">
        <v>562</v>
      </c>
      <c r="E35" t="s">
        <v>659</v>
      </c>
      <c r="F35" t="s">
        <v>562</v>
      </c>
      <c r="G35" t="s">
        <v>562</v>
      </c>
      <c r="H35" t="s">
        <v>562</v>
      </c>
      <c r="I35">
        <v>4820</v>
      </c>
      <c r="J35" t="s">
        <v>564</v>
      </c>
      <c r="K35" s="698">
        <v>45957.552777777775</v>
      </c>
      <c r="L35" s="698">
        <v>45957.552777777775</v>
      </c>
      <c r="M35" t="s">
        <v>565</v>
      </c>
      <c r="N35" t="s">
        <v>565</v>
      </c>
      <c r="O35" t="s">
        <v>566</v>
      </c>
      <c r="P35" t="s">
        <v>567</v>
      </c>
      <c r="S35" t="s">
        <v>567</v>
      </c>
      <c r="T35" t="s">
        <v>567</v>
      </c>
      <c r="Z35" t="s">
        <v>568</v>
      </c>
      <c r="AA35" t="s">
        <v>568</v>
      </c>
      <c r="AC35" t="str">
        <v>A1 Auto body Ltd</v>
      </c>
    </row>
    <row r="36" spans="1:29">
      <c r="A36" t="s">
        <v>632</v>
      </c>
      <c r="B36" t="s">
        <v>641</v>
      </c>
      <c r="C36" t="s">
        <v>638</v>
      </c>
      <c r="D36" t="s">
        <v>562</v>
      </c>
      <c r="E36" t="s">
        <v>660</v>
      </c>
      <c r="F36" t="s">
        <v>562</v>
      </c>
      <c r="G36" t="s">
        <v>562</v>
      </c>
      <c r="H36" t="s">
        <v>562</v>
      </c>
      <c r="I36">
        <v>4864</v>
      </c>
      <c r="J36" t="s">
        <v>564</v>
      </c>
      <c r="K36" s="698">
        <v>45957.554166666669</v>
      </c>
      <c r="L36" s="698">
        <v>45957.554166666669</v>
      </c>
      <c r="M36" t="s">
        <v>565</v>
      </c>
      <c r="N36" t="s">
        <v>565</v>
      </c>
      <c r="O36" t="s">
        <v>566</v>
      </c>
      <c r="P36" t="s">
        <v>567</v>
      </c>
      <c r="S36" t="s">
        <v>567</v>
      </c>
      <c r="T36" t="s">
        <v>567</v>
      </c>
      <c r="Z36" t="s">
        <v>568</v>
      </c>
      <c r="AA36" t="s">
        <v>568</v>
      </c>
      <c r="AC36" t="str">
        <v>AAR Management Inc.</v>
      </c>
    </row>
    <row r="37" spans="1:29">
      <c r="A37" t="s">
        <v>661</v>
      </c>
      <c r="B37" t="s">
        <v>662</v>
      </c>
      <c r="C37" t="s">
        <v>663</v>
      </c>
      <c r="D37" t="s">
        <v>562</v>
      </c>
      <c r="E37" t="s">
        <v>664</v>
      </c>
      <c r="F37" t="s">
        <v>562</v>
      </c>
      <c r="G37" t="s">
        <v>562</v>
      </c>
      <c r="H37" t="s">
        <v>562</v>
      </c>
      <c r="I37">
        <v>4785</v>
      </c>
      <c r="J37" t="s">
        <v>564</v>
      </c>
      <c r="K37" s="698">
        <v>45957.552083333336</v>
      </c>
      <c r="L37" s="698">
        <v>45957.552083333336</v>
      </c>
      <c r="M37" t="s">
        <v>565</v>
      </c>
      <c r="N37" t="s">
        <v>565</v>
      </c>
      <c r="O37" t="s">
        <v>566</v>
      </c>
      <c r="P37" t="s">
        <v>567</v>
      </c>
      <c r="S37" t="s">
        <v>567</v>
      </c>
      <c r="T37" t="s">
        <v>567</v>
      </c>
      <c r="Z37" t="s">
        <v>568</v>
      </c>
      <c r="AA37" t="s">
        <v>568</v>
      </c>
      <c r="AC37" t="str">
        <v>Absolute Masonry</v>
      </c>
    </row>
    <row r="38" spans="1:29">
      <c r="A38" t="s">
        <v>665</v>
      </c>
      <c r="B38" t="s">
        <v>603</v>
      </c>
      <c r="C38" t="s">
        <v>562</v>
      </c>
      <c r="D38" t="s">
        <v>562</v>
      </c>
      <c r="E38" t="s">
        <v>666</v>
      </c>
      <c r="F38" t="s">
        <v>562</v>
      </c>
      <c r="G38" t="s">
        <v>562</v>
      </c>
      <c r="H38" t="s">
        <v>562</v>
      </c>
      <c r="I38">
        <v>3708</v>
      </c>
      <c r="J38" t="s">
        <v>564</v>
      </c>
      <c r="K38" s="698">
        <v>45957.431944444441</v>
      </c>
      <c r="L38" s="698">
        <v>45957.431944444441</v>
      </c>
      <c r="M38" t="s">
        <v>565</v>
      </c>
      <c r="N38" t="s">
        <v>565</v>
      </c>
      <c r="O38" t="s">
        <v>566</v>
      </c>
      <c r="P38" t="s">
        <v>567</v>
      </c>
      <c r="S38" t="s">
        <v>567</v>
      </c>
      <c r="T38" t="s">
        <v>567</v>
      </c>
      <c r="Z38" t="s">
        <v>568</v>
      </c>
      <c r="AA38" t="s">
        <v>568</v>
      </c>
      <c r="AC38" t="str">
        <v>Acredited Condominium Management</v>
      </c>
    </row>
    <row r="39" spans="1:29">
      <c r="A39" t="s">
        <v>667</v>
      </c>
      <c r="B39" t="s">
        <v>562</v>
      </c>
      <c r="C39" t="s">
        <v>562</v>
      </c>
      <c r="D39" t="s">
        <v>668</v>
      </c>
      <c r="E39" t="s">
        <v>669</v>
      </c>
      <c r="F39" t="s">
        <v>562</v>
      </c>
      <c r="G39" t="s">
        <v>562</v>
      </c>
      <c r="H39" t="s">
        <v>562</v>
      </c>
      <c r="I39">
        <v>3765</v>
      </c>
      <c r="J39" t="s">
        <v>564</v>
      </c>
      <c r="K39" s="698">
        <v>45957.438194444447</v>
      </c>
      <c r="L39" s="698">
        <v>45957.438194444447</v>
      </c>
      <c r="M39" t="s">
        <v>565</v>
      </c>
      <c r="N39" t="s">
        <v>565</v>
      </c>
      <c r="O39" t="s">
        <v>566</v>
      </c>
      <c r="P39" t="s">
        <v>567</v>
      </c>
      <c r="S39" t="s">
        <v>567</v>
      </c>
      <c r="T39" t="s">
        <v>567</v>
      </c>
      <c r="Z39" t="s">
        <v>568</v>
      </c>
      <c r="AA39" t="s">
        <v>568</v>
      </c>
      <c r="AC39" t="str">
        <v>ADEM Engineering Inc</v>
      </c>
    </row>
    <row r="40" spans="1:29">
      <c r="A40" t="s">
        <v>670</v>
      </c>
      <c r="B40" t="s">
        <v>671</v>
      </c>
      <c r="C40" t="s">
        <v>672</v>
      </c>
      <c r="D40" t="s">
        <v>562</v>
      </c>
      <c r="E40" t="s">
        <v>673</v>
      </c>
      <c r="F40" t="s">
        <v>562</v>
      </c>
      <c r="G40" t="s">
        <v>562</v>
      </c>
      <c r="H40" t="s">
        <v>562</v>
      </c>
      <c r="I40">
        <v>5156</v>
      </c>
      <c r="J40" t="s">
        <v>564</v>
      </c>
      <c r="K40" s="698">
        <v>45957.563194444447</v>
      </c>
      <c r="L40" s="698">
        <v>45957.563194444447</v>
      </c>
      <c r="M40" t="s">
        <v>565</v>
      </c>
      <c r="N40" t="s">
        <v>565</v>
      </c>
      <c r="O40" t="s">
        <v>566</v>
      </c>
      <c r="P40" t="s">
        <v>567</v>
      </c>
      <c r="S40" t="s">
        <v>567</v>
      </c>
      <c r="T40" t="s">
        <v>567</v>
      </c>
      <c r="Z40" t="s">
        <v>568</v>
      </c>
      <c r="AA40" t="s">
        <v>568</v>
      </c>
      <c r="AC40" t="str">
        <v>AGAT Laboratories Ltd.</v>
      </c>
    </row>
    <row r="41" spans="1:29">
      <c r="A41" t="s">
        <v>674</v>
      </c>
      <c r="B41" t="s">
        <v>675</v>
      </c>
      <c r="C41" t="s">
        <v>676</v>
      </c>
      <c r="D41" t="s">
        <v>562</v>
      </c>
      <c r="E41" t="s">
        <v>677</v>
      </c>
      <c r="F41" t="s">
        <v>562</v>
      </c>
      <c r="G41" t="s">
        <v>562</v>
      </c>
      <c r="H41" t="s">
        <v>562</v>
      </c>
      <c r="I41">
        <v>4784</v>
      </c>
      <c r="J41" t="s">
        <v>564</v>
      </c>
      <c r="K41" s="698">
        <v>45957.552083333336</v>
      </c>
      <c r="L41" s="698">
        <v>45957.552083333336</v>
      </c>
      <c r="M41" t="s">
        <v>565</v>
      </c>
      <c r="N41" t="s">
        <v>565</v>
      </c>
      <c r="O41" t="s">
        <v>566</v>
      </c>
      <c r="P41" t="s">
        <v>567</v>
      </c>
      <c r="S41" t="s">
        <v>567</v>
      </c>
      <c r="T41" t="s">
        <v>567</v>
      </c>
      <c r="Z41" t="s">
        <v>568</v>
      </c>
      <c r="AA41" t="s">
        <v>568</v>
      </c>
      <c r="AC41" t="str">
        <v>Agata Kesik</v>
      </c>
    </row>
    <row r="42" spans="1:29">
      <c r="A42" t="s">
        <v>678</v>
      </c>
      <c r="B42" t="s">
        <v>679</v>
      </c>
      <c r="C42" t="s">
        <v>680</v>
      </c>
      <c r="D42" t="s">
        <v>562</v>
      </c>
      <c r="E42" t="s">
        <v>681</v>
      </c>
      <c r="F42" t="s">
        <v>562</v>
      </c>
      <c r="G42" t="s">
        <v>562</v>
      </c>
      <c r="H42" t="s">
        <v>562</v>
      </c>
      <c r="I42">
        <v>4597</v>
      </c>
      <c r="J42" t="s">
        <v>564</v>
      </c>
      <c r="K42" s="698">
        <v>45957.538194444445</v>
      </c>
      <c r="L42" s="698">
        <v>45957.538194444445</v>
      </c>
      <c r="M42" t="s">
        <v>565</v>
      </c>
      <c r="N42" t="s">
        <v>565</v>
      </c>
      <c r="O42" t="s">
        <v>566</v>
      </c>
      <c r="P42" t="s">
        <v>567</v>
      </c>
      <c r="S42" t="s">
        <v>567</v>
      </c>
      <c r="T42" t="s">
        <v>567</v>
      </c>
      <c r="Z42" t="s">
        <v>568</v>
      </c>
      <c r="AA42" t="s">
        <v>568</v>
      </c>
      <c r="AC42" t="str">
        <v>Agrium Canada Partnership</v>
      </c>
    </row>
    <row r="43" spans="1:29">
      <c r="A43" t="s">
        <v>682</v>
      </c>
      <c r="B43" t="s">
        <v>683</v>
      </c>
      <c r="C43" t="s">
        <v>562</v>
      </c>
      <c r="D43" t="s">
        <v>562</v>
      </c>
      <c r="E43" t="s">
        <v>684</v>
      </c>
      <c r="F43" t="s">
        <v>562</v>
      </c>
      <c r="G43" t="s">
        <v>562</v>
      </c>
      <c r="H43" t="s">
        <v>562</v>
      </c>
      <c r="I43">
        <v>3647</v>
      </c>
      <c r="J43" t="s">
        <v>564</v>
      </c>
      <c r="K43" s="698">
        <v>45957.425000000003</v>
      </c>
      <c r="L43" s="698">
        <v>45957.425000000003</v>
      </c>
      <c r="M43" t="s">
        <v>565</v>
      </c>
      <c r="N43" t="s">
        <v>565</v>
      </c>
      <c r="O43" t="s">
        <v>566</v>
      </c>
      <c r="P43" t="s">
        <v>567</v>
      </c>
      <c r="S43" t="s">
        <v>567</v>
      </c>
      <c r="T43" t="s">
        <v>567</v>
      </c>
      <c r="Z43" t="s">
        <v>568</v>
      </c>
      <c r="AA43" t="s">
        <v>568</v>
      </c>
      <c r="AC43" t="str">
        <v>Ainsworth Inc.</v>
      </c>
    </row>
    <row r="44" spans="1:29">
      <c r="A44" t="s">
        <v>682</v>
      </c>
      <c r="B44" t="s">
        <v>685</v>
      </c>
      <c r="C44" t="s">
        <v>686</v>
      </c>
      <c r="D44" t="s">
        <v>562</v>
      </c>
      <c r="E44" t="s">
        <v>687</v>
      </c>
      <c r="F44" t="s">
        <v>562</v>
      </c>
      <c r="G44" t="s">
        <v>562</v>
      </c>
      <c r="H44" t="s">
        <v>562</v>
      </c>
      <c r="I44">
        <v>4685</v>
      </c>
      <c r="J44" t="s">
        <v>564</v>
      </c>
      <c r="K44" s="698">
        <v>45957.548611111109</v>
      </c>
      <c r="L44" s="698">
        <v>45957.548611111109</v>
      </c>
      <c r="M44" t="s">
        <v>565</v>
      </c>
      <c r="N44" t="s">
        <v>565</v>
      </c>
      <c r="O44" t="s">
        <v>566</v>
      </c>
      <c r="P44" t="s">
        <v>567</v>
      </c>
      <c r="S44" t="s">
        <v>567</v>
      </c>
      <c r="T44" t="s">
        <v>567</v>
      </c>
      <c r="Z44" t="s">
        <v>568</v>
      </c>
      <c r="AA44" t="s">
        <v>568</v>
      </c>
      <c r="AC44" t="str">
        <v>AirTech Services</v>
      </c>
    </row>
    <row r="45" spans="1:29">
      <c r="A45" t="s">
        <v>688</v>
      </c>
      <c r="B45" t="s">
        <v>689</v>
      </c>
      <c r="C45" t="s">
        <v>562</v>
      </c>
      <c r="D45" t="s">
        <v>562</v>
      </c>
      <c r="E45" t="s">
        <v>690</v>
      </c>
      <c r="F45" t="s">
        <v>562</v>
      </c>
      <c r="G45" t="s">
        <v>562</v>
      </c>
      <c r="H45" t="s">
        <v>562</v>
      </c>
      <c r="I45">
        <v>4015</v>
      </c>
      <c r="J45" t="s">
        <v>564</v>
      </c>
      <c r="K45" s="698">
        <v>45957.46597222222</v>
      </c>
      <c r="L45" s="698">
        <v>45957.46597222222</v>
      </c>
      <c r="M45" t="s">
        <v>565</v>
      </c>
      <c r="N45" t="s">
        <v>565</v>
      </c>
      <c r="O45" t="s">
        <v>566</v>
      </c>
      <c r="P45" t="s">
        <v>567</v>
      </c>
      <c r="S45" t="s">
        <v>567</v>
      </c>
      <c r="T45" t="s">
        <v>567</v>
      </c>
      <c r="Z45" t="s">
        <v>568</v>
      </c>
      <c r="AA45" t="s">
        <v>568</v>
      </c>
      <c r="AC45" t="str">
        <v>ALBARI Holdings Ltd. &amp; CIP Nominee Inc.</v>
      </c>
    </row>
    <row r="46" spans="1:29">
      <c r="A46" t="s">
        <v>688</v>
      </c>
      <c r="B46" t="s">
        <v>689</v>
      </c>
      <c r="C46" t="s">
        <v>562</v>
      </c>
      <c r="D46" t="s">
        <v>562</v>
      </c>
      <c r="E46" t="s">
        <v>691</v>
      </c>
      <c r="F46" t="s">
        <v>562</v>
      </c>
      <c r="G46" t="s">
        <v>562</v>
      </c>
      <c r="H46" t="s">
        <v>562</v>
      </c>
      <c r="I46">
        <v>5048</v>
      </c>
      <c r="J46" t="s">
        <v>564</v>
      </c>
      <c r="K46" s="698">
        <v>45957.55972222222</v>
      </c>
      <c r="L46" s="698">
        <v>45957.55972222222</v>
      </c>
      <c r="M46" t="s">
        <v>565</v>
      </c>
      <c r="N46" t="s">
        <v>565</v>
      </c>
      <c r="O46" t="s">
        <v>566</v>
      </c>
      <c r="P46" t="s">
        <v>567</v>
      </c>
      <c r="S46" t="s">
        <v>567</v>
      </c>
      <c r="T46" t="s">
        <v>567</v>
      </c>
      <c r="Z46" t="s">
        <v>568</v>
      </c>
      <c r="AA46" t="s">
        <v>568</v>
      </c>
      <c r="AC46" t="str">
        <v>Alberta Janitorial Ltd.</v>
      </c>
    </row>
    <row r="47" spans="1:29">
      <c r="A47" t="s">
        <v>688</v>
      </c>
      <c r="B47" t="s">
        <v>692</v>
      </c>
      <c r="C47" t="s">
        <v>693</v>
      </c>
      <c r="D47" t="s">
        <v>562</v>
      </c>
      <c r="E47" t="s">
        <v>694</v>
      </c>
      <c r="F47" t="s">
        <v>562</v>
      </c>
      <c r="G47" t="s">
        <v>562</v>
      </c>
      <c r="H47" t="s">
        <v>562</v>
      </c>
      <c r="I47">
        <v>5131</v>
      </c>
      <c r="J47" t="s">
        <v>564</v>
      </c>
      <c r="K47" s="698">
        <v>45957.5625</v>
      </c>
      <c r="L47" s="698">
        <v>45957.5625</v>
      </c>
      <c r="M47" t="s">
        <v>565</v>
      </c>
      <c r="N47" t="s">
        <v>565</v>
      </c>
      <c r="O47" t="s">
        <v>566</v>
      </c>
      <c r="P47" t="s">
        <v>567</v>
      </c>
      <c r="S47" t="s">
        <v>567</v>
      </c>
      <c r="T47" t="s">
        <v>567</v>
      </c>
      <c r="Z47" t="s">
        <v>568</v>
      </c>
      <c r="AA47" t="s">
        <v>568</v>
      </c>
      <c r="AC47" t="str">
        <v>Alberta Pro Group</v>
      </c>
    </row>
    <row r="48" spans="1:29">
      <c r="A48" t="s">
        <v>695</v>
      </c>
      <c r="B48" t="s">
        <v>696</v>
      </c>
      <c r="C48" t="s">
        <v>562</v>
      </c>
      <c r="D48" t="s">
        <v>562</v>
      </c>
      <c r="E48" t="s">
        <v>697</v>
      </c>
      <c r="F48" t="s">
        <v>562</v>
      </c>
      <c r="G48" t="s">
        <v>562</v>
      </c>
      <c r="H48" t="s">
        <v>562</v>
      </c>
      <c r="I48">
        <v>4918</v>
      </c>
      <c r="J48" t="s">
        <v>564</v>
      </c>
      <c r="K48" s="698">
        <v>45957.556250000001</v>
      </c>
      <c r="L48" s="698">
        <v>45957.556250000001</v>
      </c>
      <c r="M48" t="s">
        <v>565</v>
      </c>
      <c r="N48" t="s">
        <v>565</v>
      </c>
      <c r="O48" t="s">
        <v>566</v>
      </c>
      <c r="P48" t="s">
        <v>567</v>
      </c>
      <c r="S48" t="s">
        <v>567</v>
      </c>
      <c r="T48" t="s">
        <v>567</v>
      </c>
      <c r="Z48" t="s">
        <v>568</v>
      </c>
      <c r="AA48" t="s">
        <v>568</v>
      </c>
      <c r="AC48" t="str">
        <v>Alberta Roofing Contractors Association</v>
      </c>
    </row>
    <row r="49" spans="1:29">
      <c r="A49" t="s">
        <v>698</v>
      </c>
      <c r="B49" t="s">
        <v>699</v>
      </c>
      <c r="C49" t="s">
        <v>700</v>
      </c>
      <c r="D49" t="s">
        <v>701</v>
      </c>
      <c r="E49" t="s">
        <v>702</v>
      </c>
      <c r="F49" t="s">
        <v>562</v>
      </c>
      <c r="G49" t="s">
        <v>562</v>
      </c>
      <c r="H49" t="s">
        <v>562</v>
      </c>
      <c r="I49">
        <v>4442</v>
      </c>
      <c r="J49" t="s">
        <v>564</v>
      </c>
      <c r="K49" s="698">
        <v>45957.519444444442</v>
      </c>
      <c r="L49" s="698">
        <v>45957.519444444442</v>
      </c>
      <c r="M49" t="s">
        <v>565</v>
      </c>
      <c r="N49" t="s">
        <v>565</v>
      </c>
      <c r="O49" t="s">
        <v>566</v>
      </c>
      <c r="P49" t="s">
        <v>567</v>
      </c>
      <c r="S49" t="s">
        <v>567</v>
      </c>
      <c r="T49" t="s">
        <v>567</v>
      </c>
      <c r="Z49" t="s">
        <v>568</v>
      </c>
      <c r="AA49" t="s">
        <v>568</v>
      </c>
      <c r="AC49" t="str">
        <v>Alcon Electrical Corporation</v>
      </c>
    </row>
    <row r="50" spans="1:29">
      <c r="A50" t="s">
        <v>703</v>
      </c>
      <c r="B50" t="s">
        <v>704</v>
      </c>
      <c r="C50" t="s">
        <v>562</v>
      </c>
      <c r="D50" t="s">
        <v>705</v>
      </c>
      <c r="E50" t="s">
        <v>706</v>
      </c>
      <c r="F50" t="s">
        <v>562</v>
      </c>
      <c r="G50" t="s">
        <v>562</v>
      </c>
      <c r="H50" t="s">
        <v>562</v>
      </c>
      <c r="I50">
        <v>3712</v>
      </c>
      <c r="J50" t="s">
        <v>564</v>
      </c>
      <c r="K50" s="698">
        <v>45957.432638888888</v>
      </c>
      <c r="L50" s="698">
        <v>45957.432638888888</v>
      </c>
      <c r="M50" t="s">
        <v>565</v>
      </c>
      <c r="N50" t="s">
        <v>565</v>
      </c>
      <c r="O50" t="s">
        <v>566</v>
      </c>
      <c r="P50" t="s">
        <v>567</v>
      </c>
      <c r="S50" t="s">
        <v>567</v>
      </c>
      <c r="T50" t="s">
        <v>567</v>
      </c>
      <c r="Z50" t="s">
        <v>568</v>
      </c>
      <c r="AA50" t="s">
        <v>568</v>
      </c>
      <c r="AC50" t="str">
        <v>ALR Commercial Corp</v>
      </c>
    </row>
    <row r="51" spans="1:29">
      <c r="A51" t="s">
        <v>707</v>
      </c>
      <c r="B51" t="s">
        <v>708</v>
      </c>
      <c r="C51" t="s">
        <v>709</v>
      </c>
      <c r="D51" t="s">
        <v>710</v>
      </c>
      <c r="E51" t="s">
        <v>711</v>
      </c>
      <c r="F51" t="s">
        <v>562</v>
      </c>
      <c r="G51" t="s">
        <v>562</v>
      </c>
      <c r="H51" t="s">
        <v>562</v>
      </c>
      <c r="I51">
        <v>4282</v>
      </c>
      <c r="J51" t="s">
        <v>564</v>
      </c>
      <c r="K51" s="698">
        <v>45957.499305555553</v>
      </c>
      <c r="L51" s="698">
        <v>45957.499305555553</v>
      </c>
      <c r="M51" t="s">
        <v>565</v>
      </c>
      <c r="N51" t="s">
        <v>565</v>
      </c>
      <c r="O51" t="s">
        <v>566</v>
      </c>
      <c r="P51" t="s">
        <v>567</v>
      </c>
      <c r="S51" t="s">
        <v>567</v>
      </c>
      <c r="T51" t="s">
        <v>567</v>
      </c>
      <c r="Z51" t="s">
        <v>568</v>
      </c>
      <c r="AA51" t="s">
        <v>568</v>
      </c>
      <c r="AC51" t="str">
        <v>Alta Ramps</v>
      </c>
    </row>
    <row r="52" spans="1:29">
      <c r="A52" t="s">
        <v>712</v>
      </c>
      <c r="B52" t="s">
        <v>562</v>
      </c>
      <c r="C52" t="s">
        <v>562</v>
      </c>
      <c r="D52" t="s">
        <v>713</v>
      </c>
      <c r="E52" t="s">
        <v>714</v>
      </c>
      <c r="F52" t="s">
        <v>562</v>
      </c>
      <c r="G52" t="s">
        <v>562</v>
      </c>
      <c r="H52" t="s">
        <v>562</v>
      </c>
      <c r="I52">
        <v>4973</v>
      </c>
      <c r="J52" t="s">
        <v>564</v>
      </c>
      <c r="K52" s="698">
        <v>45957.557638888888</v>
      </c>
      <c r="L52" s="698">
        <v>45957.557638888888</v>
      </c>
      <c r="M52" t="s">
        <v>565</v>
      </c>
      <c r="N52" t="s">
        <v>565</v>
      </c>
      <c r="O52" t="s">
        <v>566</v>
      </c>
      <c r="P52" t="s">
        <v>567</v>
      </c>
      <c r="S52" t="s">
        <v>567</v>
      </c>
      <c r="T52" t="s">
        <v>567</v>
      </c>
      <c r="Z52" t="s">
        <v>568</v>
      </c>
      <c r="AA52" t="s">
        <v>568</v>
      </c>
      <c r="AC52" t="str">
        <v>Altitude Energy</v>
      </c>
    </row>
    <row r="53" spans="1:29">
      <c r="A53" t="s">
        <v>715</v>
      </c>
      <c r="B53" t="s">
        <v>562</v>
      </c>
      <c r="C53" t="s">
        <v>562</v>
      </c>
      <c r="D53" t="s">
        <v>716</v>
      </c>
      <c r="E53" t="s">
        <v>717</v>
      </c>
      <c r="F53" t="s">
        <v>562</v>
      </c>
      <c r="G53" t="s">
        <v>562</v>
      </c>
      <c r="H53" t="s">
        <v>562</v>
      </c>
      <c r="I53">
        <v>4257</v>
      </c>
      <c r="J53" t="s">
        <v>564</v>
      </c>
      <c r="K53" s="698">
        <v>45957.495833333334</v>
      </c>
      <c r="L53" s="698">
        <v>45957.495833333334</v>
      </c>
      <c r="M53" t="s">
        <v>565</v>
      </c>
      <c r="N53" t="s">
        <v>565</v>
      </c>
      <c r="O53" t="s">
        <v>566</v>
      </c>
      <c r="P53" t="s">
        <v>567</v>
      </c>
      <c r="S53" t="s">
        <v>567</v>
      </c>
      <c r="T53" t="s">
        <v>567</v>
      </c>
      <c r="Z53" t="s">
        <v>568</v>
      </c>
      <c r="AA53" t="s">
        <v>568</v>
      </c>
      <c r="AC53" t="str">
        <v>Analog Mechanical Ltd</v>
      </c>
    </row>
    <row r="54" spans="1:29">
      <c r="A54" t="s">
        <v>718</v>
      </c>
      <c r="B54" t="s">
        <v>719</v>
      </c>
      <c r="C54" t="s">
        <v>720</v>
      </c>
      <c r="D54" t="s">
        <v>562</v>
      </c>
      <c r="E54" t="s">
        <v>721</v>
      </c>
      <c r="F54" t="s">
        <v>562</v>
      </c>
      <c r="G54" t="s">
        <v>562</v>
      </c>
      <c r="H54" t="s">
        <v>562</v>
      </c>
      <c r="I54">
        <v>4232</v>
      </c>
      <c r="J54" t="s">
        <v>564</v>
      </c>
      <c r="K54" s="698">
        <v>45957.493055555555</v>
      </c>
      <c r="L54" s="698">
        <v>45957.493055555555</v>
      </c>
      <c r="M54" t="s">
        <v>565</v>
      </c>
      <c r="N54" t="s">
        <v>565</v>
      </c>
      <c r="O54" t="s">
        <v>566</v>
      </c>
      <c r="P54" t="s">
        <v>567</v>
      </c>
      <c r="S54" t="s">
        <v>567</v>
      </c>
      <c r="T54" t="s">
        <v>567</v>
      </c>
      <c r="Z54" t="s">
        <v>568</v>
      </c>
      <c r="AA54" t="s">
        <v>568</v>
      </c>
      <c r="AC54" t="str">
        <v>Angeli Contracting</v>
      </c>
    </row>
    <row r="55" spans="1:29">
      <c r="A55" t="s">
        <v>722</v>
      </c>
      <c r="B55" t="s">
        <v>723</v>
      </c>
      <c r="C55" t="s">
        <v>724</v>
      </c>
      <c r="D55" t="s">
        <v>562</v>
      </c>
      <c r="E55" t="s">
        <v>725</v>
      </c>
      <c r="F55" t="s">
        <v>562</v>
      </c>
      <c r="G55" t="s">
        <v>562</v>
      </c>
      <c r="H55" t="s">
        <v>562</v>
      </c>
      <c r="I55">
        <v>4080</v>
      </c>
      <c r="J55" t="s">
        <v>564</v>
      </c>
      <c r="K55" s="698">
        <v>45957.473611111112</v>
      </c>
      <c r="L55" s="698">
        <v>45957.473611111112</v>
      </c>
      <c r="M55" t="s">
        <v>565</v>
      </c>
      <c r="N55" t="s">
        <v>565</v>
      </c>
      <c r="O55" t="s">
        <v>566</v>
      </c>
      <c r="P55" t="s">
        <v>567</v>
      </c>
      <c r="S55" t="s">
        <v>567</v>
      </c>
      <c r="T55" t="s">
        <v>567</v>
      </c>
      <c r="Z55" t="s">
        <v>568</v>
      </c>
      <c r="AA55" t="s">
        <v>568</v>
      </c>
      <c r="AC55" t="str">
        <v>Anteco Ventures Inc.</v>
      </c>
    </row>
    <row r="56" spans="1:29">
      <c r="A56" t="s">
        <v>726</v>
      </c>
      <c r="B56" t="s">
        <v>727</v>
      </c>
      <c r="C56" t="s">
        <v>728</v>
      </c>
      <c r="D56" t="s">
        <v>729</v>
      </c>
      <c r="E56" t="s">
        <v>730</v>
      </c>
      <c r="F56" t="s">
        <v>562</v>
      </c>
      <c r="G56" t="s">
        <v>562</v>
      </c>
      <c r="H56" t="s">
        <v>562</v>
      </c>
      <c r="I56">
        <v>4206</v>
      </c>
      <c r="J56" t="s">
        <v>564</v>
      </c>
      <c r="K56" s="698">
        <v>45957.489583333336</v>
      </c>
      <c r="L56" s="698">
        <v>45957.489583333336</v>
      </c>
      <c r="M56" t="s">
        <v>565</v>
      </c>
      <c r="N56" t="s">
        <v>565</v>
      </c>
      <c r="O56" t="s">
        <v>566</v>
      </c>
      <c r="P56" t="s">
        <v>567</v>
      </c>
      <c r="S56" t="s">
        <v>567</v>
      </c>
      <c r="T56" t="s">
        <v>567</v>
      </c>
      <c r="Z56" t="s">
        <v>568</v>
      </c>
      <c r="AA56" t="s">
        <v>568</v>
      </c>
      <c r="AC56" t="str">
        <v>Anten Properties Inc</v>
      </c>
    </row>
    <row r="57" spans="1:29">
      <c r="A57" t="s">
        <v>731</v>
      </c>
      <c r="B57" t="s">
        <v>732</v>
      </c>
      <c r="C57" t="s">
        <v>733</v>
      </c>
      <c r="D57" t="s">
        <v>562</v>
      </c>
      <c r="E57" t="s">
        <v>734</v>
      </c>
      <c r="F57" t="s">
        <v>562</v>
      </c>
      <c r="G57" t="s">
        <v>562</v>
      </c>
      <c r="H57" t="s">
        <v>562</v>
      </c>
      <c r="I57">
        <v>4171</v>
      </c>
      <c r="J57" t="s">
        <v>564</v>
      </c>
      <c r="K57" s="698">
        <v>45957.484722222223</v>
      </c>
      <c r="L57" s="698">
        <v>45957.484722222223</v>
      </c>
      <c r="M57" t="s">
        <v>565</v>
      </c>
      <c r="N57" t="s">
        <v>565</v>
      </c>
      <c r="O57" t="s">
        <v>566</v>
      </c>
      <c r="P57" t="s">
        <v>567</v>
      </c>
      <c r="S57" t="s">
        <v>567</v>
      </c>
      <c r="T57" t="s">
        <v>567</v>
      </c>
      <c r="Z57" t="s">
        <v>568</v>
      </c>
      <c r="AA57" t="s">
        <v>568</v>
      </c>
      <c r="AC57" t="str">
        <v>Antony Ware</v>
      </c>
    </row>
    <row r="58" spans="1:29">
      <c r="A58" t="s">
        <v>735</v>
      </c>
      <c r="B58" t="s">
        <v>736</v>
      </c>
      <c r="C58" t="s">
        <v>737</v>
      </c>
      <c r="D58" t="s">
        <v>562</v>
      </c>
      <c r="E58" t="s">
        <v>738</v>
      </c>
      <c r="F58" t="s">
        <v>562</v>
      </c>
      <c r="G58" t="s">
        <v>562</v>
      </c>
      <c r="H58" t="s">
        <v>562</v>
      </c>
      <c r="I58">
        <v>3703</v>
      </c>
      <c r="J58" t="s">
        <v>564</v>
      </c>
      <c r="K58" s="698">
        <v>45957.431250000001</v>
      </c>
      <c r="L58" s="698">
        <v>45957.431250000001</v>
      </c>
      <c r="M58" t="s">
        <v>565</v>
      </c>
      <c r="N58" t="s">
        <v>565</v>
      </c>
      <c r="O58" t="s">
        <v>566</v>
      </c>
      <c r="P58" t="s">
        <v>567</v>
      </c>
      <c r="S58" t="s">
        <v>567</v>
      </c>
      <c r="T58" t="s">
        <v>567</v>
      </c>
      <c r="Z58" t="s">
        <v>568</v>
      </c>
      <c r="AA58" t="s">
        <v>568</v>
      </c>
      <c r="AC58" t="str">
        <v>Ardor LTD</v>
      </c>
    </row>
    <row r="59" spans="1:29">
      <c r="A59" t="s">
        <v>739</v>
      </c>
      <c r="B59" t="s">
        <v>740</v>
      </c>
      <c r="C59" t="s">
        <v>741</v>
      </c>
      <c r="D59" t="s">
        <v>562</v>
      </c>
      <c r="E59" t="s">
        <v>742</v>
      </c>
      <c r="F59" t="s">
        <v>562</v>
      </c>
      <c r="G59" t="s">
        <v>562</v>
      </c>
      <c r="H59" t="s">
        <v>562</v>
      </c>
      <c r="I59">
        <v>3744</v>
      </c>
      <c r="J59" t="s">
        <v>564</v>
      </c>
      <c r="K59" s="698">
        <v>45957.435416666667</v>
      </c>
      <c r="L59" s="698">
        <v>45957.435416666667</v>
      </c>
      <c r="M59" t="s">
        <v>565</v>
      </c>
      <c r="N59" t="s">
        <v>565</v>
      </c>
      <c r="O59" t="s">
        <v>566</v>
      </c>
      <c r="P59" t="s">
        <v>567</v>
      </c>
      <c r="S59" t="s">
        <v>567</v>
      </c>
      <c r="T59" t="s">
        <v>567</v>
      </c>
      <c r="Z59" t="s">
        <v>568</v>
      </c>
      <c r="AA59" t="s">
        <v>568</v>
      </c>
      <c r="AC59" t="str">
        <v>ARI 8AP GP INC.</v>
      </c>
    </row>
    <row r="60" spans="1:29">
      <c r="A60" t="s">
        <v>743</v>
      </c>
      <c r="B60" t="s">
        <v>562</v>
      </c>
      <c r="C60" t="s">
        <v>562</v>
      </c>
      <c r="D60" t="s">
        <v>744</v>
      </c>
      <c r="E60" t="s">
        <v>745</v>
      </c>
      <c r="F60" t="s">
        <v>562</v>
      </c>
      <c r="G60" t="s">
        <v>562</v>
      </c>
      <c r="H60" t="s">
        <v>562</v>
      </c>
      <c r="I60">
        <v>4988</v>
      </c>
      <c r="J60" t="s">
        <v>564</v>
      </c>
      <c r="K60" s="698">
        <v>45957.558333333334</v>
      </c>
      <c r="L60" s="698">
        <v>45957.558333333334</v>
      </c>
      <c r="M60" t="s">
        <v>565</v>
      </c>
      <c r="N60" t="s">
        <v>565</v>
      </c>
      <c r="O60" t="s">
        <v>566</v>
      </c>
      <c r="P60" t="s">
        <v>567</v>
      </c>
      <c r="S60" t="s">
        <v>567</v>
      </c>
      <c r="T60" t="s">
        <v>567</v>
      </c>
      <c r="Z60" t="s">
        <v>568</v>
      </c>
      <c r="AA60" t="s">
        <v>568</v>
      </c>
      <c r="AC60" t="str">
        <v>Arkon Solutions</v>
      </c>
    </row>
    <row r="61" spans="1:29">
      <c r="A61" t="s">
        <v>746</v>
      </c>
      <c r="B61" t="s">
        <v>747</v>
      </c>
      <c r="C61" t="s">
        <v>748</v>
      </c>
      <c r="D61" t="s">
        <v>749</v>
      </c>
      <c r="E61" t="s">
        <v>750</v>
      </c>
      <c r="F61" t="s">
        <v>562</v>
      </c>
      <c r="G61" t="s">
        <v>562</v>
      </c>
      <c r="H61" t="s">
        <v>562</v>
      </c>
      <c r="I61">
        <v>3689</v>
      </c>
      <c r="J61" t="s">
        <v>564</v>
      </c>
      <c r="K61" s="698">
        <v>45957.429861111108</v>
      </c>
      <c r="L61" s="698">
        <v>45957.429861111108</v>
      </c>
      <c r="M61" t="s">
        <v>565</v>
      </c>
      <c r="N61" t="s">
        <v>565</v>
      </c>
      <c r="O61" t="s">
        <v>566</v>
      </c>
      <c r="P61" t="s">
        <v>567</v>
      </c>
      <c r="S61" t="s">
        <v>567</v>
      </c>
      <c r="T61" t="s">
        <v>567</v>
      </c>
      <c r="Z61" t="s">
        <v>568</v>
      </c>
      <c r="AA61" t="s">
        <v>568</v>
      </c>
      <c r="AC61" t="str">
        <v>ARTIS Britannia Ltd</v>
      </c>
    </row>
    <row r="62" spans="1:29">
      <c r="A62" t="s">
        <v>746</v>
      </c>
      <c r="B62" t="s">
        <v>751</v>
      </c>
      <c r="C62" t="s">
        <v>752</v>
      </c>
      <c r="D62" t="s">
        <v>749</v>
      </c>
      <c r="E62" t="s">
        <v>753</v>
      </c>
      <c r="F62" t="s">
        <v>562</v>
      </c>
      <c r="G62" t="s">
        <v>562</v>
      </c>
      <c r="H62" t="s">
        <v>562</v>
      </c>
      <c r="I62">
        <v>4476</v>
      </c>
      <c r="J62" t="s">
        <v>564</v>
      </c>
      <c r="K62" s="698">
        <v>45957.522916666669</v>
      </c>
      <c r="L62" s="698">
        <v>45957.522916666669</v>
      </c>
      <c r="M62" t="s">
        <v>565</v>
      </c>
      <c r="N62" t="s">
        <v>565</v>
      </c>
      <c r="O62" t="s">
        <v>566</v>
      </c>
      <c r="P62" t="s">
        <v>567</v>
      </c>
      <c r="S62" t="s">
        <v>567</v>
      </c>
      <c r="T62" t="s">
        <v>567</v>
      </c>
      <c r="Z62" t="s">
        <v>568</v>
      </c>
      <c r="AA62" t="s">
        <v>568</v>
      </c>
      <c r="AC62" t="str">
        <v>Artis Calgary Dominion Ltd.</v>
      </c>
    </row>
    <row r="63" spans="1:29">
      <c r="A63" t="s">
        <v>746</v>
      </c>
      <c r="B63" t="s">
        <v>562</v>
      </c>
      <c r="C63" t="s">
        <v>754</v>
      </c>
      <c r="D63" t="s">
        <v>749</v>
      </c>
      <c r="E63" t="s">
        <v>755</v>
      </c>
      <c r="F63" t="s">
        <v>562</v>
      </c>
      <c r="G63" t="s">
        <v>562</v>
      </c>
      <c r="H63" t="s">
        <v>562</v>
      </c>
      <c r="I63">
        <v>4490</v>
      </c>
      <c r="J63" t="s">
        <v>564</v>
      </c>
      <c r="K63" s="698">
        <v>45957.525000000001</v>
      </c>
      <c r="L63" s="698">
        <v>45957.525000000001</v>
      </c>
      <c r="M63" t="s">
        <v>565</v>
      </c>
      <c r="N63" t="s">
        <v>565</v>
      </c>
      <c r="O63" t="s">
        <v>566</v>
      </c>
      <c r="P63" t="s">
        <v>567</v>
      </c>
      <c r="S63" t="s">
        <v>567</v>
      </c>
      <c r="T63" t="s">
        <v>567</v>
      </c>
      <c r="Z63" t="s">
        <v>568</v>
      </c>
      <c r="AA63" t="s">
        <v>568</v>
      </c>
      <c r="AC63" t="str">
        <v>Artis Crowfoot Village Ltd.</v>
      </c>
    </row>
    <row r="64" spans="1:29">
      <c r="A64" t="s">
        <v>746</v>
      </c>
      <c r="B64" t="s">
        <v>756</v>
      </c>
      <c r="C64" t="s">
        <v>757</v>
      </c>
      <c r="D64" t="s">
        <v>749</v>
      </c>
      <c r="E64" t="s">
        <v>758</v>
      </c>
      <c r="F64" t="s">
        <v>562</v>
      </c>
      <c r="G64" t="s">
        <v>562</v>
      </c>
      <c r="H64" t="s">
        <v>562</v>
      </c>
      <c r="I64">
        <v>5013</v>
      </c>
      <c r="J64" t="s">
        <v>564</v>
      </c>
      <c r="K64" s="698">
        <v>45957.559027777781</v>
      </c>
      <c r="L64" s="698">
        <v>45957.559027777781</v>
      </c>
      <c r="M64" t="s">
        <v>565</v>
      </c>
      <c r="N64" t="s">
        <v>565</v>
      </c>
      <c r="O64" t="s">
        <v>566</v>
      </c>
      <c r="P64" t="s">
        <v>567</v>
      </c>
      <c r="S64" t="s">
        <v>567</v>
      </c>
      <c r="T64" t="s">
        <v>567</v>
      </c>
      <c r="Z64" t="s">
        <v>568</v>
      </c>
      <c r="AA64" t="s">
        <v>568</v>
      </c>
      <c r="AC64" t="str">
        <v>Artis Maynard Ltd.</v>
      </c>
    </row>
    <row r="65" spans="1:29">
      <c r="A65" t="s">
        <v>759</v>
      </c>
      <c r="B65" t="s">
        <v>759</v>
      </c>
      <c r="C65" t="s">
        <v>562</v>
      </c>
      <c r="D65" t="s">
        <v>562</v>
      </c>
      <c r="E65" t="s">
        <v>760</v>
      </c>
      <c r="F65" t="s">
        <v>562</v>
      </c>
      <c r="G65" t="s">
        <v>562</v>
      </c>
      <c r="H65" t="s">
        <v>562</v>
      </c>
      <c r="I65">
        <v>3621</v>
      </c>
      <c r="J65" t="s">
        <v>564</v>
      </c>
      <c r="K65" s="698">
        <v>45957.422222222223</v>
      </c>
      <c r="L65" s="698">
        <v>45957.422222222223</v>
      </c>
      <c r="M65" t="s">
        <v>565</v>
      </c>
      <c r="N65" t="s">
        <v>565</v>
      </c>
      <c r="O65" t="s">
        <v>566</v>
      </c>
      <c r="P65" t="s">
        <v>567</v>
      </c>
      <c r="S65" t="s">
        <v>567</v>
      </c>
      <c r="T65" t="s">
        <v>567</v>
      </c>
      <c r="Z65" t="s">
        <v>568</v>
      </c>
      <c r="AA65" t="s">
        <v>568</v>
      </c>
      <c r="AC65" t="str">
        <v>Artis Mountpara Ltd.</v>
      </c>
    </row>
    <row r="66" spans="1:29">
      <c r="A66" t="s">
        <v>761</v>
      </c>
      <c r="B66" t="s">
        <v>562</v>
      </c>
      <c r="C66" t="s">
        <v>562</v>
      </c>
      <c r="D66" t="s">
        <v>762</v>
      </c>
      <c r="E66" t="s">
        <v>763</v>
      </c>
      <c r="F66" t="s">
        <v>562</v>
      </c>
      <c r="G66" t="s">
        <v>562</v>
      </c>
      <c r="H66" t="s">
        <v>562</v>
      </c>
      <c r="I66">
        <v>3970</v>
      </c>
      <c r="J66" t="s">
        <v>564</v>
      </c>
      <c r="K66" s="698">
        <v>45957.460416666669</v>
      </c>
      <c r="L66" s="698">
        <v>45957.460416666669</v>
      </c>
      <c r="M66" t="s">
        <v>565</v>
      </c>
      <c r="N66" t="s">
        <v>565</v>
      </c>
      <c r="O66" t="s">
        <v>566</v>
      </c>
      <c r="P66" t="s">
        <v>567</v>
      </c>
      <c r="S66" t="s">
        <v>567</v>
      </c>
      <c r="T66" t="s">
        <v>567</v>
      </c>
      <c r="Z66" t="s">
        <v>568</v>
      </c>
      <c r="AA66" t="s">
        <v>568</v>
      </c>
      <c r="AC66" t="str">
        <v>ARTIS REIT</v>
      </c>
    </row>
    <row r="67" spans="1:29">
      <c r="A67" t="s">
        <v>761</v>
      </c>
      <c r="B67" t="s">
        <v>764</v>
      </c>
      <c r="C67" t="s">
        <v>765</v>
      </c>
      <c r="D67" t="s">
        <v>766</v>
      </c>
      <c r="E67" t="s">
        <v>767</v>
      </c>
      <c r="F67" t="s">
        <v>562</v>
      </c>
      <c r="G67" t="s">
        <v>562</v>
      </c>
      <c r="H67" t="s">
        <v>562</v>
      </c>
      <c r="I67">
        <v>4479</v>
      </c>
      <c r="J67" t="s">
        <v>564</v>
      </c>
      <c r="K67" s="698">
        <v>45957.523611111108</v>
      </c>
      <c r="L67" s="698">
        <v>45957.523611111108</v>
      </c>
      <c r="M67" t="s">
        <v>565</v>
      </c>
      <c r="N67" t="s">
        <v>565</v>
      </c>
      <c r="O67" t="s">
        <v>566</v>
      </c>
      <c r="P67" t="s">
        <v>567</v>
      </c>
      <c r="S67" t="s">
        <v>567</v>
      </c>
      <c r="T67" t="s">
        <v>567</v>
      </c>
      <c r="Z67" t="s">
        <v>568</v>
      </c>
      <c r="AA67" t="s">
        <v>568</v>
      </c>
      <c r="AC67" t="str">
        <v>Artis Sierra Place Ltd.</v>
      </c>
    </row>
    <row r="68" spans="1:29">
      <c r="A68" t="s">
        <v>768</v>
      </c>
      <c r="B68" t="s">
        <v>562</v>
      </c>
      <c r="C68" t="s">
        <v>562</v>
      </c>
      <c r="D68" t="s">
        <v>769</v>
      </c>
      <c r="E68" t="s">
        <v>770</v>
      </c>
      <c r="F68" t="s">
        <v>562</v>
      </c>
      <c r="G68" t="s">
        <v>562</v>
      </c>
      <c r="H68" t="s">
        <v>562</v>
      </c>
      <c r="I68">
        <v>3589</v>
      </c>
      <c r="J68" t="s">
        <v>564</v>
      </c>
      <c r="K68" s="698">
        <v>45957.418749999997</v>
      </c>
      <c r="L68" s="698">
        <v>45957.418749999997</v>
      </c>
      <c r="M68" t="s">
        <v>565</v>
      </c>
      <c r="N68" t="s">
        <v>565</v>
      </c>
      <c r="O68" t="s">
        <v>566</v>
      </c>
      <c r="P68" t="s">
        <v>567</v>
      </c>
      <c r="S68" t="s">
        <v>567</v>
      </c>
      <c r="T68" t="s">
        <v>567</v>
      </c>
      <c r="Z68" t="s">
        <v>568</v>
      </c>
      <c r="AA68" t="s">
        <v>568</v>
      </c>
      <c r="AC68" t="str">
        <v>Artis Vaughn Construction Services Inc</v>
      </c>
    </row>
    <row r="69" spans="1:29">
      <c r="A69" t="s">
        <v>768</v>
      </c>
      <c r="B69" t="s">
        <v>771</v>
      </c>
      <c r="C69" t="s">
        <v>772</v>
      </c>
      <c r="D69" t="s">
        <v>769</v>
      </c>
      <c r="E69" t="s">
        <v>773</v>
      </c>
      <c r="F69" t="s">
        <v>562</v>
      </c>
      <c r="G69" t="s">
        <v>562</v>
      </c>
      <c r="H69" t="s">
        <v>562</v>
      </c>
      <c r="I69">
        <v>3734</v>
      </c>
      <c r="J69" t="s">
        <v>564</v>
      </c>
      <c r="K69" s="698">
        <v>45957.43472222222</v>
      </c>
      <c r="L69" s="698">
        <v>45957.43472222222</v>
      </c>
      <c r="M69" t="s">
        <v>565</v>
      </c>
      <c r="N69" t="s">
        <v>565</v>
      </c>
      <c r="O69" t="s">
        <v>566</v>
      </c>
      <c r="P69" t="s">
        <v>567</v>
      </c>
      <c r="S69" t="s">
        <v>567</v>
      </c>
      <c r="T69" t="s">
        <v>567</v>
      </c>
      <c r="Z69" t="s">
        <v>568</v>
      </c>
      <c r="AA69" t="s">
        <v>568</v>
      </c>
      <c r="AC69" t="str">
        <v>Aspen Grove Condominium Association</v>
      </c>
    </row>
    <row r="70" spans="1:29">
      <c r="A70" t="s">
        <v>768</v>
      </c>
      <c r="B70" t="s">
        <v>774</v>
      </c>
      <c r="C70" t="s">
        <v>775</v>
      </c>
      <c r="D70" t="s">
        <v>769</v>
      </c>
      <c r="E70" t="s">
        <v>776</v>
      </c>
      <c r="F70" t="s">
        <v>562</v>
      </c>
      <c r="G70" t="s">
        <v>562</v>
      </c>
      <c r="H70" t="s">
        <v>562</v>
      </c>
      <c r="I70">
        <v>3843</v>
      </c>
      <c r="J70" t="s">
        <v>564</v>
      </c>
      <c r="K70" s="698">
        <v>45957.446527777778</v>
      </c>
      <c r="L70" s="698">
        <v>45957.446527777778</v>
      </c>
      <c r="M70" t="s">
        <v>565</v>
      </c>
      <c r="N70" t="s">
        <v>565</v>
      </c>
      <c r="O70" t="s">
        <v>566</v>
      </c>
      <c r="P70" t="s">
        <v>567</v>
      </c>
      <c r="S70" t="s">
        <v>567</v>
      </c>
      <c r="T70" t="s">
        <v>567</v>
      </c>
      <c r="Z70" t="s">
        <v>568</v>
      </c>
      <c r="AA70" t="s">
        <v>568</v>
      </c>
      <c r="AC70" t="str">
        <v>AtkinsRéalis Operations &amp; Maintenance Inc</v>
      </c>
    </row>
    <row r="71" spans="1:29">
      <c r="A71" t="s">
        <v>768</v>
      </c>
      <c r="B71" t="s">
        <v>777</v>
      </c>
      <c r="C71" t="s">
        <v>778</v>
      </c>
      <c r="D71" t="s">
        <v>769</v>
      </c>
      <c r="E71" t="s">
        <v>779</v>
      </c>
      <c r="F71" t="s">
        <v>562</v>
      </c>
      <c r="G71" t="s">
        <v>562</v>
      </c>
      <c r="H71" t="s">
        <v>562</v>
      </c>
      <c r="I71">
        <v>3873</v>
      </c>
      <c r="J71" t="s">
        <v>564</v>
      </c>
      <c r="K71" s="698">
        <v>45957.45</v>
      </c>
      <c r="L71" s="698">
        <v>45957.45</v>
      </c>
      <c r="M71" t="s">
        <v>565</v>
      </c>
      <c r="N71" t="s">
        <v>565</v>
      </c>
      <c r="O71" t="s">
        <v>566</v>
      </c>
      <c r="P71" t="s">
        <v>567</v>
      </c>
      <c r="S71" t="s">
        <v>567</v>
      </c>
      <c r="T71" t="s">
        <v>567</v>
      </c>
      <c r="Z71" t="s">
        <v>568</v>
      </c>
      <c r="AA71" t="s">
        <v>568</v>
      </c>
      <c r="AC71" t="str">
        <v>Atlas-Apex Alberta</v>
      </c>
    </row>
    <row r="72" spans="1:29">
      <c r="A72" t="s">
        <v>768</v>
      </c>
      <c r="B72" t="s">
        <v>774</v>
      </c>
      <c r="C72" t="s">
        <v>775</v>
      </c>
      <c r="D72" t="s">
        <v>769</v>
      </c>
      <c r="E72" t="s">
        <v>780</v>
      </c>
      <c r="F72" t="s">
        <v>562</v>
      </c>
      <c r="G72" t="s">
        <v>562</v>
      </c>
      <c r="H72" t="s">
        <v>562</v>
      </c>
      <c r="I72">
        <v>3910</v>
      </c>
      <c r="J72" t="s">
        <v>564</v>
      </c>
      <c r="K72" s="698">
        <v>45957.453472222223</v>
      </c>
      <c r="L72" s="698">
        <v>45957.453472222223</v>
      </c>
      <c r="M72" t="s">
        <v>565</v>
      </c>
      <c r="N72" t="s">
        <v>565</v>
      </c>
      <c r="O72" t="s">
        <v>566</v>
      </c>
      <c r="P72" t="s">
        <v>567</v>
      </c>
      <c r="S72" t="s">
        <v>567</v>
      </c>
      <c r="T72" t="s">
        <v>567</v>
      </c>
      <c r="Z72" t="s">
        <v>568</v>
      </c>
      <c r="AA72" t="s">
        <v>568</v>
      </c>
      <c r="AC72" t="str">
        <v>Atmostphere Developments Inc</v>
      </c>
    </row>
    <row r="73" spans="1:29">
      <c r="A73" t="s">
        <v>768</v>
      </c>
      <c r="B73" t="s">
        <v>771</v>
      </c>
      <c r="C73" t="s">
        <v>781</v>
      </c>
      <c r="D73" t="s">
        <v>769</v>
      </c>
      <c r="E73" t="s">
        <v>782</v>
      </c>
      <c r="F73" t="s">
        <v>562</v>
      </c>
      <c r="G73" t="s">
        <v>562</v>
      </c>
      <c r="H73" t="s">
        <v>562</v>
      </c>
      <c r="I73">
        <v>3920</v>
      </c>
      <c r="J73" t="s">
        <v>564</v>
      </c>
      <c r="K73" s="698">
        <v>45957.454861111109</v>
      </c>
      <c r="L73" s="698">
        <v>45957.454861111109</v>
      </c>
      <c r="M73" t="s">
        <v>565</v>
      </c>
      <c r="N73" t="s">
        <v>565</v>
      </c>
      <c r="O73" t="s">
        <v>566</v>
      </c>
      <c r="P73" t="s">
        <v>567</v>
      </c>
      <c r="S73" t="s">
        <v>567</v>
      </c>
      <c r="T73" t="s">
        <v>567</v>
      </c>
      <c r="Z73" t="s">
        <v>568</v>
      </c>
      <c r="AA73" t="s">
        <v>568</v>
      </c>
      <c r="AC73" t="str">
        <v>Aurora Developments</v>
      </c>
    </row>
    <row r="74" spans="1:29">
      <c r="A74" t="s">
        <v>768</v>
      </c>
      <c r="B74" t="s">
        <v>783</v>
      </c>
      <c r="C74" t="s">
        <v>784</v>
      </c>
      <c r="D74" t="s">
        <v>769</v>
      </c>
      <c r="E74" t="s">
        <v>785</v>
      </c>
      <c r="F74" t="s">
        <v>562</v>
      </c>
      <c r="G74" t="s">
        <v>562</v>
      </c>
      <c r="H74" t="s">
        <v>562</v>
      </c>
      <c r="I74">
        <v>4016</v>
      </c>
      <c r="J74" t="s">
        <v>564</v>
      </c>
      <c r="K74" s="698">
        <v>45957.46597222222</v>
      </c>
      <c r="L74" s="698">
        <v>45957.46597222222</v>
      </c>
      <c r="M74" t="s">
        <v>565</v>
      </c>
      <c r="N74" t="s">
        <v>565</v>
      </c>
      <c r="O74" t="s">
        <v>566</v>
      </c>
      <c r="P74" t="s">
        <v>567</v>
      </c>
      <c r="S74" t="s">
        <v>567</v>
      </c>
      <c r="T74" t="s">
        <v>567</v>
      </c>
      <c r="Z74" t="s">
        <v>568</v>
      </c>
      <c r="AA74" t="s">
        <v>568</v>
      </c>
      <c r="AC74" t="str">
        <v>Avaedan Property Maintenance Ltd</v>
      </c>
    </row>
    <row r="75" spans="1:29">
      <c r="A75" t="s">
        <v>768</v>
      </c>
      <c r="B75" t="s">
        <v>786</v>
      </c>
      <c r="C75" t="s">
        <v>787</v>
      </c>
      <c r="D75" t="s">
        <v>769</v>
      </c>
      <c r="E75" t="s">
        <v>788</v>
      </c>
      <c r="F75" t="s">
        <v>562</v>
      </c>
      <c r="G75" t="s">
        <v>562</v>
      </c>
      <c r="H75" t="s">
        <v>562</v>
      </c>
      <c r="I75">
        <v>4074</v>
      </c>
      <c r="J75" t="s">
        <v>564</v>
      </c>
      <c r="K75" s="698">
        <v>45957.472916666666</v>
      </c>
      <c r="L75" s="698">
        <v>45957.472916666666</v>
      </c>
      <c r="M75" t="s">
        <v>565</v>
      </c>
      <c r="N75" t="s">
        <v>565</v>
      </c>
      <c r="O75" t="s">
        <v>566</v>
      </c>
      <c r="P75" t="s">
        <v>567</v>
      </c>
      <c r="S75" t="s">
        <v>567</v>
      </c>
      <c r="T75" t="s">
        <v>567</v>
      </c>
      <c r="Z75" t="s">
        <v>568</v>
      </c>
      <c r="AA75" t="s">
        <v>568</v>
      </c>
      <c r="AC75" t="str">
        <v>Avalanche Air Systems</v>
      </c>
    </row>
    <row r="76" spans="1:29">
      <c r="A76" t="s">
        <v>768</v>
      </c>
      <c r="B76" t="s">
        <v>774</v>
      </c>
      <c r="C76" t="s">
        <v>775</v>
      </c>
      <c r="D76" t="s">
        <v>769</v>
      </c>
      <c r="E76" t="s">
        <v>789</v>
      </c>
      <c r="F76" t="s">
        <v>562</v>
      </c>
      <c r="G76" t="s">
        <v>562</v>
      </c>
      <c r="H76" t="s">
        <v>562</v>
      </c>
      <c r="I76">
        <v>4092</v>
      </c>
      <c r="J76" t="s">
        <v>564</v>
      </c>
      <c r="K76" s="698">
        <v>45957.474999999999</v>
      </c>
      <c r="L76" s="698">
        <v>45957.474999999999</v>
      </c>
      <c r="M76" t="s">
        <v>565</v>
      </c>
      <c r="N76" t="s">
        <v>565</v>
      </c>
      <c r="O76" t="s">
        <v>566</v>
      </c>
      <c r="P76" t="s">
        <v>567</v>
      </c>
      <c r="S76" t="s">
        <v>567</v>
      </c>
      <c r="T76" t="s">
        <v>567</v>
      </c>
      <c r="Z76" t="s">
        <v>568</v>
      </c>
      <c r="AA76" t="s">
        <v>568</v>
      </c>
      <c r="AC76" t="str">
        <v>Avalanche Waste Management Inc.</v>
      </c>
    </row>
    <row r="77" spans="1:29">
      <c r="A77" t="s">
        <v>768</v>
      </c>
      <c r="B77" t="s">
        <v>790</v>
      </c>
      <c r="C77" t="s">
        <v>791</v>
      </c>
      <c r="D77" t="s">
        <v>769</v>
      </c>
      <c r="E77" t="s">
        <v>792</v>
      </c>
      <c r="F77" t="s">
        <v>562</v>
      </c>
      <c r="G77" t="s">
        <v>562</v>
      </c>
      <c r="H77" t="s">
        <v>562</v>
      </c>
      <c r="I77">
        <v>4184</v>
      </c>
      <c r="J77" t="s">
        <v>564</v>
      </c>
      <c r="K77" s="698">
        <v>45957.486805555556</v>
      </c>
      <c r="L77" s="698">
        <v>45957.486805555556</v>
      </c>
      <c r="M77" t="s">
        <v>565</v>
      </c>
      <c r="N77" t="s">
        <v>565</v>
      </c>
      <c r="O77" t="s">
        <v>566</v>
      </c>
      <c r="P77" t="s">
        <v>567</v>
      </c>
      <c r="S77" t="s">
        <v>567</v>
      </c>
      <c r="T77" t="s">
        <v>567</v>
      </c>
      <c r="Z77" t="s">
        <v>568</v>
      </c>
      <c r="AA77" t="s">
        <v>568</v>
      </c>
      <c r="AC77" t="str">
        <v>Avenue Commercial</v>
      </c>
    </row>
    <row r="78" spans="1:29">
      <c r="A78" t="s">
        <v>768</v>
      </c>
      <c r="B78" t="s">
        <v>793</v>
      </c>
      <c r="C78" t="s">
        <v>794</v>
      </c>
      <c r="D78" t="s">
        <v>769</v>
      </c>
      <c r="E78" t="s">
        <v>795</v>
      </c>
      <c r="F78" t="s">
        <v>562</v>
      </c>
      <c r="G78" t="s">
        <v>562</v>
      </c>
      <c r="H78" t="s">
        <v>562</v>
      </c>
      <c r="I78">
        <v>4327</v>
      </c>
      <c r="J78" t="s">
        <v>564</v>
      </c>
      <c r="K78" s="698">
        <v>45957.504861111112</v>
      </c>
      <c r="L78" s="698">
        <v>45957.504861111112</v>
      </c>
      <c r="M78" t="s">
        <v>565</v>
      </c>
      <c r="N78" t="s">
        <v>565</v>
      </c>
      <c r="O78" t="s">
        <v>566</v>
      </c>
      <c r="P78" t="s">
        <v>567</v>
      </c>
      <c r="S78" t="s">
        <v>567</v>
      </c>
      <c r="T78" t="s">
        <v>567</v>
      </c>
      <c r="Z78" t="s">
        <v>568</v>
      </c>
      <c r="AA78" t="s">
        <v>568</v>
      </c>
      <c r="AC78" t="str">
        <v>Avenue Health</v>
      </c>
    </row>
    <row r="79" spans="1:29">
      <c r="A79" t="s">
        <v>768</v>
      </c>
      <c r="B79" t="s">
        <v>771</v>
      </c>
      <c r="C79" t="s">
        <v>796</v>
      </c>
      <c r="D79" t="s">
        <v>769</v>
      </c>
      <c r="E79" t="s">
        <v>797</v>
      </c>
      <c r="F79" t="s">
        <v>562</v>
      </c>
      <c r="G79" t="s">
        <v>562</v>
      </c>
      <c r="H79" t="s">
        <v>562</v>
      </c>
      <c r="I79">
        <v>4413</v>
      </c>
      <c r="J79" t="s">
        <v>564</v>
      </c>
      <c r="K79" s="698">
        <v>45957.515277777777</v>
      </c>
      <c r="L79" s="698">
        <v>45957.515277777777</v>
      </c>
      <c r="M79" t="s">
        <v>565</v>
      </c>
      <c r="N79" t="s">
        <v>565</v>
      </c>
      <c r="O79" t="s">
        <v>566</v>
      </c>
      <c r="P79" t="s">
        <v>567</v>
      </c>
      <c r="S79" t="s">
        <v>567</v>
      </c>
      <c r="T79" t="s">
        <v>567</v>
      </c>
      <c r="Z79" t="s">
        <v>568</v>
      </c>
      <c r="AA79" t="s">
        <v>568</v>
      </c>
      <c r="AC79" t="str">
        <v>Aztec Machine Works Ltd.</v>
      </c>
    </row>
    <row r="80" spans="1:29">
      <c r="A80" t="s">
        <v>768</v>
      </c>
      <c r="B80" t="s">
        <v>798</v>
      </c>
      <c r="C80" t="s">
        <v>799</v>
      </c>
      <c r="D80" t="s">
        <v>769</v>
      </c>
      <c r="E80" t="s">
        <v>800</v>
      </c>
      <c r="F80" t="s">
        <v>562</v>
      </c>
      <c r="G80" t="s">
        <v>562</v>
      </c>
      <c r="H80" t="s">
        <v>562</v>
      </c>
      <c r="I80">
        <v>4421</v>
      </c>
      <c r="J80" t="s">
        <v>564</v>
      </c>
      <c r="K80" s="698">
        <v>45957.51666666667</v>
      </c>
      <c r="L80" s="698">
        <v>45957.51666666667</v>
      </c>
      <c r="M80" t="s">
        <v>565</v>
      </c>
      <c r="N80" t="s">
        <v>565</v>
      </c>
      <c r="O80" t="s">
        <v>566</v>
      </c>
      <c r="P80" t="s">
        <v>567</v>
      </c>
      <c r="S80" t="s">
        <v>567</v>
      </c>
      <c r="T80" t="s">
        <v>567</v>
      </c>
      <c r="Z80" t="s">
        <v>568</v>
      </c>
      <c r="AA80" t="s">
        <v>568</v>
      </c>
      <c r="AC80" t="str">
        <v>Bailey Metal Products Limited</v>
      </c>
    </row>
    <row r="81" spans="1:29">
      <c r="A81" t="s">
        <v>768</v>
      </c>
      <c r="B81" t="s">
        <v>774</v>
      </c>
      <c r="C81" t="s">
        <v>775</v>
      </c>
      <c r="D81" t="s">
        <v>769</v>
      </c>
      <c r="E81" t="s">
        <v>801</v>
      </c>
      <c r="F81" t="s">
        <v>562</v>
      </c>
      <c r="G81" t="s">
        <v>562</v>
      </c>
      <c r="H81" t="s">
        <v>562</v>
      </c>
      <c r="I81">
        <v>4438</v>
      </c>
      <c r="J81" t="s">
        <v>564</v>
      </c>
      <c r="K81" s="698">
        <v>45957.518750000003</v>
      </c>
      <c r="L81" s="698">
        <v>45957.518750000003</v>
      </c>
      <c r="M81" t="s">
        <v>565</v>
      </c>
      <c r="N81" t="s">
        <v>565</v>
      </c>
      <c r="O81" t="s">
        <v>566</v>
      </c>
      <c r="P81" t="s">
        <v>567</v>
      </c>
      <c r="S81" t="s">
        <v>567</v>
      </c>
      <c r="T81" t="s">
        <v>567</v>
      </c>
      <c r="Z81" t="s">
        <v>568</v>
      </c>
      <c r="AA81" t="s">
        <v>568</v>
      </c>
      <c r="AC81" t="str">
        <v>Bailey Metals</v>
      </c>
    </row>
    <row r="82" spans="1:29">
      <c r="A82" t="s">
        <v>768</v>
      </c>
      <c r="B82" t="s">
        <v>793</v>
      </c>
      <c r="C82" t="s">
        <v>794</v>
      </c>
      <c r="D82" t="s">
        <v>769</v>
      </c>
      <c r="E82" t="s">
        <v>802</v>
      </c>
      <c r="F82" t="s">
        <v>562</v>
      </c>
      <c r="G82" t="s">
        <v>562</v>
      </c>
      <c r="H82" t="s">
        <v>562</v>
      </c>
      <c r="I82">
        <v>4491</v>
      </c>
      <c r="J82" t="s">
        <v>564</v>
      </c>
      <c r="K82" s="698">
        <v>45957.525000000001</v>
      </c>
      <c r="L82" s="698">
        <v>45957.525000000001</v>
      </c>
      <c r="M82" t="s">
        <v>565</v>
      </c>
      <c r="N82" t="s">
        <v>565</v>
      </c>
      <c r="O82" t="s">
        <v>566</v>
      </c>
      <c r="P82" t="s">
        <v>567</v>
      </c>
      <c r="S82" t="s">
        <v>567</v>
      </c>
      <c r="T82" t="s">
        <v>567</v>
      </c>
      <c r="Z82" t="s">
        <v>568</v>
      </c>
      <c r="AA82" t="s">
        <v>568</v>
      </c>
      <c r="AC82" t="str">
        <v>Balzers Canada Inc</v>
      </c>
    </row>
    <row r="83" spans="1:29">
      <c r="A83" t="s">
        <v>768</v>
      </c>
      <c r="B83" t="s">
        <v>562</v>
      </c>
      <c r="C83" t="s">
        <v>562</v>
      </c>
      <c r="D83" t="s">
        <v>769</v>
      </c>
      <c r="E83" t="s">
        <v>803</v>
      </c>
      <c r="F83" t="s">
        <v>562</v>
      </c>
      <c r="G83" t="s">
        <v>562</v>
      </c>
      <c r="H83" t="s">
        <v>562</v>
      </c>
      <c r="I83">
        <v>4529</v>
      </c>
      <c r="J83" t="s">
        <v>564</v>
      </c>
      <c r="K83" s="698">
        <v>45957.529861111114</v>
      </c>
      <c r="L83" s="698">
        <v>45957.529861111114</v>
      </c>
      <c r="M83" t="s">
        <v>565</v>
      </c>
      <c r="N83" t="s">
        <v>565</v>
      </c>
      <c r="O83" t="s">
        <v>566</v>
      </c>
      <c r="P83" t="s">
        <v>567</v>
      </c>
      <c r="S83" t="s">
        <v>567</v>
      </c>
      <c r="T83" t="s">
        <v>567</v>
      </c>
      <c r="Z83" t="s">
        <v>568</v>
      </c>
      <c r="AA83" t="s">
        <v>568</v>
      </c>
      <c r="AC83" t="str">
        <v>Baxter Roof Consulting</v>
      </c>
    </row>
    <row r="84" spans="1:29">
      <c r="A84" t="s">
        <v>768</v>
      </c>
      <c r="B84" t="s">
        <v>804</v>
      </c>
      <c r="C84" t="s">
        <v>805</v>
      </c>
      <c r="D84" t="s">
        <v>769</v>
      </c>
      <c r="E84" t="s">
        <v>806</v>
      </c>
      <c r="F84" t="s">
        <v>562</v>
      </c>
      <c r="G84" t="s">
        <v>562</v>
      </c>
      <c r="H84" t="s">
        <v>562</v>
      </c>
      <c r="I84">
        <v>4838</v>
      </c>
      <c r="J84" t="s">
        <v>564</v>
      </c>
      <c r="K84" s="698">
        <v>45957.553472222222</v>
      </c>
      <c r="L84" s="698">
        <v>45957.553472222222</v>
      </c>
      <c r="M84" t="s">
        <v>565</v>
      </c>
      <c r="N84" t="s">
        <v>565</v>
      </c>
      <c r="O84" t="s">
        <v>566</v>
      </c>
      <c r="P84" t="s">
        <v>567</v>
      </c>
      <c r="S84" t="s">
        <v>567</v>
      </c>
      <c r="T84" t="s">
        <v>567</v>
      </c>
      <c r="Z84" t="s">
        <v>568</v>
      </c>
      <c r="AA84" t="s">
        <v>568</v>
      </c>
      <c r="AC84" t="str">
        <v>BBA Engineering Inc</v>
      </c>
    </row>
    <row r="85" spans="1:29">
      <c r="A85" t="s">
        <v>768</v>
      </c>
      <c r="B85" t="s">
        <v>562</v>
      </c>
      <c r="C85" t="s">
        <v>562</v>
      </c>
      <c r="D85" t="s">
        <v>769</v>
      </c>
      <c r="E85" t="s">
        <v>807</v>
      </c>
      <c r="F85" t="s">
        <v>562</v>
      </c>
      <c r="G85" t="s">
        <v>562</v>
      </c>
      <c r="H85" t="s">
        <v>562</v>
      </c>
      <c r="I85">
        <v>4861</v>
      </c>
      <c r="J85" t="s">
        <v>564</v>
      </c>
      <c r="K85" s="698">
        <v>45957.554166666669</v>
      </c>
      <c r="L85" s="698">
        <v>45957.554166666669</v>
      </c>
      <c r="M85" t="s">
        <v>565</v>
      </c>
      <c r="N85" t="s">
        <v>565</v>
      </c>
      <c r="O85" t="s">
        <v>566</v>
      </c>
      <c r="P85" t="s">
        <v>567</v>
      </c>
      <c r="S85" t="s">
        <v>567</v>
      </c>
      <c r="T85" t="s">
        <v>567</v>
      </c>
      <c r="Z85" t="s">
        <v>568</v>
      </c>
      <c r="AA85" t="s">
        <v>568</v>
      </c>
      <c r="AC85" t="str">
        <v>BC Autobody</v>
      </c>
    </row>
    <row r="86" spans="1:29">
      <c r="A86" t="s">
        <v>768</v>
      </c>
      <c r="B86" t="s">
        <v>562</v>
      </c>
      <c r="C86" t="s">
        <v>562</v>
      </c>
      <c r="D86" t="s">
        <v>769</v>
      </c>
      <c r="E86" t="s">
        <v>808</v>
      </c>
      <c r="F86" t="s">
        <v>562</v>
      </c>
      <c r="G86" t="s">
        <v>562</v>
      </c>
      <c r="H86" t="s">
        <v>562</v>
      </c>
      <c r="I86">
        <v>4866</v>
      </c>
      <c r="J86" t="s">
        <v>564</v>
      </c>
      <c r="K86" s="698">
        <v>45957.554166666669</v>
      </c>
      <c r="L86" s="698">
        <v>45957.554166666669</v>
      </c>
      <c r="M86" t="s">
        <v>565</v>
      </c>
      <c r="N86" t="s">
        <v>565</v>
      </c>
      <c r="O86" t="s">
        <v>566</v>
      </c>
      <c r="P86" t="s">
        <v>567</v>
      </c>
      <c r="S86" t="s">
        <v>567</v>
      </c>
      <c r="T86" t="s">
        <v>567</v>
      </c>
      <c r="Z86" t="s">
        <v>568</v>
      </c>
      <c r="AA86" t="s">
        <v>568</v>
      </c>
      <c r="AC86" t="str">
        <v>Beacon Hill Apts Ltd Agents for Hamilton Aviation Ltd</v>
      </c>
    </row>
    <row r="87" spans="1:29">
      <c r="A87" t="s">
        <v>768</v>
      </c>
      <c r="B87" t="s">
        <v>562</v>
      </c>
      <c r="C87" t="s">
        <v>562</v>
      </c>
      <c r="D87" t="s">
        <v>769</v>
      </c>
      <c r="E87" t="s">
        <v>809</v>
      </c>
      <c r="F87" t="s">
        <v>562</v>
      </c>
      <c r="G87" t="s">
        <v>562</v>
      </c>
      <c r="H87" t="s">
        <v>562</v>
      </c>
      <c r="I87">
        <v>4875</v>
      </c>
      <c r="J87" t="s">
        <v>564</v>
      </c>
      <c r="K87" s="698">
        <v>45957.554861111108</v>
      </c>
      <c r="L87" s="698">
        <v>45957.554861111108</v>
      </c>
      <c r="M87" t="s">
        <v>565</v>
      </c>
      <c r="N87" t="s">
        <v>565</v>
      </c>
      <c r="O87" t="s">
        <v>566</v>
      </c>
      <c r="P87" t="s">
        <v>567</v>
      </c>
      <c r="S87" t="s">
        <v>567</v>
      </c>
      <c r="T87" t="s">
        <v>567</v>
      </c>
      <c r="Z87" t="s">
        <v>568</v>
      </c>
      <c r="AA87" t="s">
        <v>568</v>
      </c>
      <c r="AC87" t="str">
        <v>Beedie Construction Ltd.</v>
      </c>
    </row>
    <row r="88" spans="1:29">
      <c r="A88" t="s">
        <v>768</v>
      </c>
      <c r="B88" t="s">
        <v>810</v>
      </c>
      <c r="C88" t="s">
        <v>811</v>
      </c>
      <c r="D88" t="s">
        <v>769</v>
      </c>
      <c r="E88" t="s">
        <v>812</v>
      </c>
      <c r="F88" t="s">
        <v>562</v>
      </c>
      <c r="G88" t="s">
        <v>562</v>
      </c>
      <c r="H88" t="s">
        <v>562</v>
      </c>
      <c r="I88">
        <v>5041</v>
      </c>
      <c r="J88" t="s">
        <v>564</v>
      </c>
      <c r="K88" s="698">
        <v>45957.55972222222</v>
      </c>
      <c r="L88" s="698">
        <v>45957.55972222222</v>
      </c>
      <c r="M88" t="s">
        <v>565</v>
      </c>
      <c r="N88" t="s">
        <v>565</v>
      </c>
      <c r="O88" t="s">
        <v>566</v>
      </c>
      <c r="P88" t="s">
        <v>567</v>
      </c>
      <c r="S88" t="s">
        <v>567</v>
      </c>
      <c r="T88" t="s">
        <v>567</v>
      </c>
      <c r="Z88" t="s">
        <v>568</v>
      </c>
      <c r="AA88" t="s">
        <v>568</v>
      </c>
      <c r="AC88" t="str">
        <v>Bell Canada Inc.</v>
      </c>
    </row>
    <row r="89" spans="1:29">
      <c r="A89" t="s">
        <v>768</v>
      </c>
      <c r="B89" t="s">
        <v>562</v>
      </c>
      <c r="C89" t="s">
        <v>562</v>
      </c>
      <c r="D89" t="s">
        <v>769</v>
      </c>
      <c r="E89" t="s">
        <v>813</v>
      </c>
      <c r="F89" t="s">
        <v>562</v>
      </c>
      <c r="G89" t="s">
        <v>562</v>
      </c>
      <c r="H89" t="s">
        <v>562</v>
      </c>
      <c r="I89">
        <v>5049</v>
      </c>
      <c r="J89" t="s">
        <v>564</v>
      </c>
      <c r="K89" s="698">
        <v>45957.55972222222</v>
      </c>
      <c r="L89" s="698">
        <v>45957.55972222222</v>
      </c>
      <c r="M89" t="s">
        <v>565</v>
      </c>
      <c r="N89" t="s">
        <v>565</v>
      </c>
      <c r="O89" t="s">
        <v>566</v>
      </c>
      <c r="P89" t="s">
        <v>567</v>
      </c>
      <c r="S89" t="s">
        <v>567</v>
      </c>
      <c r="T89" t="s">
        <v>567</v>
      </c>
      <c r="Z89" t="s">
        <v>568</v>
      </c>
      <c r="AA89" t="s">
        <v>568</v>
      </c>
      <c r="AC89" t="str">
        <v>Bell Mahoney Roofing Inc.</v>
      </c>
    </row>
    <row r="90" spans="1:29">
      <c r="A90" t="s">
        <v>768</v>
      </c>
      <c r="B90" t="s">
        <v>814</v>
      </c>
      <c r="C90" t="s">
        <v>815</v>
      </c>
      <c r="D90" t="s">
        <v>769</v>
      </c>
      <c r="E90" t="s">
        <v>816</v>
      </c>
      <c r="F90" t="s">
        <v>562</v>
      </c>
      <c r="G90" t="s">
        <v>562</v>
      </c>
      <c r="H90" t="s">
        <v>562</v>
      </c>
      <c r="I90">
        <v>5104</v>
      </c>
      <c r="J90" t="s">
        <v>564</v>
      </c>
      <c r="K90" s="698">
        <v>45957.561805555553</v>
      </c>
      <c r="L90" s="698">
        <v>45957.561805555553</v>
      </c>
      <c r="M90" t="s">
        <v>565</v>
      </c>
      <c r="N90" t="s">
        <v>565</v>
      </c>
      <c r="O90" t="s">
        <v>566</v>
      </c>
      <c r="P90" t="s">
        <v>567</v>
      </c>
      <c r="S90" t="s">
        <v>567</v>
      </c>
      <c r="T90" t="s">
        <v>567</v>
      </c>
      <c r="Z90" t="s">
        <v>568</v>
      </c>
      <c r="AA90" t="s">
        <v>568</v>
      </c>
      <c r="AC90" t="str">
        <v>Bellare Industrial Coatings Inc</v>
      </c>
    </row>
    <row r="91" spans="1:29">
      <c r="A91" t="s">
        <v>768</v>
      </c>
      <c r="B91" t="s">
        <v>562</v>
      </c>
      <c r="C91" t="s">
        <v>562</v>
      </c>
      <c r="D91" t="s">
        <v>769</v>
      </c>
      <c r="E91" t="s">
        <v>817</v>
      </c>
      <c r="F91" t="s">
        <v>562</v>
      </c>
      <c r="G91" t="s">
        <v>562</v>
      </c>
      <c r="H91" t="s">
        <v>562</v>
      </c>
      <c r="I91">
        <v>5198</v>
      </c>
      <c r="J91" t="s">
        <v>564</v>
      </c>
      <c r="K91" s="698">
        <v>45957.564583333333</v>
      </c>
      <c r="L91" s="698">
        <v>45957.564583333333</v>
      </c>
      <c r="M91" t="s">
        <v>565</v>
      </c>
      <c r="N91" t="s">
        <v>565</v>
      </c>
      <c r="O91" t="s">
        <v>566</v>
      </c>
      <c r="P91" t="s">
        <v>567</v>
      </c>
      <c r="S91" t="s">
        <v>567</v>
      </c>
      <c r="T91" t="s">
        <v>567</v>
      </c>
      <c r="Z91" t="s">
        <v>568</v>
      </c>
      <c r="AA91" t="s">
        <v>568</v>
      </c>
      <c r="AC91" t="str">
        <v>Ben Ference</v>
      </c>
    </row>
    <row r="92" spans="1:29">
      <c r="A92" t="s">
        <v>768</v>
      </c>
      <c r="B92" t="s">
        <v>562</v>
      </c>
      <c r="C92" t="s">
        <v>562</v>
      </c>
      <c r="D92" t="s">
        <v>818</v>
      </c>
      <c r="E92" t="s">
        <v>819</v>
      </c>
      <c r="F92" t="s">
        <v>562</v>
      </c>
      <c r="G92" t="s">
        <v>562</v>
      </c>
      <c r="H92" t="s">
        <v>562</v>
      </c>
      <c r="I92">
        <v>5224</v>
      </c>
      <c r="J92" t="s">
        <v>564</v>
      </c>
      <c r="K92" s="698">
        <v>45957.56527777778</v>
      </c>
      <c r="L92" s="698">
        <v>45957.56527777778</v>
      </c>
      <c r="M92" t="s">
        <v>565</v>
      </c>
      <c r="N92" t="s">
        <v>565</v>
      </c>
      <c r="O92" t="s">
        <v>566</v>
      </c>
      <c r="P92" t="s">
        <v>567</v>
      </c>
      <c r="S92" t="s">
        <v>567</v>
      </c>
      <c r="T92" t="s">
        <v>567</v>
      </c>
      <c r="Z92" t="s">
        <v>568</v>
      </c>
      <c r="AA92" t="s">
        <v>568</v>
      </c>
      <c r="AC92" t="str">
        <v>Bentall Green Oak</v>
      </c>
    </row>
    <row r="93" spans="1:29">
      <c r="A93" t="s">
        <v>768</v>
      </c>
      <c r="B93" t="s">
        <v>820</v>
      </c>
      <c r="C93" t="s">
        <v>562</v>
      </c>
      <c r="D93" t="s">
        <v>821</v>
      </c>
      <c r="E93" t="s">
        <v>822</v>
      </c>
      <c r="F93" t="s">
        <v>562</v>
      </c>
      <c r="G93" t="s">
        <v>562</v>
      </c>
      <c r="H93" t="s">
        <v>562</v>
      </c>
      <c r="I93">
        <v>5225</v>
      </c>
      <c r="J93" t="s">
        <v>564</v>
      </c>
      <c r="K93" s="698">
        <v>45957.56527777778</v>
      </c>
      <c r="L93" s="698">
        <v>45957.56527777778</v>
      </c>
      <c r="M93" t="s">
        <v>565</v>
      </c>
      <c r="N93" t="s">
        <v>565</v>
      </c>
      <c r="O93" t="s">
        <v>566</v>
      </c>
      <c r="P93" t="s">
        <v>567</v>
      </c>
      <c r="S93" t="s">
        <v>567</v>
      </c>
      <c r="T93" t="s">
        <v>567</v>
      </c>
      <c r="Z93" t="s">
        <v>568</v>
      </c>
      <c r="AA93" t="s">
        <v>568</v>
      </c>
      <c r="AC93" t="str">
        <v>Berun Sheet Metal Ltd</v>
      </c>
    </row>
    <row r="94" spans="1:29">
      <c r="A94" t="s">
        <v>768</v>
      </c>
      <c r="B94" t="s">
        <v>823</v>
      </c>
      <c r="C94" t="s">
        <v>562</v>
      </c>
      <c r="D94" t="s">
        <v>824</v>
      </c>
      <c r="E94" t="s">
        <v>825</v>
      </c>
      <c r="F94" t="s">
        <v>562</v>
      </c>
      <c r="G94" t="s">
        <v>562</v>
      </c>
      <c r="H94" t="s">
        <v>562</v>
      </c>
      <c r="I94">
        <v>5226</v>
      </c>
      <c r="J94" t="s">
        <v>564</v>
      </c>
      <c r="K94" s="698">
        <v>45957.56527777778</v>
      </c>
      <c r="L94" s="698">
        <v>45957.56527777778</v>
      </c>
      <c r="M94" t="s">
        <v>565</v>
      </c>
      <c r="N94" t="s">
        <v>565</v>
      </c>
      <c r="O94" t="s">
        <v>566</v>
      </c>
      <c r="P94" t="s">
        <v>567</v>
      </c>
      <c r="S94" t="s">
        <v>567</v>
      </c>
      <c r="T94" t="s">
        <v>567</v>
      </c>
      <c r="Z94" t="s">
        <v>568</v>
      </c>
      <c r="AA94" t="s">
        <v>568</v>
      </c>
      <c r="AC94" t="str">
        <v>BGIS Energy &amp; Facility Solutions</v>
      </c>
    </row>
    <row r="95" spans="1:29">
      <c r="A95" t="s">
        <v>768</v>
      </c>
      <c r="B95" t="s">
        <v>820</v>
      </c>
      <c r="C95" t="s">
        <v>562</v>
      </c>
      <c r="D95" t="s">
        <v>821</v>
      </c>
      <c r="E95" t="s">
        <v>562</v>
      </c>
      <c r="F95" t="s">
        <v>562</v>
      </c>
      <c r="G95" t="s">
        <v>562</v>
      </c>
      <c r="H95" t="s">
        <v>562</v>
      </c>
      <c r="I95">
        <v>5244</v>
      </c>
      <c r="J95" t="s">
        <v>564</v>
      </c>
      <c r="K95" s="698">
        <v>46050.383333333331</v>
      </c>
      <c r="L95" s="698">
        <v>46050.383333333331</v>
      </c>
      <c r="M95" t="s">
        <v>565</v>
      </c>
      <c r="N95" t="s">
        <v>565</v>
      </c>
      <c r="O95" t="s">
        <v>566</v>
      </c>
      <c r="P95" t="s">
        <v>567</v>
      </c>
      <c r="S95" t="s">
        <v>567</v>
      </c>
      <c r="T95" t="s">
        <v>567</v>
      </c>
      <c r="Z95" t="s">
        <v>826</v>
      </c>
      <c r="AA95" t="s">
        <v>826</v>
      </c>
      <c r="AC95" t="str">
        <v>Bikaner Restaurant</v>
      </c>
    </row>
    <row r="96" spans="1:29">
      <c r="A96" t="s">
        <v>827</v>
      </c>
      <c r="B96" t="s">
        <v>828</v>
      </c>
      <c r="C96" t="s">
        <v>829</v>
      </c>
      <c r="D96" t="s">
        <v>562</v>
      </c>
      <c r="E96" t="s">
        <v>830</v>
      </c>
      <c r="F96" t="s">
        <v>562</v>
      </c>
      <c r="G96" t="s">
        <v>562</v>
      </c>
      <c r="H96" t="s">
        <v>562</v>
      </c>
      <c r="I96">
        <v>4379</v>
      </c>
      <c r="J96" t="s">
        <v>564</v>
      </c>
      <c r="K96" s="698">
        <v>45957.511111111111</v>
      </c>
      <c r="L96" s="698">
        <v>45957.511111111111</v>
      </c>
      <c r="M96" t="s">
        <v>565</v>
      </c>
      <c r="N96" t="s">
        <v>565</v>
      </c>
      <c r="O96" t="s">
        <v>566</v>
      </c>
      <c r="P96" t="s">
        <v>567</v>
      </c>
      <c r="S96" t="s">
        <v>567</v>
      </c>
      <c r="T96" t="s">
        <v>567</v>
      </c>
      <c r="Z96" t="s">
        <v>568</v>
      </c>
      <c r="AA96" t="s">
        <v>568</v>
      </c>
      <c r="AC96" t="str">
        <v>Bills Plumbing &amp; Heating</v>
      </c>
    </row>
    <row r="97" spans="1:29">
      <c r="A97" t="s">
        <v>827</v>
      </c>
      <c r="B97" t="s">
        <v>828</v>
      </c>
      <c r="C97" t="s">
        <v>829</v>
      </c>
      <c r="D97" t="s">
        <v>562</v>
      </c>
      <c r="E97" t="s">
        <v>831</v>
      </c>
      <c r="F97" t="s">
        <v>562</v>
      </c>
      <c r="G97" t="s">
        <v>562</v>
      </c>
      <c r="H97" t="s">
        <v>562</v>
      </c>
      <c r="I97">
        <v>4862</v>
      </c>
      <c r="J97" t="s">
        <v>564</v>
      </c>
      <c r="K97" s="698">
        <v>45957.554166666669</v>
      </c>
      <c r="L97" s="698">
        <v>45957.554166666669</v>
      </c>
      <c r="M97" t="s">
        <v>565</v>
      </c>
      <c r="N97" t="s">
        <v>565</v>
      </c>
      <c r="O97" t="s">
        <v>566</v>
      </c>
      <c r="P97" t="s">
        <v>567</v>
      </c>
      <c r="S97" t="s">
        <v>567</v>
      </c>
      <c r="T97" t="s">
        <v>567</v>
      </c>
      <c r="Z97" t="s">
        <v>568</v>
      </c>
      <c r="AA97" t="s">
        <v>568</v>
      </c>
      <c r="AC97" t="str">
        <v>Bishop O'Byrne Housing Association</v>
      </c>
    </row>
    <row r="98" spans="1:29">
      <c r="A98" t="s">
        <v>832</v>
      </c>
      <c r="B98" t="s">
        <v>833</v>
      </c>
      <c r="C98" t="s">
        <v>834</v>
      </c>
      <c r="D98" t="s">
        <v>835</v>
      </c>
      <c r="E98" t="s">
        <v>836</v>
      </c>
      <c r="F98" t="s">
        <v>562</v>
      </c>
      <c r="G98" t="s">
        <v>562</v>
      </c>
      <c r="H98" t="s">
        <v>562</v>
      </c>
      <c r="I98">
        <v>3637</v>
      </c>
      <c r="J98" t="s">
        <v>564</v>
      </c>
      <c r="K98" s="698">
        <v>45957.424305555556</v>
      </c>
      <c r="L98" s="698">
        <v>45957.424305555556</v>
      </c>
      <c r="M98" t="s">
        <v>565</v>
      </c>
      <c r="N98" t="s">
        <v>565</v>
      </c>
      <c r="O98" t="s">
        <v>566</v>
      </c>
      <c r="P98" t="s">
        <v>567</v>
      </c>
      <c r="S98" t="s">
        <v>567</v>
      </c>
      <c r="T98" t="s">
        <v>567</v>
      </c>
      <c r="Z98" t="s">
        <v>568</v>
      </c>
      <c r="AA98" t="s">
        <v>568</v>
      </c>
      <c r="AC98" t="str">
        <v>BK Prime Alberta l LP c/o BentallGreenOak (Canada) LP</v>
      </c>
    </row>
    <row r="99" spans="1:29">
      <c r="A99" t="s">
        <v>832</v>
      </c>
      <c r="B99" t="s">
        <v>833</v>
      </c>
      <c r="C99" t="s">
        <v>834</v>
      </c>
      <c r="D99" t="s">
        <v>835</v>
      </c>
      <c r="E99" t="s">
        <v>837</v>
      </c>
      <c r="F99" t="s">
        <v>562</v>
      </c>
      <c r="G99" t="s">
        <v>562</v>
      </c>
      <c r="H99" t="s">
        <v>562</v>
      </c>
      <c r="I99">
        <v>3685</v>
      </c>
      <c r="J99" t="s">
        <v>564</v>
      </c>
      <c r="K99" s="698">
        <v>45957.429166666669</v>
      </c>
      <c r="L99" s="698">
        <v>45957.429166666669</v>
      </c>
      <c r="M99" t="s">
        <v>565</v>
      </c>
      <c r="N99" t="s">
        <v>565</v>
      </c>
      <c r="O99" t="s">
        <v>566</v>
      </c>
      <c r="P99" t="s">
        <v>567</v>
      </c>
      <c r="S99" t="s">
        <v>567</v>
      </c>
      <c r="T99" t="s">
        <v>567</v>
      </c>
      <c r="Z99" t="s">
        <v>568</v>
      </c>
      <c r="AA99" t="s">
        <v>568</v>
      </c>
      <c r="AC99" t="str">
        <v>Blackstone Properties</v>
      </c>
    </row>
    <row r="100" spans="1:29">
      <c r="A100" t="s">
        <v>832</v>
      </c>
      <c r="B100" t="s">
        <v>833</v>
      </c>
      <c r="C100" t="s">
        <v>834</v>
      </c>
      <c r="D100" t="s">
        <v>835</v>
      </c>
      <c r="E100" t="s">
        <v>838</v>
      </c>
      <c r="F100" t="s">
        <v>562</v>
      </c>
      <c r="G100" t="s">
        <v>562</v>
      </c>
      <c r="H100" t="s">
        <v>562</v>
      </c>
      <c r="I100">
        <v>3692</v>
      </c>
      <c r="J100" t="s">
        <v>564</v>
      </c>
      <c r="K100" s="698">
        <v>45957.429861111108</v>
      </c>
      <c r="L100" s="698">
        <v>45957.429861111108</v>
      </c>
      <c r="M100" t="s">
        <v>565</v>
      </c>
      <c r="N100" t="s">
        <v>565</v>
      </c>
      <c r="O100" t="s">
        <v>566</v>
      </c>
      <c r="P100" t="s">
        <v>567</v>
      </c>
      <c r="S100" t="s">
        <v>567</v>
      </c>
      <c r="T100" t="s">
        <v>567</v>
      </c>
      <c r="Z100" t="s">
        <v>568</v>
      </c>
      <c r="AA100" t="s">
        <v>568</v>
      </c>
      <c r="AC100" t="str">
        <v>Bob Fournier Riverstone</v>
      </c>
    </row>
    <row r="101" spans="1:29">
      <c r="A101" t="s">
        <v>832</v>
      </c>
      <c r="B101" t="s">
        <v>833</v>
      </c>
      <c r="C101" t="s">
        <v>834</v>
      </c>
      <c r="D101" t="s">
        <v>835</v>
      </c>
      <c r="E101" t="s">
        <v>839</v>
      </c>
      <c r="F101" t="s">
        <v>562</v>
      </c>
      <c r="G101" t="s">
        <v>562</v>
      </c>
      <c r="H101" t="s">
        <v>562</v>
      </c>
      <c r="I101">
        <v>3710</v>
      </c>
      <c r="J101" t="s">
        <v>564</v>
      </c>
      <c r="K101" s="698">
        <v>45957.431944444441</v>
      </c>
      <c r="L101" s="698">
        <v>45957.431944444441</v>
      </c>
      <c r="M101" t="s">
        <v>565</v>
      </c>
      <c r="N101" t="s">
        <v>565</v>
      </c>
      <c r="O101" t="s">
        <v>566</v>
      </c>
      <c r="P101" t="s">
        <v>567</v>
      </c>
      <c r="S101" t="s">
        <v>567</v>
      </c>
      <c r="T101" t="s">
        <v>567</v>
      </c>
      <c r="Z101" t="s">
        <v>568</v>
      </c>
      <c r="AA101" t="s">
        <v>568</v>
      </c>
      <c r="AC101" t="str">
        <v>Bob Morrison</v>
      </c>
    </row>
    <row r="102" spans="1:29">
      <c r="A102" t="s">
        <v>832</v>
      </c>
      <c r="B102" t="s">
        <v>562</v>
      </c>
      <c r="C102" t="s">
        <v>562</v>
      </c>
      <c r="D102" t="s">
        <v>835</v>
      </c>
      <c r="E102" t="s">
        <v>840</v>
      </c>
      <c r="F102" t="s">
        <v>562</v>
      </c>
      <c r="G102" t="s">
        <v>562</v>
      </c>
      <c r="H102" t="s">
        <v>562</v>
      </c>
      <c r="I102">
        <v>3952</v>
      </c>
      <c r="J102" t="s">
        <v>564</v>
      </c>
      <c r="K102" s="698">
        <v>45957.458333333336</v>
      </c>
      <c r="L102" s="698">
        <v>45957.458333333336</v>
      </c>
      <c r="M102" t="s">
        <v>565</v>
      </c>
      <c r="N102" t="s">
        <v>565</v>
      </c>
      <c r="O102" t="s">
        <v>566</v>
      </c>
      <c r="P102" t="s">
        <v>567</v>
      </c>
      <c r="S102" t="s">
        <v>567</v>
      </c>
      <c r="T102" t="s">
        <v>567</v>
      </c>
      <c r="Z102" t="s">
        <v>568</v>
      </c>
      <c r="AA102" t="s">
        <v>568</v>
      </c>
      <c r="AC102" t="str">
        <v>Bock Roofing</v>
      </c>
    </row>
    <row r="103" spans="1:29">
      <c r="A103" t="s">
        <v>832</v>
      </c>
      <c r="B103" t="s">
        <v>833</v>
      </c>
      <c r="C103" t="s">
        <v>834</v>
      </c>
      <c r="D103" t="s">
        <v>835</v>
      </c>
      <c r="E103" t="s">
        <v>841</v>
      </c>
      <c r="F103" t="s">
        <v>562</v>
      </c>
      <c r="G103" t="s">
        <v>562</v>
      </c>
      <c r="H103" t="s">
        <v>562</v>
      </c>
      <c r="I103">
        <v>4397</v>
      </c>
      <c r="J103" t="s">
        <v>564</v>
      </c>
      <c r="K103" s="698">
        <v>45957.513194444444</v>
      </c>
      <c r="L103" s="698">
        <v>45957.513194444444</v>
      </c>
      <c r="M103" t="s">
        <v>565</v>
      </c>
      <c r="N103" t="s">
        <v>565</v>
      </c>
      <c r="O103" t="s">
        <v>566</v>
      </c>
      <c r="P103" t="s">
        <v>567</v>
      </c>
      <c r="S103" t="s">
        <v>567</v>
      </c>
      <c r="T103" t="s">
        <v>567</v>
      </c>
      <c r="Z103" t="s">
        <v>568</v>
      </c>
      <c r="AA103" t="s">
        <v>568</v>
      </c>
      <c r="AC103" t="str">
        <v>Bogey's Pub &amp; Pizza</v>
      </c>
    </row>
    <row r="104" spans="1:29">
      <c r="A104" t="s">
        <v>832</v>
      </c>
      <c r="B104" t="s">
        <v>833</v>
      </c>
      <c r="C104" t="s">
        <v>834</v>
      </c>
      <c r="D104" t="s">
        <v>835</v>
      </c>
      <c r="E104" t="s">
        <v>842</v>
      </c>
      <c r="F104" t="s">
        <v>562</v>
      </c>
      <c r="G104" t="s">
        <v>562</v>
      </c>
      <c r="H104" t="s">
        <v>562</v>
      </c>
      <c r="I104">
        <v>4398</v>
      </c>
      <c r="J104" t="s">
        <v>564</v>
      </c>
      <c r="K104" s="698">
        <v>45957.513888888891</v>
      </c>
      <c r="L104" s="698">
        <v>45957.513888888891</v>
      </c>
      <c r="M104" t="s">
        <v>565</v>
      </c>
      <c r="N104" t="s">
        <v>565</v>
      </c>
      <c r="O104" t="s">
        <v>566</v>
      </c>
      <c r="P104" t="s">
        <v>567</v>
      </c>
      <c r="S104" t="s">
        <v>567</v>
      </c>
      <c r="T104" t="s">
        <v>567</v>
      </c>
      <c r="Z104" t="s">
        <v>568</v>
      </c>
      <c r="AA104" t="s">
        <v>568</v>
      </c>
      <c r="AC104" t="str">
        <v>Bonnybrook Park Ind Dev Co Ltd</v>
      </c>
    </row>
    <row r="105" spans="1:29">
      <c r="A105" t="s">
        <v>832</v>
      </c>
      <c r="B105" t="s">
        <v>833</v>
      </c>
      <c r="C105" t="s">
        <v>834</v>
      </c>
      <c r="D105" t="s">
        <v>835</v>
      </c>
      <c r="E105" t="s">
        <v>843</v>
      </c>
      <c r="F105" t="s">
        <v>562</v>
      </c>
      <c r="G105" t="s">
        <v>562</v>
      </c>
      <c r="H105" t="s">
        <v>562</v>
      </c>
      <c r="I105">
        <v>4486</v>
      </c>
      <c r="J105" t="s">
        <v>564</v>
      </c>
      <c r="K105" s="698">
        <v>45957.524305555555</v>
      </c>
      <c r="L105" s="698">
        <v>45957.524305555555</v>
      </c>
      <c r="M105" t="s">
        <v>565</v>
      </c>
      <c r="N105" t="s">
        <v>565</v>
      </c>
      <c r="O105" t="s">
        <v>566</v>
      </c>
      <c r="P105" t="s">
        <v>567</v>
      </c>
      <c r="S105" t="s">
        <v>567</v>
      </c>
      <c r="T105" t="s">
        <v>567</v>
      </c>
      <c r="Z105" t="s">
        <v>568</v>
      </c>
      <c r="AA105" t="s">
        <v>568</v>
      </c>
      <c r="AC105" t="str">
        <v>Bossi Construction</v>
      </c>
    </row>
    <row r="106" spans="1:29">
      <c r="A106" t="s">
        <v>832</v>
      </c>
      <c r="B106" t="s">
        <v>833</v>
      </c>
      <c r="C106" t="s">
        <v>834</v>
      </c>
      <c r="D106" t="s">
        <v>835</v>
      </c>
      <c r="E106" t="s">
        <v>844</v>
      </c>
      <c r="F106" t="s">
        <v>562</v>
      </c>
      <c r="G106" t="s">
        <v>562</v>
      </c>
      <c r="H106" t="s">
        <v>562</v>
      </c>
      <c r="I106">
        <v>4499</v>
      </c>
      <c r="J106" t="s">
        <v>564</v>
      </c>
      <c r="K106" s="698">
        <v>45957.526388888888</v>
      </c>
      <c r="L106" s="698">
        <v>45957.526388888888</v>
      </c>
      <c r="M106" t="s">
        <v>565</v>
      </c>
      <c r="N106" t="s">
        <v>565</v>
      </c>
      <c r="O106" t="s">
        <v>566</v>
      </c>
      <c r="P106" t="s">
        <v>567</v>
      </c>
      <c r="S106" t="s">
        <v>567</v>
      </c>
      <c r="T106" t="s">
        <v>567</v>
      </c>
      <c r="Z106" t="s">
        <v>568</v>
      </c>
      <c r="AA106" t="s">
        <v>568</v>
      </c>
      <c r="AC106" t="str">
        <v>Boston Pizza Memorial Drive</v>
      </c>
    </row>
    <row r="107" spans="1:29">
      <c r="A107" t="s">
        <v>832</v>
      </c>
      <c r="B107" t="s">
        <v>833</v>
      </c>
      <c r="C107" t="s">
        <v>845</v>
      </c>
      <c r="D107" t="s">
        <v>835</v>
      </c>
      <c r="E107" t="s">
        <v>846</v>
      </c>
      <c r="F107" t="s">
        <v>562</v>
      </c>
      <c r="G107" t="s">
        <v>562</v>
      </c>
      <c r="H107" t="s">
        <v>562</v>
      </c>
      <c r="I107">
        <v>4516</v>
      </c>
      <c r="J107" t="s">
        <v>564</v>
      </c>
      <c r="K107" s="698">
        <v>45957.527777777781</v>
      </c>
      <c r="L107" s="698">
        <v>45957.527777777781</v>
      </c>
      <c r="M107" t="s">
        <v>565</v>
      </c>
      <c r="N107" t="s">
        <v>565</v>
      </c>
      <c r="O107" t="s">
        <v>566</v>
      </c>
      <c r="P107" t="s">
        <v>567</v>
      </c>
      <c r="S107" t="s">
        <v>567</v>
      </c>
      <c r="T107" t="s">
        <v>567</v>
      </c>
      <c r="Z107" t="s">
        <v>568</v>
      </c>
      <c r="AA107" t="s">
        <v>568</v>
      </c>
      <c r="AC107" t="str">
        <v>Bow Valley Agricultural Society</v>
      </c>
    </row>
    <row r="108" spans="1:29">
      <c r="A108" t="s">
        <v>832</v>
      </c>
      <c r="B108" t="s">
        <v>847</v>
      </c>
      <c r="C108" t="s">
        <v>845</v>
      </c>
      <c r="D108" t="s">
        <v>835</v>
      </c>
      <c r="E108" t="s">
        <v>848</v>
      </c>
      <c r="F108" t="s">
        <v>562</v>
      </c>
      <c r="G108" t="s">
        <v>562</v>
      </c>
      <c r="H108" t="s">
        <v>562</v>
      </c>
      <c r="I108">
        <v>4518</v>
      </c>
      <c r="J108" t="s">
        <v>564</v>
      </c>
      <c r="K108" s="698">
        <v>45957.52847222222</v>
      </c>
      <c r="L108" s="698">
        <v>45957.52847222222</v>
      </c>
      <c r="M108" t="s">
        <v>565</v>
      </c>
      <c r="N108" t="s">
        <v>565</v>
      </c>
      <c r="O108" t="s">
        <v>566</v>
      </c>
      <c r="P108" t="s">
        <v>567</v>
      </c>
      <c r="S108" t="s">
        <v>567</v>
      </c>
      <c r="T108" t="s">
        <v>567</v>
      </c>
      <c r="Z108" t="s">
        <v>568</v>
      </c>
      <c r="AA108" t="s">
        <v>568</v>
      </c>
      <c r="AC108" t="str">
        <v>Bow Valley Community Club</v>
      </c>
    </row>
    <row r="109" spans="1:29">
      <c r="A109" t="s">
        <v>832</v>
      </c>
      <c r="B109" t="s">
        <v>562</v>
      </c>
      <c r="C109" t="s">
        <v>562</v>
      </c>
      <c r="D109" t="s">
        <v>835</v>
      </c>
      <c r="E109" t="s">
        <v>849</v>
      </c>
      <c r="F109" t="s">
        <v>562</v>
      </c>
      <c r="G109" t="s">
        <v>562</v>
      </c>
      <c r="H109" t="s">
        <v>562</v>
      </c>
      <c r="I109">
        <v>4550</v>
      </c>
      <c r="J109" t="s">
        <v>564</v>
      </c>
      <c r="K109" s="698">
        <v>45957.531944444447</v>
      </c>
      <c r="L109" s="698">
        <v>45957.531944444447</v>
      </c>
      <c r="M109" t="s">
        <v>565</v>
      </c>
      <c r="N109" t="s">
        <v>565</v>
      </c>
      <c r="O109" t="s">
        <v>566</v>
      </c>
      <c r="P109" t="s">
        <v>567</v>
      </c>
      <c r="S109" t="s">
        <v>567</v>
      </c>
      <c r="T109" t="s">
        <v>567</v>
      </c>
      <c r="Z109" t="s">
        <v>568</v>
      </c>
      <c r="AA109" t="s">
        <v>568</v>
      </c>
      <c r="AC109" t="str">
        <v>Bow Valley Power</v>
      </c>
    </row>
    <row r="110" spans="1:29">
      <c r="A110" t="s">
        <v>832</v>
      </c>
      <c r="B110" t="s">
        <v>833</v>
      </c>
      <c r="C110" t="s">
        <v>834</v>
      </c>
      <c r="D110" t="s">
        <v>835</v>
      </c>
      <c r="E110" t="s">
        <v>850</v>
      </c>
      <c r="F110" t="s">
        <v>562</v>
      </c>
      <c r="G110" t="s">
        <v>562</v>
      </c>
      <c r="H110" t="s">
        <v>562</v>
      </c>
      <c r="I110">
        <v>4555</v>
      </c>
      <c r="J110" t="s">
        <v>564</v>
      </c>
      <c r="K110" s="698">
        <v>45957.532638888886</v>
      </c>
      <c r="L110" s="698">
        <v>45957.532638888886</v>
      </c>
      <c r="M110" t="s">
        <v>565</v>
      </c>
      <c r="N110" t="s">
        <v>565</v>
      </c>
      <c r="O110" t="s">
        <v>566</v>
      </c>
      <c r="P110" t="s">
        <v>567</v>
      </c>
      <c r="S110" t="s">
        <v>567</v>
      </c>
      <c r="T110" t="s">
        <v>567</v>
      </c>
      <c r="Z110" t="s">
        <v>568</v>
      </c>
      <c r="AA110" t="s">
        <v>568</v>
      </c>
      <c r="AC110" t="str">
        <v>Bracewood Heating and Cooling</v>
      </c>
    </row>
    <row r="111" spans="1:29">
      <c r="A111" t="s">
        <v>832</v>
      </c>
      <c r="B111" t="s">
        <v>847</v>
      </c>
      <c r="C111" t="s">
        <v>845</v>
      </c>
      <c r="D111" t="s">
        <v>835</v>
      </c>
      <c r="E111" t="s">
        <v>851</v>
      </c>
      <c r="F111" t="s">
        <v>562</v>
      </c>
      <c r="G111" t="s">
        <v>562</v>
      </c>
      <c r="H111" t="s">
        <v>562</v>
      </c>
      <c r="I111">
        <v>4557</v>
      </c>
      <c r="J111" t="s">
        <v>564</v>
      </c>
      <c r="K111" s="698">
        <v>45957.532638888886</v>
      </c>
      <c r="L111" s="698">
        <v>45957.532638888886</v>
      </c>
      <c r="M111" t="s">
        <v>565</v>
      </c>
      <c r="N111" t="s">
        <v>565</v>
      </c>
      <c r="O111" t="s">
        <v>566</v>
      </c>
      <c r="P111" t="s">
        <v>567</v>
      </c>
      <c r="S111" t="s">
        <v>567</v>
      </c>
      <c r="T111" t="s">
        <v>567</v>
      </c>
      <c r="Z111" t="s">
        <v>568</v>
      </c>
      <c r="AA111" t="s">
        <v>568</v>
      </c>
      <c r="AC111" t="str">
        <v>Bracko Quality Home Furnishings</v>
      </c>
    </row>
    <row r="112" spans="1:29">
      <c r="A112" t="s">
        <v>832</v>
      </c>
      <c r="B112" t="s">
        <v>833</v>
      </c>
      <c r="C112" t="s">
        <v>834</v>
      </c>
      <c r="D112" t="s">
        <v>835</v>
      </c>
      <c r="E112" t="s">
        <v>852</v>
      </c>
      <c r="F112" t="s">
        <v>562</v>
      </c>
      <c r="G112" t="s">
        <v>562</v>
      </c>
      <c r="H112" t="s">
        <v>562</v>
      </c>
      <c r="I112">
        <v>4558</v>
      </c>
      <c r="J112" t="s">
        <v>564</v>
      </c>
      <c r="K112" s="698">
        <v>45957.533333333333</v>
      </c>
      <c r="L112" s="698">
        <v>45957.533333333333</v>
      </c>
      <c r="M112" t="s">
        <v>565</v>
      </c>
      <c r="N112" t="s">
        <v>565</v>
      </c>
      <c r="O112" t="s">
        <v>566</v>
      </c>
      <c r="P112" t="s">
        <v>567</v>
      </c>
      <c r="S112" t="s">
        <v>567</v>
      </c>
      <c r="T112" t="s">
        <v>567</v>
      </c>
      <c r="Z112" t="s">
        <v>568</v>
      </c>
      <c r="AA112" t="s">
        <v>568</v>
      </c>
      <c r="AC112" t="str">
        <v>Brad Grass</v>
      </c>
    </row>
    <row r="113" spans="1:29">
      <c r="A113" t="s">
        <v>832</v>
      </c>
      <c r="B113" t="s">
        <v>833</v>
      </c>
      <c r="C113" t="s">
        <v>834</v>
      </c>
      <c r="D113" t="s">
        <v>835</v>
      </c>
      <c r="E113" t="s">
        <v>853</v>
      </c>
      <c r="F113" t="s">
        <v>562</v>
      </c>
      <c r="G113" t="s">
        <v>562</v>
      </c>
      <c r="H113" t="s">
        <v>562</v>
      </c>
      <c r="I113">
        <v>4580</v>
      </c>
      <c r="J113" t="s">
        <v>564</v>
      </c>
      <c r="K113" s="698">
        <v>45957.536111111112</v>
      </c>
      <c r="L113" s="698">
        <v>45957.536111111112</v>
      </c>
      <c r="M113" t="s">
        <v>565</v>
      </c>
      <c r="N113" t="s">
        <v>565</v>
      </c>
      <c r="O113" t="s">
        <v>566</v>
      </c>
      <c r="P113" t="s">
        <v>567</v>
      </c>
      <c r="S113" t="s">
        <v>567</v>
      </c>
      <c r="T113" t="s">
        <v>567</v>
      </c>
      <c r="Z113" t="s">
        <v>568</v>
      </c>
      <c r="AA113" t="s">
        <v>568</v>
      </c>
      <c r="AC113" t="str">
        <v>Brandy Lane Condos</v>
      </c>
    </row>
    <row r="114" spans="1:29">
      <c r="A114" t="s">
        <v>832</v>
      </c>
      <c r="B114" t="s">
        <v>833</v>
      </c>
      <c r="C114" t="s">
        <v>834</v>
      </c>
      <c r="D114" t="s">
        <v>835</v>
      </c>
      <c r="E114" t="s">
        <v>854</v>
      </c>
      <c r="F114" t="s">
        <v>562</v>
      </c>
      <c r="G114" t="s">
        <v>562</v>
      </c>
      <c r="H114" t="s">
        <v>562</v>
      </c>
      <c r="I114">
        <v>4586</v>
      </c>
      <c r="J114" t="s">
        <v>564</v>
      </c>
      <c r="K114" s="698">
        <v>45957.536805555559</v>
      </c>
      <c r="L114" s="698">
        <v>45957.536805555559</v>
      </c>
      <c r="M114" t="s">
        <v>565</v>
      </c>
      <c r="N114" t="s">
        <v>565</v>
      </c>
      <c r="O114" t="s">
        <v>566</v>
      </c>
      <c r="P114" t="s">
        <v>567</v>
      </c>
      <c r="S114" t="s">
        <v>567</v>
      </c>
      <c r="T114" t="s">
        <v>567</v>
      </c>
      <c r="Z114" t="s">
        <v>568</v>
      </c>
      <c r="AA114" t="s">
        <v>568</v>
      </c>
      <c r="AC114" t="str">
        <v>Brant's Plumbing &amp; Heating</v>
      </c>
    </row>
    <row r="115" spans="1:29">
      <c r="A115" t="s">
        <v>832</v>
      </c>
      <c r="B115" t="s">
        <v>833</v>
      </c>
      <c r="C115" t="s">
        <v>834</v>
      </c>
      <c r="D115" t="s">
        <v>835</v>
      </c>
      <c r="E115" t="s">
        <v>855</v>
      </c>
      <c r="F115" t="s">
        <v>562</v>
      </c>
      <c r="G115" t="s">
        <v>562</v>
      </c>
      <c r="H115" t="s">
        <v>562</v>
      </c>
      <c r="I115">
        <v>4606</v>
      </c>
      <c r="J115" t="s">
        <v>564</v>
      </c>
      <c r="K115" s="698">
        <v>45957.539583333331</v>
      </c>
      <c r="L115" s="698">
        <v>45957.539583333331</v>
      </c>
      <c r="M115" t="s">
        <v>565</v>
      </c>
      <c r="N115" t="s">
        <v>565</v>
      </c>
      <c r="O115" t="s">
        <v>566</v>
      </c>
      <c r="P115" t="s">
        <v>567</v>
      </c>
      <c r="S115" t="s">
        <v>567</v>
      </c>
      <c r="T115" t="s">
        <v>567</v>
      </c>
      <c r="Z115" t="s">
        <v>568</v>
      </c>
      <c r="AA115" t="s">
        <v>568</v>
      </c>
      <c r="AC115" t="str">
        <v>Braun Electrical Contractors Ltd</v>
      </c>
    </row>
    <row r="116" spans="1:29">
      <c r="A116" t="s">
        <v>832</v>
      </c>
      <c r="B116" t="s">
        <v>833</v>
      </c>
      <c r="C116" t="s">
        <v>834</v>
      </c>
      <c r="D116" t="s">
        <v>835</v>
      </c>
      <c r="E116" t="s">
        <v>856</v>
      </c>
      <c r="F116" t="s">
        <v>562</v>
      </c>
      <c r="G116" t="s">
        <v>562</v>
      </c>
      <c r="H116" t="s">
        <v>562</v>
      </c>
      <c r="I116">
        <v>4623</v>
      </c>
      <c r="J116" t="s">
        <v>564</v>
      </c>
      <c r="K116" s="698">
        <v>45957.541666666664</v>
      </c>
      <c r="L116" s="698">
        <v>45957.541666666664</v>
      </c>
      <c r="M116" t="s">
        <v>565</v>
      </c>
      <c r="N116" t="s">
        <v>565</v>
      </c>
      <c r="O116" t="s">
        <v>566</v>
      </c>
      <c r="P116" t="s">
        <v>567</v>
      </c>
      <c r="S116" t="s">
        <v>567</v>
      </c>
      <c r="T116" t="s">
        <v>567</v>
      </c>
      <c r="Z116" t="s">
        <v>568</v>
      </c>
      <c r="AA116" t="s">
        <v>568</v>
      </c>
      <c r="AC116" t="str">
        <v>Brenare Contracting</v>
      </c>
    </row>
    <row r="117" spans="1:29">
      <c r="A117" t="s">
        <v>832</v>
      </c>
      <c r="B117" t="s">
        <v>833</v>
      </c>
      <c r="C117" t="s">
        <v>834</v>
      </c>
      <c r="D117" t="s">
        <v>835</v>
      </c>
      <c r="E117" t="s">
        <v>857</v>
      </c>
      <c r="F117" t="s">
        <v>562</v>
      </c>
      <c r="G117" t="s">
        <v>562</v>
      </c>
      <c r="H117" t="s">
        <v>562</v>
      </c>
      <c r="I117">
        <v>4626</v>
      </c>
      <c r="J117" t="s">
        <v>564</v>
      </c>
      <c r="K117" s="698">
        <v>45957.541666666664</v>
      </c>
      <c r="L117" s="698">
        <v>45957.541666666664</v>
      </c>
      <c r="M117" t="s">
        <v>565</v>
      </c>
      <c r="N117" t="s">
        <v>565</v>
      </c>
      <c r="O117" t="s">
        <v>566</v>
      </c>
      <c r="P117" t="s">
        <v>567</v>
      </c>
      <c r="S117" t="s">
        <v>567</v>
      </c>
      <c r="T117" t="s">
        <v>567</v>
      </c>
      <c r="Z117" t="s">
        <v>568</v>
      </c>
      <c r="AA117" t="s">
        <v>568</v>
      </c>
      <c r="AC117" t="str">
        <v>Brewers Distribution</v>
      </c>
    </row>
    <row r="118" spans="1:29">
      <c r="A118" t="s">
        <v>832</v>
      </c>
      <c r="B118" t="s">
        <v>833</v>
      </c>
      <c r="C118" t="s">
        <v>834</v>
      </c>
      <c r="D118" t="s">
        <v>835</v>
      </c>
      <c r="E118" t="s">
        <v>858</v>
      </c>
      <c r="F118" t="s">
        <v>562</v>
      </c>
      <c r="G118" t="s">
        <v>562</v>
      </c>
      <c r="H118" t="s">
        <v>562</v>
      </c>
      <c r="I118">
        <v>4630</v>
      </c>
      <c r="J118" t="s">
        <v>564</v>
      </c>
      <c r="K118" s="698">
        <v>45957.542361111111</v>
      </c>
      <c r="L118" s="698">
        <v>45957.542361111111</v>
      </c>
      <c r="M118" t="s">
        <v>565</v>
      </c>
      <c r="N118" t="s">
        <v>565</v>
      </c>
      <c r="O118" t="s">
        <v>566</v>
      </c>
      <c r="P118" t="s">
        <v>567</v>
      </c>
      <c r="S118" t="s">
        <v>567</v>
      </c>
      <c r="T118" t="s">
        <v>567</v>
      </c>
      <c r="Z118" t="s">
        <v>568</v>
      </c>
      <c r="AA118" t="s">
        <v>568</v>
      </c>
      <c r="AC118" t="str">
        <v>Brookfield Global Integrated</v>
      </c>
    </row>
    <row r="119" spans="1:29">
      <c r="A119" t="s">
        <v>832</v>
      </c>
      <c r="B119" t="s">
        <v>833</v>
      </c>
      <c r="C119" t="s">
        <v>834</v>
      </c>
      <c r="D119" t="s">
        <v>835</v>
      </c>
      <c r="E119" t="s">
        <v>859</v>
      </c>
      <c r="F119" t="s">
        <v>562</v>
      </c>
      <c r="G119" t="s">
        <v>562</v>
      </c>
      <c r="H119" t="s">
        <v>562</v>
      </c>
      <c r="I119">
        <v>4641</v>
      </c>
      <c r="J119" t="s">
        <v>564</v>
      </c>
      <c r="K119" s="698">
        <v>45957.547222222223</v>
      </c>
      <c r="L119" s="698">
        <v>45957.547222222223</v>
      </c>
      <c r="M119" t="s">
        <v>565</v>
      </c>
      <c r="N119" t="s">
        <v>565</v>
      </c>
      <c r="O119" t="s">
        <v>566</v>
      </c>
      <c r="P119" t="s">
        <v>567</v>
      </c>
      <c r="S119" t="s">
        <v>567</v>
      </c>
      <c r="T119" t="s">
        <v>567</v>
      </c>
      <c r="Z119" t="s">
        <v>568</v>
      </c>
      <c r="AA119" t="s">
        <v>568</v>
      </c>
      <c r="AC119" t="str">
        <v>Brookfield Properties</v>
      </c>
    </row>
    <row r="120" spans="1:29">
      <c r="A120" t="s">
        <v>832</v>
      </c>
      <c r="B120" t="s">
        <v>833</v>
      </c>
      <c r="C120" t="s">
        <v>845</v>
      </c>
      <c r="D120" t="s">
        <v>835</v>
      </c>
      <c r="E120" t="s">
        <v>860</v>
      </c>
      <c r="F120" t="s">
        <v>562</v>
      </c>
      <c r="G120" t="s">
        <v>562</v>
      </c>
      <c r="H120" t="s">
        <v>562</v>
      </c>
      <c r="I120">
        <v>4643</v>
      </c>
      <c r="J120" t="s">
        <v>564</v>
      </c>
      <c r="K120" s="698">
        <v>45957.547222222223</v>
      </c>
      <c r="L120" s="698">
        <v>45957.547222222223</v>
      </c>
      <c r="M120" t="s">
        <v>565</v>
      </c>
      <c r="N120" t="s">
        <v>565</v>
      </c>
      <c r="O120" t="s">
        <v>566</v>
      </c>
      <c r="P120" t="s">
        <v>567</v>
      </c>
      <c r="S120" t="s">
        <v>567</v>
      </c>
      <c r="T120" t="s">
        <v>567</v>
      </c>
      <c r="Z120" t="s">
        <v>568</v>
      </c>
      <c r="AA120" t="s">
        <v>568</v>
      </c>
      <c r="AC120" t="str">
        <v>BTC Group</v>
      </c>
    </row>
    <row r="121" spans="1:29">
      <c r="A121" t="s">
        <v>832</v>
      </c>
      <c r="B121" t="s">
        <v>833</v>
      </c>
      <c r="C121" t="s">
        <v>834</v>
      </c>
      <c r="D121" t="s">
        <v>835</v>
      </c>
      <c r="E121" t="s">
        <v>861</v>
      </c>
      <c r="F121" t="s">
        <v>562</v>
      </c>
      <c r="G121" t="s">
        <v>562</v>
      </c>
      <c r="H121" t="s">
        <v>562</v>
      </c>
      <c r="I121">
        <v>4647</v>
      </c>
      <c r="J121" t="s">
        <v>564</v>
      </c>
      <c r="K121" s="698">
        <v>45957.547222222223</v>
      </c>
      <c r="L121" s="698">
        <v>45957.547222222223</v>
      </c>
      <c r="M121" t="s">
        <v>565</v>
      </c>
      <c r="N121" t="s">
        <v>565</v>
      </c>
      <c r="O121" t="s">
        <v>566</v>
      </c>
      <c r="P121" t="s">
        <v>567</v>
      </c>
      <c r="S121" t="s">
        <v>567</v>
      </c>
      <c r="T121" t="s">
        <v>567</v>
      </c>
      <c r="Z121" t="s">
        <v>568</v>
      </c>
      <c r="AA121" t="s">
        <v>568</v>
      </c>
      <c r="AC121" t="str">
        <v>Build It</v>
      </c>
    </row>
    <row r="122" spans="1:29">
      <c r="A122" t="s">
        <v>832</v>
      </c>
      <c r="B122" t="s">
        <v>562</v>
      </c>
      <c r="C122" t="s">
        <v>562</v>
      </c>
      <c r="D122" t="s">
        <v>835</v>
      </c>
      <c r="E122" t="s">
        <v>862</v>
      </c>
      <c r="F122" t="s">
        <v>562</v>
      </c>
      <c r="G122" t="s">
        <v>562</v>
      </c>
      <c r="H122" t="s">
        <v>562</v>
      </c>
      <c r="I122">
        <v>4649</v>
      </c>
      <c r="J122" t="s">
        <v>564</v>
      </c>
      <c r="K122" s="698">
        <v>45957.547222222223</v>
      </c>
      <c r="L122" s="698">
        <v>45957.547222222223</v>
      </c>
      <c r="M122" t="s">
        <v>565</v>
      </c>
      <c r="N122" t="s">
        <v>565</v>
      </c>
      <c r="O122" t="s">
        <v>566</v>
      </c>
      <c r="P122" t="s">
        <v>567</v>
      </c>
      <c r="S122" t="s">
        <v>567</v>
      </c>
      <c r="T122" t="s">
        <v>567</v>
      </c>
      <c r="Z122" t="s">
        <v>568</v>
      </c>
      <c r="AA122" t="s">
        <v>568</v>
      </c>
      <c r="AC122" t="str">
        <v>Bullet Proof Roof</v>
      </c>
    </row>
    <row r="123" spans="1:29">
      <c r="A123" t="s">
        <v>832</v>
      </c>
      <c r="B123" t="s">
        <v>833</v>
      </c>
      <c r="C123" t="s">
        <v>834</v>
      </c>
      <c r="D123" t="s">
        <v>835</v>
      </c>
      <c r="E123" t="s">
        <v>863</v>
      </c>
      <c r="F123" t="s">
        <v>562</v>
      </c>
      <c r="G123" t="s">
        <v>562</v>
      </c>
      <c r="H123" t="s">
        <v>562</v>
      </c>
      <c r="I123">
        <v>4652</v>
      </c>
      <c r="J123" t="s">
        <v>564</v>
      </c>
      <c r="K123" s="698">
        <v>45957.54791666667</v>
      </c>
      <c r="L123" s="698">
        <v>45957.54791666667</v>
      </c>
      <c r="M123" t="s">
        <v>565</v>
      </c>
      <c r="N123" t="s">
        <v>565</v>
      </c>
      <c r="O123" t="s">
        <v>566</v>
      </c>
      <c r="P123" t="s">
        <v>567</v>
      </c>
      <c r="S123" t="s">
        <v>567</v>
      </c>
      <c r="T123" t="s">
        <v>567</v>
      </c>
      <c r="Z123" t="s">
        <v>568</v>
      </c>
      <c r="AA123" t="s">
        <v>568</v>
      </c>
      <c r="AC123" t="str">
        <v>Burnbrea Farms Ltd.</v>
      </c>
    </row>
    <row r="124" spans="1:29">
      <c r="A124" t="s">
        <v>832</v>
      </c>
      <c r="B124" t="s">
        <v>833</v>
      </c>
      <c r="C124" t="s">
        <v>834</v>
      </c>
      <c r="D124" t="s">
        <v>835</v>
      </c>
      <c r="E124" t="s">
        <v>864</v>
      </c>
      <c r="F124" t="s">
        <v>562</v>
      </c>
      <c r="G124" t="s">
        <v>562</v>
      </c>
      <c r="H124" t="s">
        <v>562</v>
      </c>
      <c r="I124">
        <v>4653</v>
      </c>
      <c r="J124" t="s">
        <v>564</v>
      </c>
      <c r="K124" s="698">
        <v>45957.54791666667</v>
      </c>
      <c r="L124" s="698">
        <v>45957.54791666667</v>
      </c>
      <c r="M124" t="s">
        <v>565</v>
      </c>
      <c r="N124" t="s">
        <v>565</v>
      </c>
      <c r="O124" t="s">
        <v>566</v>
      </c>
      <c r="P124" t="s">
        <v>567</v>
      </c>
      <c r="S124" t="s">
        <v>567</v>
      </c>
      <c r="T124" t="s">
        <v>567</v>
      </c>
      <c r="Z124" t="s">
        <v>568</v>
      </c>
      <c r="AA124" t="s">
        <v>568</v>
      </c>
      <c r="AC124" t="str">
        <v>Burnco</v>
      </c>
    </row>
    <row r="125" spans="1:29">
      <c r="A125" t="s">
        <v>832</v>
      </c>
      <c r="B125" t="s">
        <v>865</v>
      </c>
      <c r="C125" t="s">
        <v>866</v>
      </c>
      <c r="D125" t="s">
        <v>835</v>
      </c>
      <c r="E125" t="s">
        <v>867</v>
      </c>
      <c r="F125" t="s">
        <v>562</v>
      </c>
      <c r="G125" t="s">
        <v>562</v>
      </c>
      <c r="H125" t="s">
        <v>562</v>
      </c>
      <c r="I125">
        <v>4723</v>
      </c>
      <c r="J125" t="s">
        <v>564</v>
      </c>
      <c r="K125" s="698">
        <v>45957.55</v>
      </c>
      <c r="L125" s="698">
        <v>45957.55</v>
      </c>
      <c r="M125" t="s">
        <v>565</v>
      </c>
      <c r="N125" t="s">
        <v>565</v>
      </c>
      <c r="O125" t="s">
        <v>566</v>
      </c>
      <c r="P125" t="s">
        <v>567</v>
      </c>
      <c r="S125" t="s">
        <v>567</v>
      </c>
      <c r="T125" t="s">
        <v>567</v>
      </c>
      <c r="Z125" t="s">
        <v>568</v>
      </c>
      <c r="AA125" t="s">
        <v>568</v>
      </c>
      <c r="AC125" t="str">
        <v>Calgary Board of Education</v>
      </c>
    </row>
    <row r="126" spans="1:29">
      <c r="A126" t="s">
        <v>832</v>
      </c>
      <c r="B126" t="s">
        <v>562</v>
      </c>
      <c r="C126" t="s">
        <v>562</v>
      </c>
      <c r="D126" t="s">
        <v>835</v>
      </c>
      <c r="E126" t="s">
        <v>868</v>
      </c>
      <c r="F126" t="s">
        <v>562</v>
      </c>
      <c r="G126" t="s">
        <v>562</v>
      </c>
      <c r="H126" t="s">
        <v>562</v>
      </c>
      <c r="I126">
        <v>4752</v>
      </c>
      <c r="J126" t="s">
        <v>564</v>
      </c>
      <c r="K126" s="698">
        <v>45957.550694444442</v>
      </c>
      <c r="L126" s="698">
        <v>45957.550694444442</v>
      </c>
      <c r="M126" t="s">
        <v>565</v>
      </c>
      <c r="N126" t="s">
        <v>565</v>
      </c>
      <c r="O126" t="s">
        <v>566</v>
      </c>
      <c r="P126" t="s">
        <v>567</v>
      </c>
      <c r="S126" t="s">
        <v>567</v>
      </c>
      <c r="T126" t="s">
        <v>567</v>
      </c>
      <c r="Z126" t="s">
        <v>568</v>
      </c>
      <c r="AA126" t="s">
        <v>568</v>
      </c>
      <c r="AC126" t="str">
        <v>Calgary Catholic School Dis.</v>
      </c>
    </row>
    <row r="127" spans="1:29">
      <c r="A127" t="s">
        <v>832</v>
      </c>
      <c r="B127" t="s">
        <v>833</v>
      </c>
      <c r="C127" t="s">
        <v>834</v>
      </c>
      <c r="D127" t="s">
        <v>835</v>
      </c>
      <c r="E127" t="s">
        <v>869</v>
      </c>
      <c r="F127" t="s">
        <v>562</v>
      </c>
      <c r="G127" t="s">
        <v>562</v>
      </c>
      <c r="H127" t="s">
        <v>562</v>
      </c>
      <c r="I127">
        <v>4766</v>
      </c>
      <c r="J127" t="s">
        <v>564</v>
      </c>
      <c r="K127" s="698">
        <v>45957.551388888889</v>
      </c>
      <c r="L127" s="698">
        <v>45957.551388888889</v>
      </c>
      <c r="M127" t="s">
        <v>565</v>
      </c>
      <c r="N127" t="s">
        <v>565</v>
      </c>
      <c r="O127" t="s">
        <v>566</v>
      </c>
      <c r="P127" t="s">
        <v>567</v>
      </c>
      <c r="S127" t="s">
        <v>567</v>
      </c>
      <c r="T127" t="s">
        <v>567</v>
      </c>
      <c r="Z127" t="s">
        <v>568</v>
      </c>
      <c r="AA127" t="s">
        <v>568</v>
      </c>
      <c r="AC127" t="str">
        <v>Calgary Chinese Elderly Citizens Association</v>
      </c>
    </row>
    <row r="128" spans="1:29">
      <c r="A128" t="s">
        <v>832</v>
      </c>
      <c r="B128" t="s">
        <v>870</v>
      </c>
      <c r="C128" t="s">
        <v>871</v>
      </c>
      <c r="D128" t="s">
        <v>835</v>
      </c>
      <c r="E128" t="s">
        <v>872</v>
      </c>
      <c r="F128" t="s">
        <v>562</v>
      </c>
      <c r="G128" t="s">
        <v>562</v>
      </c>
      <c r="H128" t="s">
        <v>562</v>
      </c>
      <c r="I128">
        <v>4767</v>
      </c>
      <c r="J128" t="s">
        <v>564</v>
      </c>
      <c r="K128" s="698">
        <v>45957.551388888889</v>
      </c>
      <c r="L128" s="698">
        <v>45957.551388888889</v>
      </c>
      <c r="M128" t="s">
        <v>565</v>
      </c>
      <c r="N128" t="s">
        <v>565</v>
      </c>
      <c r="O128" t="s">
        <v>566</v>
      </c>
      <c r="P128" t="s">
        <v>567</v>
      </c>
      <c r="S128" t="s">
        <v>567</v>
      </c>
      <c r="T128" t="s">
        <v>567</v>
      </c>
      <c r="Z128" t="s">
        <v>568</v>
      </c>
      <c r="AA128" t="s">
        <v>568</v>
      </c>
      <c r="AC128" t="str">
        <v>Calgary Christian School</v>
      </c>
    </row>
    <row r="129" spans="1:29">
      <c r="A129" t="s">
        <v>832</v>
      </c>
      <c r="B129" t="s">
        <v>870</v>
      </c>
      <c r="C129" t="s">
        <v>871</v>
      </c>
      <c r="D129" t="s">
        <v>835</v>
      </c>
      <c r="E129" t="s">
        <v>873</v>
      </c>
      <c r="F129" t="s">
        <v>562</v>
      </c>
      <c r="G129" t="s">
        <v>562</v>
      </c>
      <c r="H129" t="s">
        <v>562</v>
      </c>
      <c r="I129">
        <v>4768</v>
      </c>
      <c r="J129" t="s">
        <v>564</v>
      </c>
      <c r="K129" s="698">
        <v>45957.551388888889</v>
      </c>
      <c r="L129" s="698">
        <v>45957.551388888889</v>
      </c>
      <c r="M129" t="s">
        <v>565</v>
      </c>
      <c r="N129" t="s">
        <v>565</v>
      </c>
      <c r="O129" t="s">
        <v>566</v>
      </c>
      <c r="P129" t="s">
        <v>567</v>
      </c>
      <c r="S129" t="s">
        <v>567</v>
      </c>
      <c r="T129" t="s">
        <v>567</v>
      </c>
      <c r="Z129" t="s">
        <v>568</v>
      </c>
      <c r="AA129" t="s">
        <v>568</v>
      </c>
      <c r="AC129" t="str">
        <v>Calgary Courts Centre</v>
      </c>
    </row>
    <row r="130" spans="1:29">
      <c r="A130" t="s">
        <v>832</v>
      </c>
      <c r="B130" t="s">
        <v>833</v>
      </c>
      <c r="C130" t="s">
        <v>845</v>
      </c>
      <c r="D130" t="s">
        <v>835</v>
      </c>
      <c r="E130" t="s">
        <v>874</v>
      </c>
      <c r="F130" t="s">
        <v>562</v>
      </c>
      <c r="G130" t="s">
        <v>562</v>
      </c>
      <c r="H130" t="s">
        <v>562</v>
      </c>
      <c r="I130">
        <v>4781</v>
      </c>
      <c r="J130" t="s">
        <v>564</v>
      </c>
      <c r="K130" s="698">
        <v>45957.552083333336</v>
      </c>
      <c r="L130" s="698">
        <v>45957.552083333336</v>
      </c>
      <c r="M130" t="s">
        <v>565</v>
      </c>
      <c r="N130" t="s">
        <v>565</v>
      </c>
      <c r="O130" t="s">
        <v>566</v>
      </c>
      <c r="P130" t="s">
        <v>567</v>
      </c>
      <c r="S130" t="s">
        <v>567</v>
      </c>
      <c r="T130" t="s">
        <v>567</v>
      </c>
      <c r="Z130" t="s">
        <v>568</v>
      </c>
      <c r="AA130" t="s">
        <v>568</v>
      </c>
      <c r="AC130" t="str">
        <v>Calgary Housing Company</v>
      </c>
    </row>
    <row r="131" spans="1:29">
      <c r="A131" t="s">
        <v>832</v>
      </c>
      <c r="B131" t="s">
        <v>875</v>
      </c>
      <c r="C131" t="s">
        <v>562</v>
      </c>
      <c r="D131" t="s">
        <v>835</v>
      </c>
      <c r="E131" t="s">
        <v>876</v>
      </c>
      <c r="F131" t="s">
        <v>562</v>
      </c>
      <c r="G131" t="s">
        <v>562</v>
      </c>
      <c r="H131" t="s">
        <v>562</v>
      </c>
      <c r="I131">
        <v>4783</v>
      </c>
      <c r="J131" t="s">
        <v>564</v>
      </c>
      <c r="K131" s="698">
        <v>45957.552083333336</v>
      </c>
      <c r="L131" s="698">
        <v>45957.552083333336</v>
      </c>
      <c r="M131" t="s">
        <v>565</v>
      </c>
      <c r="N131" t="s">
        <v>565</v>
      </c>
      <c r="O131" t="s">
        <v>566</v>
      </c>
      <c r="P131" t="s">
        <v>567</v>
      </c>
      <c r="S131" t="s">
        <v>567</v>
      </c>
      <c r="T131" t="s">
        <v>567</v>
      </c>
      <c r="Z131" t="s">
        <v>568</v>
      </c>
      <c r="AA131" t="s">
        <v>568</v>
      </c>
      <c r="AC131" t="str">
        <v>Calgary L&amp;G Inc.</v>
      </c>
    </row>
    <row r="132" spans="1:29">
      <c r="A132" t="s">
        <v>832</v>
      </c>
      <c r="B132" t="s">
        <v>833</v>
      </c>
      <c r="C132" t="s">
        <v>834</v>
      </c>
      <c r="D132" t="s">
        <v>835</v>
      </c>
      <c r="E132" t="s">
        <v>877</v>
      </c>
      <c r="F132" t="s">
        <v>562</v>
      </c>
      <c r="G132" t="s">
        <v>562</v>
      </c>
      <c r="H132" t="s">
        <v>562</v>
      </c>
      <c r="I132">
        <v>4794</v>
      </c>
      <c r="J132" t="s">
        <v>564</v>
      </c>
      <c r="K132" s="698">
        <v>45957.552083333336</v>
      </c>
      <c r="L132" s="698">
        <v>45957.552083333336</v>
      </c>
      <c r="M132" t="s">
        <v>565</v>
      </c>
      <c r="N132" t="s">
        <v>565</v>
      </c>
      <c r="O132" t="s">
        <v>566</v>
      </c>
      <c r="P132" t="s">
        <v>567</v>
      </c>
      <c r="S132" t="s">
        <v>567</v>
      </c>
      <c r="T132" t="s">
        <v>567</v>
      </c>
      <c r="Z132" t="s">
        <v>568</v>
      </c>
      <c r="AA132" t="s">
        <v>568</v>
      </c>
      <c r="AC132" t="str">
        <v>Calgary Olympic Development Association</v>
      </c>
    </row>
    <row r="133" spans="1:29">
      <c r="A133" t="s">
        <v>832</v>
      </c>
      <c r="B133" t="s">
        <v>875</v>
      </c>
      <c r="C133" t="s">
        <v>878</v>
      </c>
      <c r="D133" t="s">
        <v>835</v>
      </c>
      <c r="E133" t="s">
        <v>879</v>
      </c>
      <c r="F133" t="s">
        <v>562</v>
      </c>
      <c r="G133" t="s">
        <v>562</v>
      </c>
      <c r="H133" t="s">
        <v>562</v>
      </c>
      <c r="I133">
        <v>4804</v>
      </c>
      <c r="J133" t="s">
        <v>564</v>
      </c>
      <c r="K133" s="698">
        <v>45957.552777777775</v>
      </c>
      <c r="L133" s="698">
        <v>45957.552777777775</v>
      </c>
      <c r="M133" t="s">
        <v>565</v>
      </c>
      <c r="N133" t="s">
        <v>565</v>
      </c>
      <c r="O133" t="s">
        <v>566</v>
      </c>
      <c r="P133" t="s">
        <v>567</v>
      </c>
      <c r="S133" t="s">
        <v>567</v>
      </c>
      <c r="T133" t="s">
        <v>567</v>
      </c>
      <c r="Z133" t="s">
        <v>568</v>
      </c>
      <c r="AA133" t="s">
        <v>568</v>
      </c>
      <c r="AC133" t="str">
        <v>Calgary Police Services</v>
      </c>
    </row>
    <row r="134" spans="1:29">
      <c r="A134" t="s">
        <v>832</v>
      </c>
      <c r="B134" t="s">
        <v>562</v>
      </c>
      <c r="C134" t="s">
        <v>562</v>
      </c>
      <c r="D134" t="s">
        <v>835</v>
      </c>
      <c r="E134" t="s">
        <v>880</v>
      </c>
      <c r="F134" t="s">
        <v>562</v>
      </c>
      <c r="G134" t="s">
        <v>562</v>
      </c>
      <c r="H134" t="s">
        <v>562</v>
      </c>
      <c r="I134">
        <v>4805</v>
      </c>
      <c r="J134" t="s">
        <v>564</v>
      </c>
      <c r="K134" s="698">
        <v>45957.552777777775</v>
      </c>
      <c r="L134" s="698">
        <v>45957.552777777775</v>
      </c>
      <c r="M134" t="s">
        <v>565</v>
      </c>
      <c r="N134" t="s">
        <v>565</v>
      </c>
      <c r="O134" t="s">
        <v>566</v>
      </c>
      <c r="P134" t="s">
        <v>567</v>
      </c>
      <c r="S134" t="s">
        <v>567</v>
      </c>
      <c r="T134" t="s">
        <v>567</v>
      </c>
      <c r="Z134" t="s">
        <v>568</v>
      </c>
      <c r="AA134" t="s">
        <v>568</v>
      </c>
      <c r="AC134" t="str">
        <v>Calibre Construction</v>
      </c>
    </row>
    <row r="135" spans="1:29">
      <c r="A135" t="s">
        <v>832</v>
      </c>
      <c r="B135" t="s">
        <v>881</v>
      </c>
      <c r="C135" t="s">
        <v>562</v>
      </c>
      <c r="D135" t="s">
        <v>835</v>
      </c>
      <c r="E135" t="s">
        <v>882</v>
      </c>
      <c r="F135" t="s">
        <v>562</v>
      </c>
      <c r="G135" t="s">
        <v>562</v>
      </c>
      <c r="H135" t="s">
        <v>562</v>
      </c>
      <c r="I135">
        <v>4806</v>
      </c>
      <c r="J135" t="s">
        <v>564</v>
      </c>
      <c r="K135" s="698">
        <v>45957.552777777775</v>
      </c>
      <c r="L135" s="698">
        <v>45957.552777777775</v>
      </c>
      <c r="M135" t="s">
        <v>565</v>
      </c>
      <c r="N135" t="s">
        <v>565</v>
      </c>
      <c r="O135" t="s">
        <v>566</v>
      </c>
      <c r="P135" t="s">
        <v>567</v>
      </c>
      <c r="S135" t="s">
        <v>567</v>
      </c>
      <c r="T135" t="s">
        <v>567</v>
      </c>
      <c r="Z135" t="s">
        <v>568</v>
      </c>
      <c r="AA135" t="s">
        <v>568</v>
      </c>
      <c r="AC135" t="str">
        <v xml:space="preserve">Canadian Urban Limited </v>
      </c>
    </row>
    <row r="136" spans="1:29">
      <c r="A136" t="s">
        <v>832</v>
      </c>
      <c r="B136" t="s">
        <v>875</v>
      </c>
      <c r="C136" t="s">
        <v>878</v>
      </c>
      <c r="D136" t="s">
        <v>835</v>
      </c>
      <c r="E136" t="s">
        <v>883</v>
      </c>
      <c r="F136" t="s">
        <v>562</v>
      </c>
      <c r="G136" t="s">
        <v>562</v>
      </c>
      <c r="H136" t="s">
        <v>562</v>
      </c>
      <c r="I136">
        <v>4809</v>
      </c>
      <c r="J136" t="s">
        <v>564</v>
      </c>
      <c r="K136" s="698">
        <v>45957.552777777775</v>
      </c>
      <c r="L136" s="698">
        <v>45957.552777777775</v>
      </c>
      <c r="M136" t="s">
        <v>565</v>
      </c>
      <c r="N136" t="s">
        <v>565</v>
      </c>
      <c r="O136" t="s">
        <v>566</v>
      </c>
      <c r="P136" t="s">
        <v>567</v>
      </c>
      <c r="S136" t="s">
        <v>567</v>
      </c>
      <c r="T136" t="s">
        <v>567</v>
      </c>
      <c r="Z136" t="s">
        <v>568</v>
      </c>
      <c r="AA136" t="s">
        <v>568</v>
      </c>
      <c r="AC136" t="str">
        <v>Canadian Urban Real Estate Fund 7 LP</v>
      </c>
    </row>
    <row r="137" spans="1:29">
      <c r="A137" t="s">
        <v>832</v>
      </c>
      <c r="B137" t="s">
        <v>833</v>
      </c>
      <c r="C137" t="s">
        <v>834</v>
      </c>
      <c r="D137" t="s">
        <v>835</v>
      </c>
      <c r="E137" t="s">
        <v>884</v>
      </c>
      <c r="F137" t="s">
        <v>562</v>
      </c>
      <c r="G137" t="s">
        <v>562</v>
      </c>
      <c r="H137" t="s">
        <v>562</v>
      </c>
      <c r="I137">
        <v>4819</v>
      </c>
      <c r="J137" t="s">
        <v>564</v>
      </c>
      <c r="K137" s="698">
        <v>45957.552777777775</v>
      </c>
      <c r="L137" s="698">
        <v>45957.552777777775</v>
      </c>
      <c r="M137" t="s">
        <v>565</v>
      </c>
      <c r="N137" t="s">
        <v>565</v>
      </c>
      <c r="O137" t="s">
        <v>566</v>
      </c>
      <c r="P137" t="s">
        <v>567</v>
      </c>
      <c r="S137" t="s">
        <v>567</v>
      </c>
      <c r="T137" t="s">
        <v>567</v>
      </c>
      <c r="Z137" t="s">
        <v>568</v>
      </c>
      <c r="AA137" t="s">
        <v>568</v>
      </c>
      <c r="AC137" t="str">
        <v>Canderel Management (West) Inc.</v>
      </c>
    </row>
    <row r="138" spans="1:29">
      <c r="A138" t="s">
        <v>832</v>
      </c>
      <c r="B138" t="s">
        <v>833</v>
      </c>
      <c r="C138" t="s">
        <v>834</v>
      </c>
      <c r="D138" t="s">
        <v>835</v>
      </c>
      <c r="E138" t="s">
        <v>885</v>
      </c>
      <c r="F138" t="s">
        <v>562</v>
      </c>
      <c r="G138" t="s">
        <v>562</v>
      </c>
      <c r="H138" t="s">
        <v>562</v>
      </c>
      <c r="I138">
        <v>4829</v>
      </c>
      <c r="J138" t="s">
        <v>564</v>
      </c>
      <c r="K138" s="698">
        <v>45957.553472222222</v>
      </c>
      <c r="L138" s="698">
        <v>45957.553472222222</v>
      </c>
      <c r="M138" t="s">
        <v>565</v>
      </c>
      <c r="N138" t="s">
        <v>565</v>
      </c>
      <c r="O138" t="s">
        <v>566</v>
      </c>
      <c r="P138" t="s">
        <v>567</v>
      </c>
      <c r="S138" t="s">
        <v>567</v>
      </c>
      <c r="T138" t="s">
        <v>567</v>
      </c>
      <c r="Z138" t="s">
        <v>568</v>
      </c>
      <c r="AA138" t="s">
        <v>568</v>
      </c>
      <c r="AC138" t="str">
        <v>Candlewood Suites Calgary</v>
      </c>
    </row>
    <row r="139" spans="1:29">
      <c r="A139" t="s">
        <v>832</v>
      </c>
      <c r="B139" t="s">
        <v>562</v>
      </c>
      <c r="C139" t="s">
        <v>562</v>
      </c>
      <c r="D139" t="s">
        <v>835</v>
      </c>
      <c r="E139" t="s">
        <v>886</v>
      </c>
      <c r="F139" t="s">
        <v>562</v>
      </c>
      <c r="G139" t="s">
        <v>562</v>
      </c>
      <c r="H139" t="s">
        <v>562</v>
      </c>
      <c r="I139">
        <v>4857</v>
      </c>
      <c r="J139" t="s">
        <v>564</v>
      </c>
      <c r="K139" s="698">
        <v>45957.554166666669</v>
      </c>
      <c r="L139" s="698">
        <v>45957.554166666669</v>
      </c>
      <c r="M139" t="s">
        <v>565</v>
      </c>
      <c r="N139" t="s">
        <v>565</v>
      </c>
      <c r="O139" t="s">
        <v>566</v>
      </c>
      <c r="P139" t="s">
        <v>567</v>
      </c>
      <c r="S139" t="s">
        <v>567</v>
      </c>
      <c r="T139" t="s">
        <v>567</v>
      </c>
      <c r="Z139" t="s">
        <v>568</v>
      </c>
      <c r="AA139" t="s">
        <v>568</v>
      </c>
      <c r="AC139" t="str">
        <v>Canreal Management Corporation</v>
      </c>
    </row>
    <row r="140" spans="1:29">
      <c r="A140" t="s">
        <v>832</v>
      </c>
      <c r="B140" t="s">
        <v>833</v>
      </c>
      <c r="C140" t="s">
        <v>834</v>
      </c>
      <c r="D140" t="s">
        <v>835</v>
      </c>
      <c r="E140" t="s">
        <v>887</v>
      </c>
      <c r="F140" t="s">
        <v>562</v>
      </c>
      <c r="G140" t="s">
        <v>562</v>
      </c>
      <c r="H140" t="s">
        <v>562</v>
      </c>
      <c r="I140">
        <v>4873</v>
      </c>
      <c r="J140" t="s">
        <v>564</v>
      </c>
      <c r="K140" s="698">
        <v>45957.554861111108</v>
      </c>
      <c r="L140" s="698">
        <v>45957.554861111108</v>
      </c>
      <c r="M140" t="s">
        <v>565</v>
      </c>
      <c r="N140" t="s">
        <v>565</v>
      </c>
      <c r="O140" t="s">
        <v>566</v>
      </c>
      <c r="P140" t="s">
        <v>567</v>
      </c>
      <c r="S140" t="s">
        <v>567</v>
      </c>
      <c r="T140" t="s">
        <v>567</v>
      </c>
      <c r="Z140" t="s">
        <v>568</v>
      </c>
      <c r="AA140" t="s">
        <v>568</v>
      </c>
      <c r="AC140" t="str">
        <v>Capital City Shopping Centre Limited</v>
      </c>
    </row>
    <row r="141" spans="1:29">
      <c r="A141" t="s">
        <v>832</v>
      </c>
      <c r="B141" t="s">
        <v>833</v>
      </c>
      <c r="C141" t="s">
        <v>834</v>
      </c>
      <c r="D141" t="s">
        <v>835</v>
      </c>
      <c r="E141" t="s">
        <v>888</v>
      </c>
      <c r="F141" t="s">
        <v>562</v>
      </c>
      <c r="G141" t="s">
        <v>562</v>
      </c>
      <c r="H141" t="s">
        <v>562</v>
      </c>
      <c r="I141">
        <v>4882</v>
      </c>
      <c r="J141" t="s">
        <v>564</v>
      </c>
      <c r="K141" s="698">
        <v>45957.554861111108</v>
      </c>
      <c r="L141" s="698">
        <v>45957.554861111108</v>
      </c>
      <c r="M141" t="s">
        <v>565</v>
      </c>
      <c r="N141" t="s">
        <v>565</v>
      </c>
      <c r="O141" t="s">
        <v>566</v>
      </c>
      <c r="P141" t="s">
        <v>567</v>
      </c>
      <c r="S141" t="s">
        <v>567</v>
      </c>
      <c r="T141" t="s">
        <v>567</v>
      </c>
      <c r="Z141" t="s">
        <v>568</v>
      </c>
      <c r="AA141" t="s">
        <v>568</v>
      </c>
      <c r="AC141" t="str">
        <v>Cardic Construction</v>
      </c>
    </row>
    <row r="142" spans="1:29">
      <c r="A142" t="s">
        <v>832</v>
      </c>
      <c r="B142" t="s">
        <v>562</v>
      </c>
      <c r="C142" t="s">
        <v>562</v>
      </c>
      <c r="D142" t="s">
        <v>835</v>
      </c>
      <c r="E142" t="s">
        <v>889</v>
      </c>
      <c r="F142" t="s">
        <v>562</v>
      </c>
      <c r="G142" t="s">
        <v>562</v>
      </c>
      <c r="H142" t="s">
        <v>562</v>
      </c>
      <c r="I142">
        <v>4915</v>
      </c>
      <c r="J142" t="s">
        <v>564</v>
      </c>
      <c r="K142" s="698">
        <v>45957.555555555555</v>
      </c>
      <c r="L142" s="698">
        <v>45957.555555555555</v>
      </c>
      <c r="M142" t="s">
        <v>565</v>
      </c>
      <c r="N142" t="s">
        <v>565</v>
      </c>
      <c r="O142" t="s">
        <v>566</v>
      </c>
      <c r="P142" t="s">
        <v>567</v>
      </c>
      <c r="S142" t="s">
        <v>567</v>
      </c>
      <c r="T142" t="s">
        <v>567</v>
      </c>
      <c r="Z142" t="s">
        <v>568</v>
      </c>
      <c r="AA142" t="s">
        <v>568</v>
      </c>
      <c r="AC142" t="str">
        <v>Cardon Group</v>
      </c>
    </row>
    <row r="143" spans="1:29">
      <c r="A143" t="s">
        <v>832</v>
      </c>
      <c r="B143" t="s">
        <v>833</v>
      </c>
      <c r="C143" t="s">
        <v>834</v>
      </c>
      <c r="D143" t="s">
        <v>835</v>
      </c>
      <c r="E143" t="s">
        <v>890</v>
      </c>
      <c r="F143" t="s">
        <v>562</v>
      </c>
      <c r="G143" t="s">
        <v>562</v>
      </c>
      <c r="H143" t="s">
        <v>562</v>
      </c>
      <c r="I143">
        <v>4974</v>
      </c>
      <c r="J143" t="s">
        <v>564</v>
      </c>
      <c r="K143" s="698">
        <v>45957.557638888888</v>
      </c>
      <c r="L143" s="698">
        <v>45957.557638888888</v>
      </c>
      <c r="M143" t="s">
        <v>565</v>
      </c>
      <c r="N143" t="s">
        <v>565</v>
      </c>
      <c r="O143" t="s">
        <v>566</v>
      </c>
      <c r="P143" t="s">
        <v>567</v>
      </c>
      <c r="S143" t="s">
        <v>567</v>
      </c>
      <c r="T143" t="s">
        <v>567</v>
      </c>
      <c r="Z143" t="s">
        <v>568</v>
      </c>
      <c r="AA143" t="s">
        <v>568</v>
      </c>
      <c r="AC143" t="str">
        <v>Carol Ann Williams</v>
      </c>
    </row>
    <row r="144" spans="1:29">
      <c r="A144" t="s">
        <v>832</v>
      </c>
      <c r="B144" t="s">
        <v>847</v>
      </c>
      <c r="C144" t="s">
        <v>845</v>
      </c>
      <c r="D144" t="s">
        <v>835</v>
      </c>
      <c r="E144" t="s">
        <v>891</v>
      </c>
      <c r="F144" t="s">
        <v>562</v>
      </c>
      <c r="G144" t="s">
        <v>562</v>
      </c>
      <c r="H144" t="s">
        <v>562</v>
      </c>
      <c r="I144">
        <v>4975</v>
      </c>
      <c r="J144" t="s">
        <v>564</v>
      </c>
      <c r="K144" s="698">
        <v>45957.557638888888</v>
      </c>
      <c r="L144" s="698">
        <v>45957.557638888888</v>
      </c>
      <c r="M144" t="s">
        <v>565</v>
      </c>
      <c r="N144" t="s">
        <v>565</v>
      </c>
      <c r="O144" t="s">
        <v>566</v>
      </c>
      <c r="P144" t="s">
        <v>567</v>
      </c>
      <c r="S144" t="s">
        <v>567</v>
      </c>
      <c r="T144" t="s">
        <v>567</v>
      </c>
      <c r="Z144" t="s">
        <v>568</v>
      </c>
      <c r="AA144" t="s">
        <v>568</v>
      </c>
      <c r="AC144" t="str">
        <v>Carol Ryder</v>
      </c>
    </row>
    <row r="145" spans="1:29">
      <c r="A145" t="s">
        <v>832</v>
      </c>
      <c r="B145" t="s">
        <v>833</v>
      </c>
      <c r="C145" t="s">
        <v>834</v>
      </c>
      <c r="D145" t="s">
        <v>835</v>
      </c>
      <c r="E145" t="s">
        <v>892</v>
      </c>
      <c r="F145" t="s">
        <v>562</v>
      </c>
      <c r="G145" t="s">
        <v>562</v>
      </c>
      <c r="H145" t="s">
        <v>562</v>
      </c>
      <c r="I145">
        <v>4978</v>
      </c>
      <c r="J145" t="s">
        <v>564</v>
      </c>
      <c r="K145" s="698">
        <v>45957.557638888888</v>
      </c>
      <c r="L145" s="698">
        <v>45957.557638888888</v>
      </c>
      <c r="M145" t="s">
        <v>565</v>
      </c>
      <c r="N145" t="s">
        <v>565</v>
      </c>
      <c r="O145" t="s">
        <v>566</v>
      </c>
      <c r="P145" t="s">
        <v>567</v>
      </c>
      <c r="S145" t="s">
        <v>567</v>
      </c>
      <c r="T145" t="s">
        <v>567</v>
      </c>
      <c r="Z145" t="s">
        <v>568</v>
      </c>
      <c r="AA145" t="s">
        <v>568</v>
      </c>
      <c r="AC145" t="str">
        <v>Caron Johnson</v>
      </c>
    </row>
    <row r="146" spans="1:29">
      <c r="A146" t="s">
        <v>832</v>
      </c>
      <c r="B146" t="s">
        <v>833</v>
      </c>
      <c r="C146" t="s">
        <v>834</v>
      </c>
      <c r="D146" t="s">
        <v>835</v>
      </c>
      <c r="E146" t="s">
        <v>893</v>
      </c>
      <c r="F146" t="s">
        <v>562</v>
      </c>
      <c r="G146" t="s">
        <v>562</v>
      </c>
      <c r="H146" t="s">
        <v>562</v>
      </c>
      <c r="I146">
        <v>4979</v>
      </c>
      <c r="J146" t="s">
        <v>564</v>
      </c>
      <c r="K146" s="698">
        <v>45957.557638888888</v>
      </c>
      <c r="L146" s="698">
        <v>45957.557638888888</v>
      </c>
      <c r="M146" t="s">
        <v>565</v>
      </c>
      <c r="N146" t="s">
        <v>565</v>
      </c>
      <c r="O146" t="s">
        <v>566</v>
      </c>
      <c r="P146" t="s">
        <v>567</v>
      </c>
      <c r="S146" t="s">
        <v>567</v>
      </c>
      <c r="T146" t="s">
        <v>567</v>
      </c>
      <c r="Z146" t="s">
        <v>568</v>
      </c>
      <c r="AA146" t="s">
        <v>568</v>
      </c>
      <c r="AC146" t="str">
        <v>Carpenter Canada Co</v>
      </c>
    </row>
    <row r="147" spans="1:29">
      <c r="A147" t="s">
        <v>832</v>
      </c>
      <c r="B147" t="s">
        <v>683</v>
      </c>
      <c r="C147" t="s">
        <v>562</v>
      </c>
      <c r="D147" t="s">
        <v>835</v>
      </c>
      <c r="E147" t="s">
        <v>894</v>
      </c>
      <c r="F147" t="s">
        <v>562</v>
      </c>
      <c r="G147" t="s">
        <v>562</v>
      </c>
      <c r="H147" t="s">
        <v>562</v>
      </c>
      <c r="I147">
        <v>5033</v>
      </c>
      <c r="J147" t="s">
        <v>564</v>
      </c>
      <c r="K147" s="698">
        <v>45957.55972222222</v>
      </c>
      <c r="L147" s="698">
        <v>45957.55972222222</v>
      </c>
      <c r="M147" t="s">
        <v>565</v>
      </c>
      <c r="N147" t="s">
        <v>565</v>
      </c>
      <c r="O147" t="s">
        <v>566</v>
      </c>
      <c r="P147" t="s">
        <v>567</v>
      </c>
      <c r="S147" t="s">
        <v>567</v>
      </c>
      <c r="T147" t="s">
        <v>567</v>
      </c>
      <c r="Z147" t="s">
        <v>568</v>
      </c>
      <c r="AA147" t="s">
        <v>568</v>
      </c>
      <c r="AC147" t="str">
        <v>Cascade HVAC</v>
      </c>
    </row>
    <row r="148" spans="1:29">
      <c r="A148" t="s">
        <v>832</v>
      </c>
      <c r="B148" t="s">
        <v>833</v>
      </c>
      <c r="C148" t="s">
        <v>834</v>
      </c>
      <c r="D148" t="s">
        <v>835</v>
      </c>
      <c r="E148" t="s">
        <v>895</v>
      </c>
      <c r="F148" t="s">
        <v>562</v>
      </c>
      <c r="G148" t="s">
        <v>562</v>
      </c>
      <c r="H148" t="s">
        <v>562</v>
      </c>
      <c r="I148">
        <v>5111</v>
      </c>
      <c r="J148" t="s">
        <v>564</v>
      </c>
      <c r="K148" s="698">
        <v>45957.561805555553</v>
      </c>
      <c r="L148" s="698">
        <v>45957.561805555553</v>
      </c>
      <c r="M148" t="s">
        <v>565</v>
      </c>
      <c r="N148" t="s">
        <v>565</v>
      </c>
      <c r="O148" t="s">
        <v>566</v>
      </c>
      <c r="P148" t="s">
        <v>567</v>
      </c>
      <c r="S148" t="s">
        <v>567</v>
      </c>
      <c r="T148" t="s">
        <v>567</v>
      </c>
      <c r="Z148" t="s">
        <v>568</v>
      </c>
      <c r="AA148" t="s">
        <v>568</v>
      </c>
      <c r="AC148" t="str">
        <v>CBI Solar</v>
      </c>
    </row>
    <row r="149" spans="1:29">
      <c r="A149" t="s">
        <v>832</v>
      </c>
      <c r="B149" t="s">
        <v>833</v>
      </c>
      <c r="C149" t="s">
        <v>834</v>
      </c>
      <c r="D149" t="s">
        <v>835</v>
      </c>
      <c r="E149" t="s">
        <v>896</v>
      </c>
      <c r="F149" t="s">
        <v>562</v>
      </c>
      <c r="G149" t="s">
        <v>562</v>
      </c>
      <c r="H149" t="s">
        <v>562</v>
      </c>
      <c r="I149">
        <v>5113</v>
      </c>
      <c r="J149" t="s">
        <v>564</v>
      </c>
      <c r="K149" s="698">
        <v>45957.561805555553</v>
      </c>
      <c r="L149" s="698">
        <v>45957.561805555553</v>
      </c>
      <c r="M149" t="s">
        <v>565</v>
      </c>
      <c r="N149" t="s">
        <v>565</v>
      </c>
      <c r="O149" t="s">
        <v>566</v>
      </c>
      <c r="P149" t="s">
        <v>567</v>
      </c>
      <c r="S149" t="s">
        <v>567</v>
      </c>
      <c r="T149" t="s">
        <v>567</v>
      </c>
      <c r="Z149" t="s">
        <v>568</v>
      </c>
      <c r="AA149" t="s">
        <v>568</v>
      </c>
      <c r="AC149" t="str">
        <v>CCN 0711408-Peigan Crossing</v>
      </c>
    </row>
    <row r="150" spans="1:29">
      <c r="A150" t="s">
        <v>832</v>
      </c>
      <c r="B150" t="s">
        <v>833</v>
      </c>
      <c r="C150" t="s">
        <v>834</v>
      </c>
      <c r="D150" t="s">
        <v>835</v>
      </c>
      <c r="E150" t="s">
        <v>897</v>
      </c>
      <c r="F150" t="s">
        <v>562</v>
      </c>
      <c r="G150" t="s">
        <v>562</v>
      </c>
      <c r="H150" t="s">
        <v>562</v>
      </c>
      <c r="I150">
        <v>5116</v>
      </c>
      <c r="J150" t="s">
        <v>564</v>
      </c>
      <c r="K150" s="698">
        <v>45957.561805555553</v>
      </c>
      <c r="L150" s="698">
        <v>45957.561805555553</v>
      </c>
      <c r="M150" t="s">
        <v>565</v>
      </c>
      <c r="N150" t="s">
        <v>565</v>
      </c>
      <c r="O150" t="s">
        <v>566</v>
      </c>
      <c r="P150" t="s">
        <v>567</v>
      </c>
      <c r="S150" t="s">
        <v>567</v>
      </c>
      <c r="T150" t="s">
        <v>567</v>
      </c>
      <c r="Z150" t="s">
        <v>568</v>
      </c>
      <c r="AA150" t="s">
        <v>568</v>
      </c>
      <c r="AC150" t="str">
        <v>CCN 1712441- Glacier Village</v>
      </c>
    </row>
    <row r="151" spans="1:29">
      <c r="A151" t="s">
        <v>832</v>
      </c>
      <c r="B151" t="s">
        <v>847</v>
      </c>
      <c r="C151" t="s">
        <v>845</v>
      </c>
      <c r="D151" t="s">
        <v>835</v>
      </c>
      <c r="E151" t="s">
        <v>898</v>
      </c>
      <c r="F151" t="s">
        <v>562</v>
      </c>
      <c r="G151" t="s">
        <v>562</v>
      </c>
      <c r="H151" t="s">
        <v>562</v>
      </c>
      <c r="I151">
        <v>5125</v>
      </c>
      <c r="J151" t="s">
        <v>564</v>
      </c>
      <c r="K151" s="698">
        <v>45957.561805555553</v>
      </c>
      <c r="L151" s="698">
        <v>45957.561805555553</v>
      </c>
      <c r="M151" t="s">
        <v>565</v>
      </c>
      <c r="N151" t="s">
        <v>565</v>
      </c>
      <c r="O151" t="s">
        <v>566</v>
      </c>
      <c r="P151" t="s">
        <v>567</v>
      </c>
      <c r="S151" t="s">
        <v>567</v>
      </c>
      <c r="T151" t="s">
        <v>567</v>
      </c>
      <c r="Z151" t="s">
        <v>568</v>
      </c>
      <c r="AA151" t="s">
        <v>568</v>
      </c>
      <c r="AC151" t="str">
        <v>CCOA RED 1 LP</v>
      </c>
    </row>
    <row r="152" spans="1:29">
      <c r="A152" t="s">
        <v>899</v>
      </c>
      <c r="B152" t="s">
        <v>900</v>
      </c>
      <c r="C152" t="s">
        <v>901</v>
      </c>
      <c r="D152" t="s">
        <v>562</v>
      </c>
      <c r="E152" t="s">
        <v>902</v>
      </c>
      <c r="F152" t="s">
        <v>562</v>
      </c>
      <c r="G152" t="s">
        <v>562</v>
      </c>
      <c r="H152" t="s">
        <v>562</v>
      </c>
      <c r="I152">
        <v>4077</v>
      </c>
      <c r="J152" t="s">
        <v>564</v>
      </c>
      <c r="K152" s="698">
        <v>45957.473611111112</v>
      </c>
      <c r="L152" s="698">
        <v>45957.473611111112</v>
      </c>
      <c r="M152" t="s">
        <v>565</v>
      </c>
      <c r="N152" t="s">
        <v>565</v>
      </c>
      <c r="O152" t="s">
        <v>566</v>
      </c>
      <c r="P152" t="s">
        <v>567</v>
      </c>
      <c r="S152" t="s">
        <v>567</v>
      </c>
      <c r="T152" t="s">
        <v>567</v>
      </c>
      <c r="Z152" t="s">
        <v>568</v>
      </c>
      <c r="AA152" t="s">
        <v>568</v>
      </c>
      <c r="AC152" t="str">
        <v>CCR Creative Renovations</v>
      </c>
    </row>
    <row r="153" spans="1:29">
      <c r="A153" t="s">
        <v>903</v>
      </c>
      <c r="B153" t="s">
        <v>562</v>
      </c>
      <c r="C153" t="s">
        <v>562</v>
      </c>
      <c r="D153" t="s">
        <v>904</v>
      </c>
      <c r="E153" t="s">
        <v>905</v>
      </c>
      <c r="F153" t="s">
        <v>562</v>
      </c>
      <c r="G153" t="s">
        <v>562</v>
      </c>
      <c r="H153" t="s">
        <v>562</v>
      </c>
      <c r="I153">
        <v>4238</v>
      </c>
      <c r="J153" t="s">
        <v>564</v>
      </c>
      <c r="K153" s="698">
        <v>45957.493055555555</v>
      </c>
      <c r="L153" s="698">
        <v>45957.493055555555</v>
      </c>
      <c r="M153" t="s">
        <v>565</v>
      </c>
      <c r="N153" t="s">
        <v>565</v>
      </c>
      <c r="O153" t="s">
        <v>566</v>
      </c>
      <c r="P153" t="s">
        <v>567</v>
      </c>
      <c r="S153" t="s">
        <v>567</v>
      </c>
      <c r="T153" t="s">
        <v>567</v>
      </c>
      <c r="Z153" t="s">
        <v>568</v>
      </c>
      <c r="AA153" t="s">
        <v>568</v>
      </c>
      <c r="AC153" t="str">
        <v>Cedarview Condominium 7911325</v>
      </c>
    </row>
    <row r="154" spans="1:29">
      <c r="A154" t="s">
        <v>906</v>
      </c>
      <c r="B154" t="s">
        <v>562</v>
      </c>
      <c r="C154" t="s">
        <v>907</v>
      </c>
      <c r="D154" t="s">
        <v>908</v>
      </c>
      <c r="E154" t="s">
        <v>562</v>
      </c>
      <c r="F154" t="s">
        <v>562</v>
      </c>
      <c r="G154" t="s">
        <v>562</v>
      </c>
      <c r="H154" t="s">
        <v>562</v>
      </c>
      <c r="I154">
        <v>3502</v>
      </c>
      <c r="J154" t="s">
        <v>564</v>
      </c>
      <c r="K154" s="698">
        <v>45957.411111111112</v>
      </c>
      <c r="L154" s="698">
        <v>45957.411111111112</v>
      </c>
      <c r="M154" t="s">
        <v>565</v>
      </c>
      <c r="N154" t="s">
        <v>565</v>
      </c>
      <c r="O154" t="s">
        <v>566</v>
      </c>
      <c r="P154" t="s">
        <v>567</v>
      </c>
      <c r="S154" t="s">
        <v>567</v>
      </c>
      <c r="T154" t="s">
        <v>567</v>
      </c>
      <c r="Z154" t="s">
        <v>568</v>
      </c>
      <c r="AA154" t="s">
        <v>568</v>
      </c>
      <c r="AC154" t="str">
        <v>Centcom Construction LTD.</v>
      </c>
    </row>
    <row r="155" spans="1:29">
      <c r="A155" t="s">
        <v>906</v>
      </c>
      <c r="B155" t="s">
        <v>562</v>
      </c>
      <c r="C155" t="s">
        <v>562</v>
      </c>
      <c r="D155" t="s">
        <v>908</v>
      </c>
      <c r="E155" t="s">
        <v>909</v>
      </c>
      <c r="F155" t="s">
        <v>562</v>
      </c>
      <c r="G155" t="s">
        <v>562</v>
      </c>
      <c r="H155" t="s">
        <v>562</v>
      </c>
      <c r="I155">
        <v>4072</v>
      </c>
      <c r="J155" t="s">
        <v>564</v>
      </c>
      <c r="K155" s="698">
        <v>45957.472916666666</v>
      </c>
      <c r="L155" s="698">
        <v>45957.472916666666</v>
      </c>
      <c r="M155" t="s">
        <v>565</v>
      </c>
      <c r="N155" t="s">
        <v>565</v>
      </c>
      <c r="O155" t="s">
        <v>566</v>
      </c>
      <c r="P155" t="s">
        <v>567</v>
      </c>
      <c r="S155" t="s">
        <v>567</v>
      </c>
      <c r="T155" t="s">
        <v>567</v>
      </c>
      <c r="Z155" t="s">
        <v>568</v>
      </c>
      <c r="AA155" t="s">
        <v>568</v>
      </c>
      <c r="AC155" t="str">
        <v>Center Street Church</v>
      </c>
    </row>
    <row r="156" spans="1:29">
      <c r="A156" t="s">
        <v>906</v>
      </c>
      <c r="B156" t="s">
        <v>562</v>
      </c>
      <c r="C156" t="s">
        <v>562</v>
      </c>
      <c r="D156" t="s">
        <v>908</v>
      </c>
      <c r="E156" t="s">
        <v>910</v>
      </c>
      <c r="F156" t="s">
        <v>562</v>
      </c>
      <c r="G156" t="s">
        <v>562</v>
      </c>
      <c r="H156" t="s">
        <v>562</v>
      </c>
      <c r="I156">
        <v>4480</v>
      </c>
      <c r="J156" t="s">
        <v>564</v>
      </c>
      <c r="K156" s="698">
        <v>45957.523611111108</v>
      </c>
      <c r="L156" s="698">
        <v>45957.523611111108</v>
      </c>
      <c r="M156" t="s">
        <v>565</v>
      </c>
      <c r="N156" t="s">
        <v>565</v>
      </c>
      <c r="O156" t="s">
        <v>566</v>
      </c>
      <c r="P156" t="s">
        <v>567</v>
      </c>
      <c r="S156" t="s">
        <v>567</v>
      </c>
      <c r="T156" t="s">
        <v>567</v>
      </c>
      <c r="Z156" t="s">
        <v>568</v>
      </c>
      <c r="AA156" t="s">
        <v>568</v>
      </c>
      <c r="AC156" t="str">
        <v>Centre Street Church</v>
      </c>
    </row>
    <row r="157" spans="1:29">
      <c r="A157" t="s">
        <v>906</v>
      </c>
      <c r="B157" t="s">
        <v>562</v>
      </c>
      <c r="C157" t="s">
        <v>562</v>
      </c>
      <c r="D157" t="s">
        <v>908</v>
      </c>
      <c r="E157" t="s">
        <v>911</v>
      </c>
      <c r="F157" t="s">
        <v>562</v>
      </c>
      <c r="G157" t="s">
        <v>562</v>
      </c>
      <c r="H157" t="s">
        <v>562</v>
      </c>
      <c r="I157">
        <v>4534</v>
      </c>
      <c r="J157" t="s">
        <v>564</v>
      </c>
      <c r="K157" s="698">
        <v>45957.530555555553</v>
      </c>
      <c r="L157" s="698">
        <v>45957.530555555553</v>
      </c>
      <c r="M157" t="s">
        <v>565</v>
      </c>
      <c r="N157" t="s">
        <v>565</v>
      </c>
      <c r="O157" t="s">
        <v>566</v>
      </c>
      <c r="P157" t="s">
        <v>567</v>
      </c>
      <c r="S157" t="s">
        <v>567</v>
      </c>
      <c r="T157" t="s">
        <v>567</v>
      </c>
      <c r="Z157" t="s">
        <v>568</v>
      </c>
      <c r="AA157" t="s">
        <v>568</v>
      </c>
      <c r="AC157" t="str">
        <v>Centura</v>
      </c>
    </row>
    <row r="158" spans="1:29">
      <c r="A158" t="s">
        <v>906</v>
      </c>
      <c r="B158" t="s">
        <v>562</v>
      </c>
      <c r="C158" t="s">
        <v>562</v>
      </c>
      <c r="D158" t="s">
        <v>908</v>
      </c>
      <c r="E158" t="s">
        <v>912</v>
      </c>
      <c r="F158" t="s">
        <v>562</v>
      </c>
      <c r="G158" t="s">
        <v>562</v>
      </c>
      <c r="H158" t="s">
        <v>562</v>
      </c>
      <c r="I158">
        <v>4954</v>
      </c>
      <c r="J158" t="s">
        <v>564</v>
      </c>
      <c r="K158" s="698">
        <v>45957.556944444441</v>
      </c>
      <c r="L158" s="698">
        <v>45957.556944444441</v>
      </c>
      <c r="M158" t="s">
        <v>565</v>
      </c>
      <c r="N158" t="s">
        <v>565</v>
      </c>
      <c r="O158" t="s">
        <v>566</v>
      </c>
      <c r="P158" t="s">
        <v>567</v>
      </c>
      <c r="S158" t="s">
        <v>567</v>
      </c>
      <c r="T158" t="s">
        <v>567</v>
      </c>
      <c r="Z158" t="s">
        <v>568</v>
      </c>
      <c r="AA158" t="s">
        <v>568</v>
      </c>
      <c r="AC158" t="str">
        <v>Chad Welechenko</v>
      </c>
    </row>
    <row r="159" spans="1:29">
      <c r="A159" t="s">
        <v>906</v>
      </c>
      <c r="B159" t="s">
        <v>562</v>
      </c>
      <c r="C159" t="s">
        <v>562</v>
      </c>
      <c r="D159" t="s">
        <v>908</v>
      </c>
      <c r="E159" t="s">
        <v>913</v>
      </c>
      <c r="F159" t="s">
        <v>562</v>
      </c>
      <c r="G159" t="s">
        <v>562</v>
      </c>
      <c r="H159" t="s">
        <v>562</v>
      </c>
      <c r="I159">
        <v>4994</v>
      </c>
      <c r="J159" t="s">
        <v>564</v>
      </c>
      <c r="K159" s="698">
        <v>45957.558333333334</v>
      </c>
      <c r="L159" s="698">
        <v>45957.558333333334</v>
      </c>
      <c r="M159" t="s">
        <v>565</v>
      </c>
      <c r="N159" t="s">
        <v>565</v>
      </c>
      <c r="O159" t="s">
        <v>566</v>
      </c>
      <c r="P159" t="s">
        <v>567</v>
      </c>
      <c r="S159" t="s">
        <v>567</v>
      </c>
      <c r="T159" t="s">
        <v>567</v>
      </c>
      <c r="Z159" t="s">
        <v>568</v>
      </c>
      <c r="AA159" t="s">
        <v>568</v>
      </c>
      <c r="AC159" t="str">
        <v>Charter Property Management</v>
      </c>
    </row>
    <row r="160" spans="1:29">
      <c r="A160" t="s">
        <v>914</v>
      </c>
      <c r="B160" t="s">
        <v>915</v>
      </c>
      <c r="C160" t="s">
        <v>916</v>
      </c>
      <c r="D160" t="s">
        <v>562</v>
      </c>
      <c r="E160" t="s">
        <v>917</v>
      </c>
      <c r="F160" t="s">
        <v>562</v>
      </c>
      <c r="G160" t="s">
        <v>562</v>
      </c>
      <c r="H160" t="s">
        <v>562</v>
      </c>
      <c r="I160">
        <v>3695</v>
      </c>
      <c r="J160" t="s">
        <v>564</v>
      </c>
      <c r="K160" s="698">
        <v>45957.430555555555</v>
      </c>
      <c r="L160" s="698">
        <v>45957.430555555555</v>
      </c>
      <c r="M160" t="s">
        <v>565</v>
      </c>
      <c r="N160" t="s">
        <v>565</v>
      </c>
      <c r="O160" t="s">
        <v>566</v>
      </c>
      <c r="P160" t="s">
        <v>567</v>
      </c>
      <c r="S160" t="s">
        <v>567</v>
      </c>
      <c r="T160" t="s">
        <v>567</v>
      </c>
      <c r="Z160" t="s">
        <v>568</v>
      </c>
      <c r="AA160" t="s">
        <v>568</v>
      </c>
      <c r="AC160" t="str">
        <v>Cheryl Cook</v>
      </c>
    </row>
    <row r="161" spans="1:29">
      <c r="A161" t="s">
        <v>914</v>
      </c>
      <c r="B161" t="s">
        <v>918</v>
      </c>
      <c r="C161" t="s">
        <v>916</v>
      </c>
      <c r="D161" t="s">
        <v>562</v>
      </c>
      <c r="E161" t="s">
        <v>919</v>
      </c>
      <c r="F161" t="s">
        <v>562</v>
      </c>
      <c r="G161" t="s">
        <v>562</v>
      </c>
      <c r="H161" t="s">
        <v>562</v>
      </c>
      <c r="I161">
        <v>4721</v>
      </c>
      <c r="J161" t="s">
        <v>564</v>
      </c>
      <c r="K161" s="698">
        <v>45957.55</v>
      </c>
      <c r="L161" s="698">
        <v>45957.55</v>
      </c>
      <c r="M161" t="s">
        <v>565</v>
      </c>
      <c r="N161" t="s">
        <v>565</v>
      </c>
      <c r="O161" t="s">
        <v>566</v>
      </c>
      <c r="P161" t="s">
        <v>567</v>
      </c>
      <c r="S161" t="s">
        <v>567</v>
      </c>
      <c r="T161" t="s">
        <v>567</v>
      </c>
      <c r="Z161" t="s">
        <v>568</v>
      </c>
      <c r="AA161" t="s">
        <v>568</v>
      </c>
      <c r="AC161" t="str">
        <v>Chinook Highway Operations Inc</v>
      </c>
    </row>
    <row r="162" spans="1:29">
      <c r="A162" t="s">
        <v>920</v>
      </c>
      <c r="B162" t="s">
        <v>921</v>
      </c>
      <c r="C162" t="s">
        <v>922</v>
      </c>
      <c r="D162" t="s">
        <v>923</v>
      </c>
      <c r="E162" t="s">
        <v>562</v>
      </c>
      <c r="F162" t="s">
        <v>562</v>
      </c>
      <c r="G162" t="s">
        <v>562</v>
      </c>
      <c r="H162" t="s">
        <v>562</v>
      </c>
      <c r="I162">
        <v>3503</v>
      </c>
      <c r="J162" t="s">
        <v>564</v>
      </c>
      <c r="K162" s="698">
        <v>45957.411805555559</v>
      </c>
      <c r="L162" s="698">
        <v>45957.411805555559</v>
      </c>
      <c r="M162" t="s">
        <v>565</v>
      </c>
      <c r="N162" t="s">
        <v>565</v>
      </c>
      <c r="O162" t="s">
        <v>566</v>
      </c>
      <c r="P162" t="s">
        <v>567</v>
      </c>
      <c r="S162" t="s">
        <v>567</v>
      </c>
      <c r="T162" t="s">
        <v>567</v>
      </c>
      <c r="Z162" t="s">
        <v>568</v>
      </c>
      <c r="AA162" t="s">
        <v>568</v>
      </c>
      <c r="AC162" t="str">
        <v>Chisholm Industries Ltd.</v>
      </c>
    </row>
    <row r="163" spans="1:29">
      <c r="A163" t="s">
        <v>920</v>
      </c>
      <c r="B163" t="s">
        <v>924</v>
      </c>
      <c r="C163" t="s">
        <v>925</v>
      </c>
      <c r="D163" t="s">
        <v>926</v>
      </c>
      <c r="E163" t="s">
        <v>927</v>
      </c>
      <c r="F163" t="s">
        <v>562</v>
      </c>
      <c r="G163" t="s">
        <v>562</v>
      </c>
      <c r="H163" t="s">
        <v>562</v>
      </c>
      <c r="I163">
        <v>3606</v>
      </c>
      <c r="J163" t="s">
        <v>564</v>
      </c>
      <c r="K163" s="698">
        <v>45957.42083333333</v>
      </c>
      <c r="L163" s="698">
        <v>45957.42083333333</v>
      </c>
      <c r="M163" t="s">
        <v>565</v>
      </c>
      <c r="N163" t="s">
        <v>565</v>
      </c>
      <c r="O163" t="s">
        <v>566</v>
      </c>
      <c r="P163" t="s">
        <v>567</v>
      </c>
      <c r="S163" t="s">
        <v>567</v>
      </c>
      <c r="T163" t="s">
        <v>567</v>
      </c>
      <c r="Z163" t="s">
        <v>568</v>
      </c>
      <c r="AA163" t="s">
        <v>568</v>
      </c>
      <c r="AC163" t="str">
        <v>Chris Belnavis</v>
      </c>
    </row>
    <row r="164" spans="1:29">
      <c r="A164" t="s">
        <v>920</v>
      </c>
      <c r="B164" t="s">
        <v>924</v>
      </c>
      <c r="C164" t="s">
        <v>925</v>
      </c>
      <c r="D164" t="s">
        <v>926</v>
      </c>
      <c r="E164" t="s">
        <v>928</v>
      </c>
      <c r="F164" t="s">
        <v>562</v>
      </c>
      <c r="G164" t="s">
        <v>562</v>
      </c>
      <c r="H164" t="s">
        <v>562</v>
      </c>
      <c r="I164">
        <v>3654</v>
      </c>
      <c r="J164" t="s">
        <v>564</v>
      </c>
      <c r="K164" s="698">
        <v>45957.425694444442</v>
      </c>
      <c r="L164" s="698">
        <v>45957.425694444442</v>
      </c>
      <c r="M164" t="s">
        <v>565</v>
      </c>
      <c r="N164" t="s">
        <v>565</v>
      </c>
      <c r="O164" t="s">
        <v>566</v>
      </c>
      <c r="P164" t="s">
        <v>567</v>
      </c>
      <c r="S164" t="s">
        <v>567</v>
      </c>
      <c r="T164" t="s">
        <v>567</v>
      </c>
      <c r="Z164" t="s">
        <v>568</v>
      </c>
      <c r="AA164" t="s">
        <v>568</v>
      </c>
      <c r="AC164" t="str">
        <v>Chris Brown</v>
      </c>
    </row>
    <row r="165" spans="1:29">
      <c r="A165" t="s">
        <v>920</v>
      </c>
      <c r="B165" t="s">
        <v>924</v>
      </c>
      <c r="C165" t="s">
        <v>925</v>
      </c>
      <c r="D165" t="s">
        <v>926</v>
      </c>
      <c r="E165" t="s">
        <v>929</v>
      </c>
      <c r="F165" t="s">
        <v>562</v>
      </c>
      <c r="G165" t="s">
        <v>562</v>
      </c>
      <c r="H165" t="s">
        <v>562</v>
      </c>
      <c r="I165">
        <v>3676</v>
      </c>
      <c r="J165" t="s">
        <v>564</v>
      </c>
      <c r="K165" s="698">
        <v>45957.428472222222</v>
      </c>
      <c r="L165" s="698">
        <v>45957.428472222222</v>
      </c>
      <c r="M165" t="s">
        <v>565</v>
      </c>
      <c r="N165" t="s">
        <v>565</v>
      </c>
      <c r="O165" t="s">
        <v>566</v>
      </c>
      <c r="P165" t="s">
        <v>567</v>
      </c>
      <c r="S165" t="s">
        <v>567</v>
      </c>
      <c r="T165" t="s">
        <v>567</v>
      </c>
      <c r="Z165" t="s">
        <v>568</v>
      </c>
      <c r="AA165" t="s">
        <v>568</v>
      </c>
      <c r="AC165" t="str">
        <v>Cineplex Entertainment LP</v>
      </c>
    </row>
    <row r="166" spans="1:29">
      <c r="A166" t="s">
        <v>920</v>
      </c>
      <c r="B166" t="s">
        <v>924</v>
      </c>
      <c r="C166" t="s">
        <v>562</v>
      </c>
      <c r="D166" t="s">
        <v>926</v>
      </c>
      <c r="E166" t="s">
        <v>930</v>
      </c>
      <c r="F166" t="s">
        <v>562</v>
      </c>
      <c r="G166" t="s">
        <v>562</v>
      </c>
      <c r="H166" t="s">
        <v>562</v>
      </c>
      <c r="I166">
        <v>5019</v>
      </c>
      <c r="J166" t="s">
        <v>564</v>
      </c>
      <c r="K166" s="698">
        <v>45957.559027777781</v>
      </c>
      <c r="L166" s="698">
        <v>45957.559027777781</v>
      </c>
      <c r="M166" t="s">
        <v>565</v>
      </c>
      <c r="N166" t="s">
        <v>565</v>
      </c>
      <c r="O166" t="s">
        <v>566</v>
      </c>
      <c r="P166" t="s">
        <v>567</v>
      </c>
      <c r="S166" t="s">
        <v>567</v>
      </c>
      <c r="T166" t="s">
        <v>567</v>
      </c>
      <c r="Z166" t="s">
        <v>568</v>
      </c>
      <c r="AA166" t="s">
        <v>568</v>
      </c>
      <c r="AC166" t="str">
        <v>Cinnamon Indian Cuisine &amp;  Bar</v>
      </c>
    </row>
    <row r="167" spans="1:29">
      <c r="A167" t="s">
        <v>931</v>
      </c>
      <c r="B167" t="s">
        <v>562</v>
      </c>
      <c r="C167" t="s">
        <v>562</v>
      </c>
      <c r="D167" t="s">
        <v>932</v>
      </c>
      <c r="E167" t="s">
        <v>933</v>
      </c>
      <c r="F167" t="s">
        <v>562</v>
      </c>
      <c r="G167" t="s">
        <v>562</v>
      </c>
      <c r="H167" t="s">
        <v>562</v>
      </c>
      <c r="I167">
        <v>5087</v>
      </c>
      <c r="J167" t="s">
        <v>564</v>
      </c>
      <c r="K167" s="698">
        <v>45957.561111111114</v>
      </c>
      <c r="L167" s="698">
        <v>45957.561111111114</v>
      </c>
      <c r="M167" t="s">
        <v>565</v>
      </c>
      <c r="N167" t="s">
        <v>565</v>
      </c>
      <c r="O167" t="s">
        <v>566</v>
      </c>
      <c r="P167" t="s">
        <v>567</v>
      </c>
      <c r="S167" t="s">
        <v>567</v>
      </c>
      <c r="T167" t="s">
        <v>567</v>
      </c>
      <c r="Z167" t="s">
        <v>568</v>
      </c>
      <c r="AA167" t="s">
        <v>568</v>
      </c>
      <c r="AC167" t="str">
        <v>City of Calgary</v>
      </c>
    </row>
    <row r="168" spans="1:29">
      <c r="A168" t="s">
        <v>934</v>
      </c>
      <c r="B168" t="s">
        <v>935</v>
      </c>
      <c r="C168" t="s">
        <v>936</v>
      </c>
      <c r="D168" t="s">
        <v>562</v>
      </c>
      <c r="E168" t="s">
        <v>937</v>
      </c>
      <c r="F168" t="s">
        <v>562</v>
      </c>
      <c r="G168" t="s">
        <v>562</v>
      </c>
      <c r="H168" t="s">
        <v>562</v>
      </c>
      <c r="I168">
        <v>4500</v>
      </c>
      <c r="J168" t="s">
        <v>564</v>
      </c>
      <c r="K168" s="698">
        <v>45957.526388888888</v>
      </c>
      <c r="L168" s="698">
        <v>45957.526388888888</v>
      </c>
      <c r="M168" t="s">
        <v>565</v>
      </c>
      <c r="N168" t="s">
        <v>565</v>
      </c>
      <c r="O168" t="s">
        <v>566</v>
      </c>
      <c r="P168" t="s">
        <v>567</v>
      </c>
      <c r="S168" t="s">
        <v>567</v>
      </c>
      <c r="T168" t="s">
        <v>567</v>
      </c>
      <c r="Z168" t="s">
        <v>568</v>
      </c>
      <c r="AA168" t="s">
        <v>568</v>
      </c>
      <c r="AC168" t="str">
        <v>Clark Builders</v>
      </c>
    </row>
    <row r="169" spans="1:29">
      <c r="A169" t="s">
        <v>938</v>
      </c>
      <c r="B169" t="s">
        <v>939</v>
      </c>
      <c r="C169" t="s">
        <v>562</v>
      </c>
      <c r="D169" t="s">
        <v>562</v>
      </c>
      <c r="E169" t="s">
        <v>940</v>
      </c>
      <c r="F169" t="s">
        <v>562</v>
      </c>
      <c r="G169" t="s">
        <v>562</v>
      </c>
      <c r="H169" t="s">
        <v>562</v>
      </c>
      <c r="I169">
        <v>4832</v>
      </c>
      <c r="J169" t="s">
        <v>564</v>
      </c>
      <c r="K169" s="698">
        <v>45957.553472222222</v>
      </c>
      <c r="L169" s="698">
        <v>45957.553472222222</v>
      </c>
      <c r="M169" t="s">
        <v>565</v>
      </c>
      <c r="N169" t="s">
        <v>565</v>
      </c>
      <c r="O169" t="s">
        <v>566</v>
      </c>
      <c r="P169" t="s">
        <v>567</v>
      </c>
      <c r="S169" t="s">
        <v>567</v>
      </c>
      <c r="T169" t="s">
        <v>567</v>
      </c>
      <c r="Z169" t="s">
        <v>568</v>
      </c>
      <c r="AA169" t="s">
        <v>568</v>
      </c>
      <c r="AC169" t="str">
        <v>Climatec Solutions Inc.</v>
      </c>
    </row>
    <row r="170" spans="1:29">
      <c r="A170" t="s">
        <v>941</v>
      </c>
      <c r="B170" t="s">
        <v>942</v>
      </c>
      <c r="C170" t="s">
        <v>562</v>
      </c>
      <c r="D170" t="s">
        <v>562</v>
      </c>
      <c r="E170" t="s">
        <v>943</v>
      </c>
      <c r="F170" t="s">
        <v>562</v>
      </c>
      <c r="G170" t="s">
        <v>562</v>
      </c>
      <c r="H170" t="s">
        <v>562</v>
      </c>
      <c r="I170">
        <v>5009</v>
      </c>
      <c r="J170" t="s">
        <v>564</v>
      </c>
      <c r="K170" s="698">
        <v>45957.559027777781</v>
      </c>
      <c r="L170" s="698">
        <v>45957.559027777781</v>
      </c>
      <c r="M170" t="s">
        <v>565</v>
      </c>
      <c r="N170" t="s">
        <v>565</v>
      </c>
      <c r="O170" t="s">
        <v>566</v>
      </c>
      <c r="P170" t="s">
        <v>567</v>
      </c>
      <c r="S170" t="s">
        <v>567</v>
      </c>
      <c r="T170" t="s">
        <v>567</v>
      </c>
      <c r="Z170" t="s">
        <v>568</v>
      </c>
      <c r="AA170" t="s">
        <v>568</v>
      </c>
      <c r="AC170" t="str">
        <v>CMP Roofing Inc.</v>
      </c>
    </row>
    <row r="171" spans="1:29">
      <c r="A171" t="s">
        <v>944</v>
      </c>
      <c r="B171" t="s">
        <v>945</v>
      </c>
      <c r="C171" t="s">
        <v>946</v>
      </c>
      <c r="D171" t="s">
        <v>947</v>
      </c>
      <c r="E171" t="s">
        <v>948</v>
      </c>
      <c r="F171" t="s">
        <v>562</v>
      </c>
      <c r="G171" t="s">
        <v>562</v>
      </c>
      <c r="H171" t="s">
        <v>562</v>
      </c>
      <c r="I171">
        <v>3861</v>
      </c>
      <c r="J171" t="s">
        <v>564</v>
      </c>
      <c r="K171" s="698">
        <v>45957.448611111111</v>
      </c>
      <c r="L171" s="698">
        <v>45957.448611111111</v>
      </c>
      <c r="M171" t="s">
        <v>565</v>
      </c>
      <c r="N171" t="s">
        <v>565</v>
      </c>
      <c r="O171" t="s">
        <v>566</v>
      </c>
      <c r="P171" t="s">
        <v>567</v>
      </c>
      <c r="S171" t="s">
        <v>567</v>
      </c>
      <c r="T171" t="s">
        <v>567</v>
      </c>
      <c r="Z171" t="s">
        <v>568</v>
      </c>
      <c r="AA171" t="s">
        <v>568</v>
      </c>
      <c r="AC171" t="str">
        <v>Cobra Corporate Mgt. Inc</v>
      </c>
    </row>
    <row r="172" spans="1:29">
      <c r="A172" t="s">
        <v>949</v>
      </c>
      <c r="B172" t="s">
        <v>950</v>
      </c>
      <c r="C172" t="s">
        <v>951</v>
      </c>
      <c r="D172" t="s">
        <v>562</v>
      </c>
      <c r="E172" t="s">
        <v>952</v>
      </c>
      <c r="F172" t="s">
        <v>562</v>
      </c>
      <c r="G172" t="s">
        <v>562</v>
      </c>
      <c r="H172" t="s">
        <v>562</v>
      </c>
      <c r="I172">
        <v>4907</v>
      </c>
      <c r="J172" t="s">
        <v>564</v>
      </c>
      <c r="K172" s="698">
        <v>45957.555555555555</v>
      </c>
      <c r="L172" s="698">
        <v>45957.555555555555</v>
      </c>
      <c r="M172" t="s">
        <v>565</v>
      </c>
      <c r="N172" t="s">
        <v>565</v>
      </c>
      <c r="O172" t="s">
        <v>566</v>
      </c>
      <c r="P172" t="s">
        <v>567</v>
      </c>
      <c r="S172" t="s">
        <v>567</v>
      </c>
      <c r="T172" t="s">
        <v>567</v>
      </c>
      <c r="Z172" t="s">
        <v>568</v>
      </c>
      <c r="AA172" t="s">
        <v>568</v>
      </c>
      <c r="AC172" t="str">
        <v>Cochrane Alliance Church</v>
      </c>
    </row>
    <row r="173" spans="1:29">
      <c r="A173" t="s">
        <v>953</v>
      </c>
      <c r="B173" t="s">
        <v>954</v>
      </c>
      <c r="C173" t="s">
        <v>955</v>
      </c>
      <c r="D173" t="s">
        <v>562</v>
      </c>
      <c r="E173" t="s">
        <v>956</v>
      </c>
      <c r="F173" t="s">
        <v>562</v>
      </c>
      <c r="G173" t="s">
        <v>562</v>
      </c>
      <c r="H173" t="s">
        <v>562</v>
      </c>
      <c r="I173">
        <v>4478</v>
      </c>
      <c r="J173" t="s">
        <v>564</v>
      </c>
      <c r="K173" s="698">
        <v>45957.523611111108</v>
      </c>
      <c r="L173" s="698">
        <v>45957.523611111108</v>
      </c>
      <c r="M173" t="s">
        <v>565</v>
      </c>
      <c r="N173" t="s">
        <v>565</v>
      </c>
      <c r="O173" t="s">
        <v>566</v>
      </c>
      <c r="P173" t="s">
        <v>567</v>
      </c>
      <c r="S173" t="s">
        <v>567</v>
      </c>
      <c r="T173" t="s">
        <v>567</v>
      </c>
      <c r="Z173" t="s">
        <v>568</v>
      </c>
      <c r="AA173" t="s">
        <v>568</v>
      </c>
      <c r="AC173" t="str">
        <v>Colliers International</v>
      </c>
    </row>
    <row r="174" spans="1:29">
      <c r="A174" t="s">
        <v>957</v>
      </c>
      <c r="B174" t="s">
        <v>562</v>
      </c>
      <c r="C174" t="s">
        <v>958</v>
      </c>
      <c r="D174" t="s">
        <v>959</v>
      </c>
      <c r="E174" t="s">
        <v>960</v>
      </c>
      <c r="F174" t="s">
        <v>562</v>
      </c>
      <c r="G174" t="s">
        <v>562</v>
      </c>
      <c r="H174" t="s">
        <v>562</v>
      </c>
      <c r="I174">
        <v>3504</v>
      </c>
      <c r="J174" t="s">
        <v>564</v>
      </c>
      <c r="K174" s="698">
        <v>45957.411805555559</v>
      </c>
      <c r="L174" s="698">
        <v>45957.411805555559</v>
      </c>
      <c r="M174" t="s">
        <v>565</v>
      </c>
      <c r="N174" t="s">
        <v>565</v>
      </c>
      <c r="O174" t="s">
        <v>566</v>
      </c>
      <c r="P174" t="s">
        <v>567</v>
      </c>
      <c r="S174" t="s">
        <v>567</v>
      </c>
      <c r="T174" t="s">
        <v>567</v>
      </c>
      <c r="Z174" t="s">
        <v>568</v>
      </c>
      <c r="AA174" t="s">
        <v>568</v>
      </c>
      <c r="AC174" t="str">
        <v>Cominar REIT</v>
      </c>
    </row>
    <row r="175" spans="1:29">
      <c r="A175" t="s">
        <v>961</v>
      </c>
      <c r="B175" t="s">
        <v>562</v>
      </c>
      <c r="C175" t="s">
        <v>962</v>
      </c>
      <c r="D175" t="s">
        <v>963</v>
      </c>
      <c r="E175" t="s">
        <v>562</v>
      </c>
      <c r="F175" t="s">
        <v>562</v>
      </c>
      <c r="G175" t="s">
        <v>562</v>
      </c>
      <c r="H175" t="s">
        <v>562</v>
      </c>
      <c r="I175">
        <v>3505</v>
      </c>
      <c r="J175" t="s">
        <v>564</v>
      </c>
      <c r="K175" s="698">
        <v>45957.411805555559</v>
      </c>
      <c r="L175" s="698">
        <v>45957.411805555559</v>
      </c>
      <c r="M175" t="s">
        <v>565</v>
      </c>
      <c r="N175" t="s">
        <v>565</v>
      </c>
      <c r="O175" t="s">
        <v>566</v>
      </c>
      <c r="P175" t="s">
        <v>567</v>
      </c>
      <c r="S175" t="s">
        <v>567</v>
      </c>
      <c r="T175" t="s">
        <v>567</v>
      </c>
      <c r="Z175" t="s">
        <v>568</v>
      </c>
      <c r="AA175" t="s">
        <v>568</v>
      </c>
      <c r="AC175" t="str">
        <v>Comtech Communication Technology</v>
      </c>
    </row>
    <row r="176" spans="1:29">
      <c r="A176" t="s">
        <v>964</v>
      </c>
      <c r="B176" t="s">
        <v>965</v>
      </c>
      <c r="C176" t="s">
        <v>966</v>
      </c>
      <c r="D176" t="s">
        <v>967</v>
      </c>
      <c r="E176" t="s">
        <v>968</v>
      </c>
      <c r="F176" t="s">
        <v>562</v>
      </c>
      <c r="G176" t="s">
        <v>562</v>
      </c>
      <c r="H176" t="s">
        <v>562</v>
      </c>
      <c r="I176">
        <v>4485</v>
      </c>
      <c r="J176" t="s">
        <v>564</v>
      </c>
      <c r="K176" s="698">
        <v>45957.524305555555</v>
      </c>
      <c r="L176" s="698">
        <v>45957.524305555555</v>
      </c>
      <c r="M176" t="s">
        <v>565</v>
      </c>
      <c r="N176" t="s">
        <v>565</v>
      </c>
      <c r="O176" t="s">
        <v>566</v>
      </c>
      <c r="P176" t="s">
        <v>567</v>
      </c>
      <c r="S176" t="s">
        <v>567</v>
      </c>
      <c r="T176" t="s">
        <v>567</v>
      </c>
      <c r="Z176" t="s">
        <v>568</v>
      </c>
      <c r="AA176" t="s">
        <v>568</v>
      </c>
      <c r="AC176" t="str">
        <v>Concert Income Property LP</v>
      </c>
    </row>
    <row r="177" spans="1:29">
      <c r="A177" t="s">
        <v>964</v>
      </c>
      <c r="B177" t="s">
        <v>965</v>
      </c>
      <c r="C177" t="s">
        <v>966</v>
      </c>
      <c r="D177" t="s">
        <v>967</v>
      </c>
      <c r="E177" t="s">
        <v>969</v>
      </c>
      <c r="F177" t="s">
        <v>562</v>
      </c>
      <c r="G177" t="s">
        <v>562</v>
      </c>
      <c r="H177" t="s">
        <v>562</v>
      </c>
      <c r="I177">
        <v>4503</v>
      </c>
      <c r="J177" t="s">
        <v>564</v>
      </c>
      <c r="K177" s="698">
        <v>45957.526388888888</v>
      </c>
      <c r="L177" s="698">
        <v>45957.526388888888</v>
      </c>
      <c r="M177" t="s">
        <v>565</v>
      </c>
      <c r="N177" t="s">
        <v>565</v>
      </c>
      <c r="O177" t="s">
        <v>566</v>
      </c>
      <c r="P177" t="s">
        <v>567</v>
      </c>
      <c r="S177" t="s">
        <v>567</v>
      </c>
      <c r="T177" t="s">
        <v>567</v>
      </c>
      <c r="Z177" t="s">
        <v>568</v>
      </c>
      <c r="AA177" t="s">
        <v>568</v>
      </c>
      <c r="AC177" t="str">
        <v>Conseil Franco Sud</v>
      </c>
    </row>
    <row r="178" spans="1:29">
      <c r="A178" t="s">
        <v>970</v>
      </c>
      <c r="B178" t="s">
        <v>971</v>
      </c>
      <c r="C178" t="s">
        <v>972</v>
      </c>
      <c r="D178" t="s">
        <v>562</v>
      </c>
      <c r="E178" t="s">
        <v>973</v>
      </c>
      <c r="F178" t="s">
        <v>562</v>
      </c>
      <c r="G178" t="s">
        <v>562</v>
      </c>
      <c r="H178" t="s">
        <v>562</v>
      </c>
      <c r="I178">
        <v>4061</v>
      </c>
      <c r="J178" t="s">
        <v>564</v>
      </c>
      <c r="K178" s="698">
        <v>45957.47152777778</v>
      </c>
      <c r="L178" s="698">
        <v>45957.47152777778</v>
      </c>
      <c r="M178" t="s">
        <v>565</v>
      </c>
      <c r="N178" t="s">
        <v>565</v>
      </c>
      <c r="O178" t="s">
        <v>566</v>
      </c>
      <c r="P178" t="s">
        <v>567</v>
      </c>
      <c r="S178" t="s">
        <v>567</v>
      </c>
      <c r="T178" t="s">
        <v>567</v>
      </c>
      <c r="Z178" t="s">
        <v>568</v>
      </c>
      <c r="AA178" t="s">
        <v>568</v>
      </c>
      <c r="AC178" t="str">
        <v>Conseil Scolaire FrancoSud</v>
      </c>
    </row>
    <row r="179" spans="1:29">
      <c r="A179" t="s">
        <v>974</v>
      </c>
      <c r="B179" t="s">
        <v>975</v>
      </c>
      <c r="C179" t="s">
        <v>976</v>
      </c>
      <c r="D179" t="s">
        <v>977</v>
      </c>
      <c r="E179" t="s">
        <v>978</v>
      </c>
      <c r="F179" t="s">
        <v>562</v>
      </c>
      <c r="G179" t="s">
        <v>562</v>
      </c>
      <c r="H179" t="s">
        <v>562</v>
      </c>
      <c r="I179">
        <v>4114</v>
      </c>
      <c r="J179" t="s">
        <v>564</v>
      </c>
      <c r="K179" s="698">
        <v>45957.477777777778</v>
      </c>
      <c r="L179" s="698">
        <v>45957.477777777778</v>
      </c>
      <c r="M179" t="s">
        <v>565</v>
      </c>
      <c r="N179" t="s">
        <v>565</v>
      </c>
      <c r="O179" t="s">
        <v>566</v>
      </c>
      <c r="P179" t="s">
        <v>567</v>
      </c>
      <c r="S179" t="s">
        <v>567</v>
      </c>
      <c r="T179" t="s">
        <v>567</v>
      </c>
      <c r="Z179" t="s">
        <v>568</v>
      </c>
      <c r="AA179" t="s">
        <v>568</v>
      </c>
      <c r="AC179" t="str">
        <v>Convergent INT</v>
      </c>
    </row>
    <row r="180" spans="1:29">
      <c r="A180" t="s">
        <v>979</v>
      </c>
      <c r="B180" t="s">
        <v>562</v>
      </c>
      <c r="C180" t="s">
        <v>562</v>
      </c>
      <c r="D180" t="s">
        <v>630</v>
      </c>
      <c r="E180" t="s">
        <v>980</v>
      </c>
      <c r="F180" t="s">
        <v>562</v>
      </c>
      <c r="G180" t="s">
        <v>562</v>
      </c>
      <c r="H180" t="s">
        <v>562</v>
      </c>
      <c r="I180">
        <v>3659</v>
      </c>
      <c r="J180" t="s">
        <v>564</v>
      </c>
      <c r="K180" s="698">
        <v>45957.426388888889</v>
      </c>
      <c r="L180" s="698">
        <v>45957.426388888889</v>
      </c>
      <c r="M180" t="s">
        <v>565</v>
      </c>
      <c r="N180" t="s">
        <v>565</v>
      </c>
      <c r="O180" t="s">
        <v>566</v>
      </c>
      <c r="P180" t="s">
        <v>567</v>
      </c>
      <c r="S180" t="s">
        <v>567</v>
      </c>
      <c r="T180" t="s">
        <v>567</v>
      </c>
      <c r="Z180" t="s">
        <v>568</v>
      </c>
      <c r="AA180" t="s">
        <v>568</v>
      </c>
      <c r="AC180" t="str">
        <v>Cool Calgary Air Condition &amp; Mechanical Maintenance Ltd</v>
      </c>
    </row>
    <row r="181" spans="1:29">
      <c r="A181" t="s">
        <v>979</v>
      </c>
      <c r="B181" t="s">
        <v>562</v>
      </c>
      <c r="C181" t="s">
        <v>562</v>
      </c>
      <c r="D181" t="s">
        <v>630</v>
      </c>
      <c r="E181" t="s">
        <v>981</v>
      </c>
      <c r="F181" t="s">
        <v>562</v>
      </c>
      <c r="G181" t="s">
        <v>562</v>
      </c>
      <c r="H181" t="s">
        <v>562</v>
      </c>
      <c r="I181">
        <v>3684</v>
      </c>
      <c r="J181" t="s">
        <v>564</v>
      </c>
      <c r="K181" s="698">
        <v>45957.429166666669</v>
      </c>
      <c r="L181" s="698">
        <v>45957.429166666669</v>
      </c>
      <c r="M181" t="s">
        <v>565</v>
      </c>
      <c r="N181" t="s">
        <v>565</v>
      </c>
      <c r="O181" t="s">
        <v>566</v>
      </c>
      <c r="P181" t="s">
        <v>567</v>
      </c>
      <c r="S181" t="s">
        <v>567</v>
      </c>
      <c r="T181" t="s">
        <v>567</v>
      </c>
      <c r="Z181" t="s">
        <v>568</v>
      </c>
      <c r="AA181" t="s">
        <v>568</v>
      </c>
      <c r="AC181" t="str">
        <v>Cooperstown Holdings Ltd.</v>
      </c>
    </row>
    <row r="182" spans="1:29">
      <c r="A182" t="s">
        <v>979</v>
      </c>
      <c r="B182" t="s">
        <v>562</v>
      </c>
      <c r="C182" t="s">
        <v>562</v>
      </c>
      <c r="D182" t="s">
        <v>630</v>
      </c>
      <c r="E182" t="s">
        <v>982</v>
      </c>
      <c r="F182" t="s">
        <v>562</v>
      </c>
      <c r="G182" t="s">
        <v>562</v>
      </c>
      <c r="H182" t="s">
        <v>562</v>
      </c>
      <c r="I182">
        <v>4888</v>
      </c>
      <c r="J182" t="s">
        <v>564</v>
      </c>
      <c r="K182" s="698">
        <v>45957.554861111108</v>
      </c>
      <c r="L182" s="698">
        <v>45957.554861111108</v>
      </c>
      <c r="M182" t="s">
        <v>565</v>
      </c>
      <c r="N182" t="s">
        <v>565</v>
      </c>
      <c r="O182" t="s">
        <v>566</v>
      </c>
      <c r="P182" t="s">
        <v>567</v>
      </c>
      <c r="S182" t="s">
        <v>567</v>
      </c>
      <c r="T182" t="s">
        <v>567</v>
      </c>
      <c r="Z182" t="s">
        <v>568</v>
      </c>
      <c r="AA182" t="s">
        <v>568</v>
      </c>
      <c r="AC182" t="str">
        <v>Copez Properties Ltd.</v>
      </c>
    </row>
    <row r="183" spans="1:29">
      <c r="A183" t="s">
        <v>983</v>
      </c>
      <c r="B183" t="s">
        <v>984</v>
      </c>
      <c r="C183" t="s">
        <v>985</v>
      </c>
      <c r="D183" t="s">
        <v>562</v>
      </c>
      <c r="E183" t="s">
        <v>986</v>
      </c>
      <c r="F183" t="s">
        <v>562</v>
      </c>
      <c r="G183" t="s">
        <v>562</v>
      </c>
      <c r="H183" t="s">
        <v>562</v>
      </c>
      <c r="I183">
        <v>4265</v>
      </c>
      <c r="J183" t="s">
        <v>564</v>
      </c>
      <c r="K183" s="698">
        <v>45957.49722222222</v>
      </c>
      <c r="L183" s="698">
        <v>45957.49722222222</v>
      </c>
      <c r="M183" t="s">
        <v>565</v>
      </c>
      <c r="N183" t="s">
        <v>565</v>
      </c>
      <c r="O183" t="s">
        <v>566</v>
      </c>
      <c r="P183" t="s">
        <v>567</v>
      </c>
      <c r="S183" t="s">
        <v>567</v>
      </c>
      <c r="T183" t="s">
        <v>567</v>
      </c>
      <c r="Z183" t="s">
        <v>568</v>
      </c>
      <c r="AA183" t="s">
        <v>568</v>
      </c>
      <c r="AC183" t="str">
        <v>Corie Herman</v>
      </c>
    </row>
    <row r="184" spans="1:29">
      <c r="A184" t="s">
        <v>987</v>
      </c>
      <c r="B184" t="s">
        <v>988</v>
      </c>
      <c r="C184" t="s">
        <v>989</v>
      </c>
      <c r="D184" t="s">
        <v>977</v>
      </c>
      <c r="E184" t="s">
        <v>990</v>
      </c>
      <c r="F184" t="s">
        <v>562</v>
      </c>
      <c r="G184" t="s">
        <v>562</v>
      </c>
      <c r="H184" t="s">
        <v>562</v>
      </c>
      <c r="I184">
        <v>4112</v>
      </c>
      <c r="J184" t="s">
        <v>564</v>
      </c>
      <c r="K184" s="698">
        <v>45957.477777777778</v>
      </c>
      <c r="L184" s="698">
        <v>45957.477777777778</v>
      </c>
      <c r="M184" t="s">
        <v>565</v>
      </c>
      <c r="N184" t="s">
        <v>565</v>
      </c>
      <c r="O184" t="s">
        <v>566</v>
      </c>
      <c r="P184" t="s">
        <v>567</v>
      </c>
      <c r="S184" t="s">
        <v>567</v>
      </c>
      <c r="T184" t="s">
        <v>567</v>
      </c>
      <c r="Z184" t="s">
        <v>568</v>
      </c>
      <c r="AA184" t="s">
        <v>568</v>
      </c>
      <c r="AC184" t="str">
        <v>Cougar Contractors Ltd.</v>
      </c>
    </row>
    <row r="185" spans="1:29">
      <c r="A185" t="s">
        <v>991</v>
      </c>
      <c r="B185" t="s">
        <v>562</v>
      </c>
      <c r="C185" t="s">
        <v>562</v>
      </c>
      <c r="D185" t="s">
        <v>630</v>
      </c>
      <c r="E185" t="s">
        <v>992</v>
      </c>
      <c r="F185" t="s">
        <v>562</v>
      </c>
      <c r="G185" t="s">
        <v>562</v>
      </c>
      <c r="H185" t="s">
        <v>562</v>
      </c>
      <c r="I185">
        <v>3598</v>
      </c>
      <c r="J185" t="s">
        <v>564</v>
      </c>
      <c r="K185" s="698">
        <v>45957.420138888891</v>
      </c>
      <c r="L185" s="698">
        <v>45957.420138888891</v>
      </c>
      <c r="M185" t="s">
        <v>565</v>
      </c>
      <c r="N185" t="s">
        <v>565</v>
      </c>
      <c r="O185" t="s">
        <v>566</v>
      </c>
      <c r="P185" t="s">
        <v>567</v>
      </c>
      <c r="S185" t="s">
        <v>567</v>
      </c>
      <c r="T185" t="s">
        <v>567</v>
      </c>
      <c r="Z185" t="s">
        <v>568</v>
      </c>
      <c r="AA185" t="s">
        <v>568</v>
      </c>
      <c r="AC185" t="str">
        <v>Cougar Technical Services</v>
      </c>
    </row>
    <row r="186" spans="1:29">
      <c r="A186" t="s">
        <v>991</v>
      </c>
      <c r="B186" t="s">
        <v>562</v>
      </c>
      <c r="C186" t="s">
        <v>562</v>
      </c>
      <c r="D186" t="s">
        <v>630</v>
      </c>
      <c r="E186" t="s">
        <v>631</v>
      </c>
      <c r="F186" t="s">
        <v>562</v>
      </c>
      <c r="G186" t="s">
        <v>562</v>
      </c>
      <c r="H186" t="s">
        <v>562</v>
      </c>
      <c r="I186">
        <v>3617</v>
      </c>
      <c r="J186" t="s">
        <v>564</v>
      </c>
      <c r="K186" s="698">
        <v>45957.422222222223</v>
      </c>
      <c r="L186" s="698">
        <v>45957.422222222223</v>
      </c>
      <c r="M186" t="s">
        <v>565</v>
      </c>
      <c r="N186" t="s">
        <v>565</v>
      </c>
      <c r="O186" t="s">
        <v>566</v>
      </c>
      <c r="P186" t="s">
        <v>567</v>
      </c>
      <c r="S186" t="s">
        <v>567</v>
      </c>
      <c r="T186" t="s">
        <v>567</v>
      </c>
      <c r="Z186" t="s">
        <v>568</v>
      </c>
      <c r="AA186" t="s">
        <v>568</v>
      </c>
      <c r="AC186" t="str">
        <v>CRCA | Chestermere Regional Community Association</v>
      </c>
    </row>
    <row r="187" spans="1:29">
      <c r="A187" t="s">
        <v>991</v>
      </c>
      <c r="B187" t="s">
        <v>993</v>
      </c>
      <c r="C187" t="s">
        <v>994</v>
      </c>
      <c r="D187" t="s">
        <v>630</v>
      </c>
      <c r="E187" t="s">
        <v>995</v>
      </c>
      <c r="F187" t="s">
        <v>562</v>
      </c>
      <c r="G187" t="s">
        <v>562</v>
      </c>
      <c r="H187" t="s">
        <v>562</v>
      </c>
      <c r="I187">
        <v>3675</v>
      </c>
      <c r="J187" t="s">
        <v>564</v>
      </c>
      <c r="K187" s="698">
        <v>45957.428472222222</v>
      </c>
      <c r="L187" s="698">
        <v>45957.428472222222</v>
      </c>
      <c r="M187" t="s">
        <v>565</v>
      </c>
      <c r="N187" t="s">
        <v>565</v>
      </c>
      <c r="O187" t="s">
        <v>566</v>
      </c>
      <c r="P187" t="s">
        <v>567</v>
      </c>
      <c r="S187" t="s">
        <v>567</v>
      </c>
      <c r="T187" t="s">
        <v>567</v>
      </c>
      <c r="Z187" t="s">
        <v>568</v>
      </c>
      <c r="AA187" t="s">
        <v>568</v>
      </c>
      <c r="AC187" t="str">
        <v>Crombie Property Holdings Limited</v>
      </c>
    </row>
    <row r="188" spans="1:29">
      <c r="A188" t="s">
        <v>991</v>
      </c>
      <c r="B188" t="s">
        <v>996</v>
      </c>
      <c r="C188" t="s">
        <v>997</v>
      </c>
      <c r="D188" t="s">
        <v>630</v>
      </c>
      <c r="E188" t="s">
        <v>998</v>
      </c>
      <c r="F188" t="s">
        <v>562</v>
      </c>
      <c r="G188" t="s">
        <v>562</v>
      </c>
      <c r="H188" t="s">
        <v>562</v>
      </c>
      <c r="I188">
        <v>3691</v>
      </c>
      <c r="J188" t="s">
        <v>564</v>
      </c>
      <c r="K188" s="698">
        <v>45957.429861111108</v>
      </c>
      <c r="L188" s="698">
        <v>45957.429861111108</v>
      </c>
      <c r="M188" t="s">
        <v>565</v>
      </c>
      <c r="N188" t="s">
        <v>565</v>
      </c>
      <c r="O188" t="s">
        <v>566</v>
      </c>
      <c r="P188" t="s">
        <v>567</v>
      </c>
      <c r="S188" t="s">
        <v>567</v>
      </c>
      <c r="T188" t="s">
        <v>567</v>
      </c>
      <c r="Z188" t="s">
        <v>568</v>
      </c>
      <c r="AA188" t="s">
        <v>568</v>
      </c>
      <c r="AC188" t="str">
        <v>Crombie REIT</v>
      </c>
    </row>
    <row r="189" spans="1:29">
      <c r="A189" t="s">
        <v>991</v>
      </c>
      <c r="B189" t="s">
        <v>999</v>
      </c>
      <c r="C189" t="s">
        <v>997</v>
      </c>
      <c r="D189" t="s">
        <v>630</v>
      </c>
      <c r="E189" t="s">
        <v>978</v>
      </c>
      <c r="F189" t="s">
        <v>562</v>
      </c>
      <c r="G189" t="s">
        <v>562</v>
      </c>
      <c r="H189" t="s">
        <v>562</v>
      </c>
      <c r="I189">
        <v>3696</v>
      </c>
      <c r="J189" t="s">
        <v>564</v>
      </c>
      <c r="K189" s="698">
        <v>45957.430555555555</v>
      </c>
      <c r="L189" s="698">
        <v>45957.430555555555</v>
      </c>
      <c r="M189" t="s">
        <v>565</v>
      </c>
      <c r="N189" t="s">
        <v>565</v>
      </c>
      <c r="O189" t="s">
        <v>566</v>
      </c>
      <c r="P189" t="s">
        <v>567</v>
      </c>
      <c r="S189" t="s">
        <v>567</v>
      </c>
      <c r="T189" t="s">
        <v>567</v>
      </c>
      <c r="Z189" t="s">
        <v>568</v>
      </c>
      <c r="AA189" t="s">
        <v>568</v>
      </c>
      <c r="AC189" t="str">
        <v>CTR Refrigeration</v>
      </c>
    </row>
    <row r="190" spans="1:29">
      <c r="A190" t="s">
        <v>991</v>
      </c>
      <c r="B190" t="s">
        <v>1000</v>
      </c>
      <c r="C190" t="s">
        <v>1001</v>
      </c>
      <c r="D190" t="s">
        <v>630</v>
      </c>
      <c r="E190" t="s">
        <v>1002</v>
      </c>
      <c r="F190" t="s">
        <v>562</v>
      </c>
      <c r="G190" t="s">
        <v>562</v>
      </c>
      <c r="H190" t="s">
        <v>562</v>
      </c>
      <c r="I190">
        <v>3995</v>
      </c>
      <c r="J190" t="s">
        <v>564</v>
      </c>
      <c r="K190" s="698">
        <v>45957.463888888888</v>
      </c>
      <c r="L190" s="698">
        <v>45957.463888888888</v>
      </c>
      <c r="M190" t="s">
        <v>565</v>
      </c>
      <c r="N190" t="s">
        <v>565</v>
      </c>
      <c r="O190" t="s">
        <v>566</v>
      </c>
      <c r="P190" t="s">
        <v>567</v>
      </c>
      <c r="S190" t="s">
        <v>567</v>
      </c>
      <c r="T190" t="s">
        <v>567</v>
      </c>
      <c r="Z190" t="s">
        <v>568</v>
      </c>
      <c r="AA190" t="s">
        <v>568</v>
      </c>
      <c r="AC190" t="str">
        <v>Dalwing Roof Consulting LTD</v>
      </c>
    </row>
    <row r="191" spans="1:29">
      <c r="A191" t="s">
        <v>991</v>
      </c>
      <c r="B191" t="s">
        <v>562</v>
      </c>
      <c r="C191" t="s">
        <v>1003</v>
      </c>
      <c r="D191" t="s">
        <v>630</v>
      </c>
      <c r="E191" t="s">
        <v>1004</v>
      </c>
      <c r="F191" t="s">
        <v>562</v>
      </c>
      <c r="G191" t="s">
        <v>562</v>
      </c>
      <c r="H191" t="s">
        <v>562</v>
      </c>
      <c r="I191">
        <v>4044</v>
      </c>
      <c r="J191" t="s">
        <v>564</v>
      </c>
      <c r="K191" s="698">
        <v>45957.469444444447</v>
      </c>
      <c r="L191" s="698">
        <v>45957.469444444447</v>
      </c>
      <c r="M191" t="s">
        <v>565</v>
      </c>
      <c r="N191" t="s">
        <v>565</v>
      </c>
      <c r="O191" t="s">
        <v>566</v>
      </c>
      <c r="P191" t="s">
        <v>567</v>
      </c>
      <c r="S191" t="s">
        <v>567</v>
      </c>
      <c r="T191" t="s">
        <v>567</v>
      </c>
      <c r="Z191" t="s">
        <v>568</v>
      </c>
      <c r="AA191" t="s">
        <v>568</v>
      </c>
      <c r="AC191" t="str">
        <v>Darrell McRae</v>
      </c>
    </row>
    <row r="192" spans="1:29">
      <c r="A192" t="s">
        <v>991</v>
      </c>
      <c r="B192" t="s">
        <v>1000</v>
      </c>
      <c r="C192" t="s">
        <v>1001</v>
      </c>
      <c r="D192" t="s">
        <v>630</v>
      </c>
      <c r="E192" t="s">
        <v>1005</v>
      </c>
      <c r="F192" t="s">
        <v>562</v>
      </c>
      <c r="G192" t="s">
        <v>562</v>
      </c>
      <c r="H192" t="s">
        <v>562</v>
      </c>
      <c r="I192">
        <v>4049</v>
      </c>
      <c r="J192" t="s">
        <v>564</v>
      </c>
      <c r="K192" s="698">
        <v>45957.470138888886</v>
      </c>
      <c r="L192" s="698">
        <v>45957.470138888886</v>
      </c>
      <c r="M192" t="s">
        <v>565</v>
      </c>
      <c r="N192" t="s">
        <v>565</v>
      </c>
      <c r="O192" t="s">
        <v>566</v>
      </c>
      <c r="P192" t="s">
        <v>567</v>
      </c>
      <c r="S192" t="s">
        <v>567</v>
      </c>
      <c r="T192" t="s">
        <v>567</v>
      </c>
      <c r="Z192" t="s">
        <v>568</v>
      </c>
      <c r="AA192" t="s">
        <v>568</v>
      </c>
      <c r="AC192" t="str">
        <v>Dave Negus</v>
      </c>
    </row>
    <row r="193" spans="1:29">
      <c r="A193" t="s">
        <v>991</v>
      </c>
      <c r="B193" t="s">
        <v>975</v>
      </c>
      <c r="C193" t="s">
        <v>976</v>
      </c>
      <c r="D193" t="s">
        <v>630</v>
      </c>
      <c r="E193" t="s">
        <v>1006</v>
      </c>
      <c r="F193" t="s">
        <v>562</v>
      </c>
      <c r="G193" t="s">
        <v>562</v>
      </c>
      <c r="H193" t="s">
        <v>562</v>
      </c>
      <c r="I193">
        <v>4121</v>
      </c>
      <c r="J193" t="s">
        <v>564</v>
      </c>
      <c r="K193" s="698">
        <v>45957.479166666664</v>
      </c>
      <c r="L193" s="698">
        <v>45957.479166666664</v>
      </c>
      <c r="M193" t="s">
        <v>565</v>
      </c>
      <c r="N193" t="s">
        <v>565</v>
      </c>
      <c r="O193" t="s">
        <v>566</v>
      </c>
      <c r="P193" t="s">
        <v>567</v>
      </c>
      <c r="S193" t="s">
        <v>567</v>
      </c>
      <c r="T193" t="s">
        <v>567</v>
      </c>
      <c r="Z193" t="s">
        <v>568</v>
      </c>
      <c r="AA193" t="s">
        <v>568</v>
      </c>
      <c r="AC193" t="str">
        <v>David Pattison</v>
      </c>
    </row>
    <row r="194" spans="1:29">
      <c r="A194" t="s">
        <v>991</v>
      </c>
      <c r="B194" t="s">
        <v>1007</v>
      </c>
      <c r="C194" t="s">
        <v>1008</v>
      </c>
      <c r="D194" t="s">
        <v>630</v>
      </c>
      <c r="E194" t="s">
        <v>1009</v>
      </c>
      <c r="F194" t="s">
        <v>562</v>
      </c>
      <c r="G194" t="s">
        <v>562</v>
      </c>
      <c r="H194" t="s">
        <v>562</v>
      </c>
      <c r="I194">
        <v>4140</v>
      </c>
      <c r="J194" t="s">
        <v>564</v>
      </c>
      <c r="K194" s="698">
        <v>45957.481249999997</v>
      </c>
      <c r="L194" s="698">
        <v>45957.481249999997</v>
      </c>
      <c r="M194" t="s">
        <v>565</v>
      </c>
      <c r="N194" t="s">
        <v>565</v>
      </c>
      <c r="O194" t="s">
        <v>566</v>
      </c>
      <c r="P194" t="s">
        <v>567</v>
      </c>
      <c r="S194" t="s">
        <v>567</v>
      </c>
      <c r="T194" t="s">
        <v>567</v>
      </c>
      <c r="Z194" t="s">
        <v>568</v>
      </c>
      <c r="AA194" t="s">
        <v>568</v>
      </c>
      <c r="AC194" t="str">
        <v>David Richardson</v>
      </c>
    </row>
    <row r="195" spans="1:29">
      <c r="A195" t="s">
        <v>991</v>
      </c>
      <c r="B195" t="s">
        <v>1010</v>
      </c>
      <c r="C195" t="s">
        <v>1011</v>
      </c>
      <c r="D195" t="s">
        <v>630</v>
      </c>
      <c r="E195" t="s">
        <v>1012</v>
      </c>
      <c r="F195" t="s">
        <v>562</v>
      </c>
      <c r="G195" t="s">
        <v>562</v>
      </c>
      <c r="H195" t="s">
        <v>562</v>
      </c>
      <c r="I195">
        <v>4145</v>
      </c>
      <c r="J195" t="s">
        <v>564</v>
      </c>
      <c r="K195" s="698">
        <v>45957.481944444444</v>
      </c>
      <c r="L195" s="698">
        <v>45957.481944444444</v>
      </c>
      <c r="M195" t="s">
        <v>565</v>
      </c>
      <c r="N195" t="s">
        <v>565</v>
      </c>
      <c r="O195" t="s">
        <v>566</v>
      </c>
      <c r="P195" t="s">
        <v>567</v>
      </c>
      <c r="S195" t="s">
        <v>567</v>
      </c>
      <c r="T195" t="s">
        <v>567</v>
      </c>
      <c r="Z195" t="s">
        <v>568</v>
      </c>
      <c r="AA195" t="s">
        <v>568</v>
      </c>
      <c r="AC195" t="str">
        <v>David Smith</v>
      </c>
    </row>
    <row r="196" spans="1:29">
      <c r="A196" t="s">
        <v>991</v>
      </c>
      <c r="B196" t="s">
        <v>1007</v>
      </c>
      <c r="C196" t="s">
        <v>1008</v>
      </c>
      <c r="D196" t="s">
        <v>630</v>
      </c>
      <c r="E196" t="s">
        <v>1013</v>
      </c>
      <c r="F196" t="s">
        <v>562</v>
      </c>
      <c r="G196" t="s">
        <v>562</v>
      </c>
      <c r="H196" t="s">
        <v>562</v>
      </c>
      <c r="I196">
        <v>4165</v>
      </c>
      <c r="J196" t="s">
        <v>564</v>
      </c>
      <c r="K196" s="698">
        <v>45957.484027777777</v>
      </c>
      <c r="L196" s="698">
        <v>45957.484027777777</v>
      </c>
      <c r="M196" t="s">
        <v>565</v>
      </c>
      <c r="N196" t="s">
        <v>565</v>
      </c>
      <c r="O196" t="s">
        <v>566</v>
      </c>
      <c r="P196" t="s">
        <v>567</v>
      </c>
      <c r="S196" t="s">
        <v>567</v>
      </c>
      <c r="T196" t="s">
        <v>567</v>
      </c>
      <c r="Z196" t="s">
        <v>568</v>
      </c>
      <c r="AA196" t="s">
        <v>568</v>
      </c>
      <c r="AC196" t="str">
        <v>Dawson Glass</v>
      </c>
    </row>
    <row r="197" spans="1:29">
      <c r="A197" t="s">
        <v>991</v>
      </c>
      <c r="B197" t="s">
        <v>1014</v>
      </c>
      <c r="C197" t="s">
        <v>1015</v>
      </c>
      <c r="D197" t="s">
        <v>630</v>
      </c>
      <c r="E197" t="s">
        <v>1016</v>
      </c>
      <c r="F197" t="s">
        <v>562</v>
      </c>
      <c r="G197" t="s">
        <v>562</v>
      </c>
      <c r="H197" t="s">
        <v>562</v>
      </c>
      <c r="I197">
        <v>4198</v>
      </c>
      <c r="J197" t="s">
        <v>564</v>
      </c>
      <c r="K197" s="698">
        <v>45957.488194444442</v>
      </c>
      <c r="L197" s="698">
        <v>45957.488194444442</v>
      </c>
      <c r="M197" t="s">
        <v>565</v>
      </c>
      <c r="N197" t="s">
        <v>565</v>
      </c>
      <c r="O197" t="s">
        <v>566</v>
      </c>
      <c r="P197" t="s">
        <v>567</v>
      </c>
      <c r="S197" t="s">
        <v>567</v>
      </c>
      <c r="T197" t="s">
        <v>567</v>
      </c>
      <c r="Z197" t="s">
        <v>568</v>
      </c>
      <c r="AA197" t="s">
        <v>568</v>
      </c>
      <c r="AC197" t="str">
        <v>Dawson Wallace Construction LTD.</v>
      </c>
    </row>
    <row r="198" spans="1:29">
      <c r="A198" t="s">
        <v>991</v>
      </c>
      <c r="B198" t="s">
        <v>1007</v>
      </c>
      <c r="C198" t="s">
        <v>1008</v>
      </c>
      <c r="D198" t="s">
        <v>630</v>
      </c>
      <c r="E198" t="s">
        <v>1017</v>
      </c>
      <c r="F198" t="s">
        <v>562</v>
      </c>
      <c r="G198" t="s">
        <v>562</v>
      </c>
      <c r="H198" t="s">
        <v>562</v>
      </c>
      <c r="I198">
        <v>4200</v>
      </c>
      <c r="J198" t="s">
        <v>564</v>
      </c>
      <c r="K198" s="698">
        <v>45957.488888888889</v>
      </c>
      <c r="L198" s="698">
        <v>45957.488888888889</v>
      </c>
      <c r="M198" t="s">
        <v>565</v>
      </c>
      <c r="N198" t="s">
        <v>565</v>
      </c>
      <c r="O198" t="s">
        <v>566</v>
      </c>
      <c r="P198" t="s">
        <v>567</v>
      </c>
      <c r="S198" t="s">
        <v>567</v>
      </c>
      <c r="T198" t="s">
        <v>567</v>
      </c>
      <c r="Z198" t="s">
        <v>568</v>
      </c>
      <c r="AA198" t="s">
        <v>568</v>
      </c>
      <c r="AC198" t="str">
        <v>Deanne Marie Watson</v>
      </c>
    </row>
    <row r="199" spans="1:29">
      <c r="A199" t="s">
        <v>991</v>
      </c>
      <c r="B199" t="s">
        <v>1018</v>
      </c>
      <c r="C199" t="s">
        <v>1019</v>
      </c>
      <c r="D199" t="s">
        <v>630</v>
      </c>
      <c r="E199" t="s">
        <v>1020</v>
      </c>
      <c r="F199" t="s">
        <v>562</v>
      </c>
      <c r="G199" t="s">
        <v>562</v>
      </c>
      <c r="H199" t="s">
        <v>562</v>
      </c>
      <c r="I199">
        <v>4223</v>
      </c>
      <c r="J199" t="s">
        <v>564</v>
      </c>
      <c r="K199" s="698">
        <v>45957.491666666669</v>
      </c>
      <c r="L199" s="698">
        <v>45957.491666666669</v>
      </c>
      <c r="M199" t="s">
        <v>565</v>
      </c>
      <c r="N199" t="s">
        <v>565</v>
      </c>
      <c r="O199" t="s">
        <v>566</v>
      </c>
      <c r="P199" t="s">
        <v>567</v>
      </c>
      <c r="S199" t="s">
        <v>567</v>
      </c>
      <c r="T199" t="s">
        <v>567</v>
      </c>
      <c r="Z199" t="s">
        <v>568</v>
      </c>
      <c r="AA199" t="s">
        <v>568</v>
      </c>
      <c r="AC199" t="str">
        <v>Deborah Iseman</v>
      </c>
    </row>
    <row r="200" spans="1:29">
      <c r="A200" t="s">
        <v>991</v>
      </c>
      <c r="B200" t="s">
        <v>1018</v>
      </c>
      <c r="C200" t="s">
        <v>1019</v>
      </c>
      <c r="D200" t="s">
        <v>630</v>
      </c>
      <c r="E200" t="s">
        <v>1021</v>
      </c>
      <c r="F200" t="s">
        <v>562</v>
      </c>
      <c r="G200" t="s">
        <v>562</v>
      </c>
      <c r="H200" t="s">
        <v>562</v>
      </c>
      <c r="I200">
        <v>4231</v>
      </c>
      <c r="J200" t="s">
        <v>564</v>
      </c>
      <c r="K200" s="698">
        <v>45957.492361111108</v>
      </c>
      <c r="L200" s="698">
        <v>45957.492361111108</v>
      </c>
      <c r="M200" t="s">
        <v>565</v>
      </c>
      <c r="N200" t="s">
        <v>565</v>
      </c>
      <c r="O200" t="s">
        <v>566</v>
      </c>
      <c r="P200" t="s">
        <v>567</v>
      </c>
      <c r="S200" t="s">
        <v>567</v>
      </c>
      <c r="T200" t="s">
        <v>567</v>
      </c>
      <c r="Z200" t="s">
        <v>568</v>
      </c>
      <c r="AA200" t="s">
        <v>568</v>
      </c>
      <c r="AC200" t="str">
        <v>Defence Construction (1951) Limited</v>
      </c>
    </row>
    <row r="201" spans="1:29">
      <c r="A201" t="s">
        <v>991</v>
      </c>
      <c r="B201" t="s">
        <v>1022</v>
      </c>
      <c r="C201" t="s">
        <v>1023</v>
      </c>
      <c r="D201" t="s">
        <v>630</v>
      </c>
      <c r="E201" t="s">
        <v>1024</v>
      </c>
      <c r="F201" t="s">
        <v>562</v>
      </c>
      <c r="G201" t="s">
        <v>562</v>
      </c>
      <c r="H201" t="s">
        <v>562</v>
      </c>
      <c r="I201">
        <v>4239</v>
      </c>
      <c r="J201" t="s">
        <v>564</v>
      </c>
      <c r="K201" s="698">
        <v>45957.493750000001</v>
      </c>
      <c r="L201" s="698">
        <v>45957.493750000001</v>
      </c>
      <c r="M201" t="s">
        <v>565</v>
      </c>
      <c r="N201" t="s">
        <v>565</v>
      </c>
      <c r="O201" t="s">
        <v>566</v>
      </c>
      <c r="P201" t="s">
        <v>567</v>
      </c>
      <c r="S201" t="s">
        <v>567</v>
      </c>
      <c r="T201" t="s">
        <v>567</v>
      </c>
      <c r="Z201" t="s">
        <v>568</v>
      </c>
      <c r="AA201" t="s">
        <v>568</v>
      </c>
      <c r="AC201" t="str">
        <v>Delnor Construction Ltd</v>
      </c>
    </row>
    <row r="202" spans="1:29">
      <c r="A202" t="s">
        <v>991</v>
      </c>
      <c r="B202" t="s">
        <v>975</v>
      </c>
      <c r="C202" t="s">
        <v>1025</v>
      </c>
      <c r="D202" t="s">
        <v>630</v>
      </c>
      <c r="E202" t="s">
        <v>1026</v>
      </c>
      <c r="F202" t="s">
        <v>562</v>
      </c>
      <c r="G202" t="s">
        <v>562</v>
      </c>
      <c r="H202" t="s">
        <v>562</v>
      </c>
      <c r="I202">
        <v>4266</v>
      </c>
      <c r="J202" t="s">
        <v>564</v>
      </c>
      <c r="K202" s="698">
        <v>45957.49722222222</v>
      </c>
      <c r="L202" s="698">
        <v>45957.49722222222</v>
      </c>
      <c r="M202" t="s">
        <v>565</v>
      </c>
      <c r="N202" t="s">
        <v>565</v>
      </c>
      <c r="O202" t="s">
        <v>566</v>
      </c>
      <c r="P202" t="s">
        <v>567</v>
      </c>
      <c r="S202" t="s">
        <v>567</v>
      </c>
      <c r="T202" t="s">
        <v>567</v>
      </c>
      <c r="Z202" t="s">
        <v>568</v>
      </c>
      <c r="AA202" t="s">
        <v>568</v>
      </c>
      <c r="AC202" t="str">
        <v>Diaz &amp; Sons Roofing Inc.</v>
      </c>
    </row>
    <row r="203" spans="1:29">
      <c r="A203" t="s">
        <v>991</v>
      </c>
      <c r="B203" t="s">
        <v>562</v>
      </c>
      <c r="C203" t="s">
        <v>562</v>
      </c>
      <c r="D203" t="s">
        <v>630</v>
      </c>
      <c r="E203" t="s">
        <v>1027</v>
      </c>
      <c r="F203" t="s">
        <v>562</v>
      </c>
      <c r="G203" t="s">
        <v>562</v>
      </c>
      <c r="H203" t="s">
        <v>562</v>
      </c>
      <c r="I203">
        <v>4409</v>
      </c>
      <c r="J203" t="s">
        <v>564</v>
      </c>
      <c r="K203" s="698">
        <v>45957.515277777777</v>
      </c>
      <c r="L203" s="698">
        <v>45957.515277777777</v>
      </c>
      <c r="M203" t="s">
        <v>565</v>
      </c>
      <c r="N203" t="s">
        <v>565</v>
      </c>
      <c r="O203" t="s">
        <v>566</v>
      </c>
      <c r="P203" t="s">
        <v>567</v>
      </c>
      <c r="S203" t="s">
        <v>567</v>
      </c>
      <c r="T203" t="s">
        <v>567</v>
      </c>
      <c r="Z203" t="s">
        <v>568</v>
      </c>
      <c r="AA203" t="s">
        <v>568</v>
      </c>
      <c r="AC203" t="str">
        <v>Diversity Soccer Society</v>
      </c>
    </row>
    <row r="204" spans="1:29">
      <c r="A204" t="s">
        <v>991</v>
      </c>
      <c r="B204" t="s">
        <v>1028</v>
      </c>
      <c r="C204" t="s">
        <v>997</v>
      </c>
      <c r="D204" t="s">
        <v>630</v>
      </c>
      <c r="E204" t="s">
        <v>1029</v>
      </c>
      <c r="F204" t="s">
        <v>562</v>
      </c>
      <c r="G204" t="s">
        <v>562</v>
      </c>
      <c r="H204" t="s">
        <v>562</v>
      </c>
      <c r="I204">
        <v>4496</v>
      </c>
      <c r="J204" t="s">
        <v>564</v>
      </c>
      <c r="K204" s="698">
        <v>45957.525694444441</v>
      </c>
      <c r="L204" s="698">
        <v>45957.525694444441</v>
      </c>
      <c r="M204" t="s">
        <v>565</v>
      </c>
      <c r="N204" t="s">
        <v>565</v>
      </c>
      <c r="O204" t="s">
        <v>566</v>
      </c>
      <c r="P204" t="s">
        <v>567</v>
      </c>
      <c r="S204" t="s">
        <v>567</v>
      </c>
      <c r="T204" t="s">
        <v>567</v>
      </c>
      <c r="Z204" t="s">
        <v>568</v>
      </c>
      <c r="AA204" t="s">
        <v>568</v>
      </c>
      <c r="AC204" t="str">
        <v>Don MacDonald</v>
      </c>
    </row>
    <row r="205" spans="1:29">
      <c r="A205" t="s">
        <v>991</v>
      </c>
      <c r="B205" t="s">
        <v>1028</v>
      </c>
      <c r="C205" t="s">
        <v>1030</v>
      </c>
      <c r="D205" t="s">
        <v>630</v>
      </c>
      <c r="E205" t="s">
        <v>1031</v>
      </c>
      <c r="F205" t="s">
        <v>562</v>
      </c>
      <c r="G205" t="s">
        <v>562</v>
      </c>
      <c r="H205" t="s">
        <v>562</v>
      </c>
      <c r="I205">
        <v>4497</v>
      </c>
      <c r="J205" t="s">
        <v>564</v>
      </c>
      <c r="K205" s="698">
        <v>45957.525694444441</v>
      </c>
      <c r="L205" s="698">
        <v>45957.525694444441</v>
      </c>
      <c r="M205" t="s">
        <v>565</v>
      </c>
      <c r="N205" t="s">
        <v>565</v>
      </c>
      <c r="O205" t="s">
        <v>566</v>
      </c>
      <c r="P205" t="s">
        <v>567</v>
      </c>
      <c r="S205" t="s">
        <v>567</v>
      </c>
      <c r="T205" t="s">
        <v>567</v>
      </c>
      <c r="Z205" t="s">
        <v>568</v>
      </c>
      <c r="AA205" t="s">
        <v>568</v>
      </c>
      <c r="AC205" t="str">
        <v>Doug Muncaster</v>
      </c>
    </row>
    <row r="206" spans="1:29">
      <c r="A206" t="s">
        <v>991</v>
      </c>
      <c r="B206" t="s">
        <v>996</v>
      </c>
      <c r="C206" t="s">
        <v>997</v>
      </c>
      <c r="D206" t="s">
        <v>630</v>
      </c>
      <c r="E206" t="s">
        <v>1032</v>
      </c>
      <c r="F206" t="s">
        <v>562</v>
      </c>
      <c r="G206" t="s">
        <v>562</v>
      </c>
      <c r="H206" t="s">
        <v>562</v>
      </c>
      <c r="I206">
        <v>4522</v>
      </c>
      <c r="J206" t="s">
        <v>564</v>
      </c>
      <c r="K206" s="698">
        <v>45957.52847222222</v>
      </c>
      <c r="L206" s="698">
        <v>45957.52847222222</v>
      </c>
      <c r="M206" t="s">
        <v>565</v>
      </c>
      <c r="N206" t="s">
        <v>565</v>
      </c>
      <c r="O206" t="s">
        <v>566</v>
      </c>
      <c r="P206" t="s">
        <v>567</v>
      </c>
      <c r="S206" t="s">
        <v>567</v>
      </c>
      <c r="T206" t="s">
        <v>567</v>
      </c>
      <c r="Z206" t="s">
        <v>568</v>
      </c>
      <c r="AA206" t="s">
        <v>568</v>
      </c>
      <c r="AC206" t="str">
        <v>DYAM Cafe</v>
      </c>
    </row>
    <row r="207" spans="1:29">
      <c r="A207" t="s">
        <v>991</v>
      </c>
      <c r="B207" t="s">
        <v>996</v>
      </c>
      <c r="C207" t="s">
        <v>997</v>
      </c>
      <c r="D207" t="s">
        <v>630</v>
      </c>
      <c r="E207" t="s">
        <v>1033</v>
      </c>
      <c r="F207" t="s">
        <v>562</v>
      </c>
      <c r="G207" t="s">
        <v>562</v>
      </c>
      <c r="H207" t="s">
        <v>562</v>
      </c>
      <c r="I207">
        <v>4565</v>
      </c>
      <c r="J207" t="s">
        <v>564</v>
      </c>
      <c r="K207" s="698">
        <v>45957.53402777778</v>
      </c>
      <c r="L207" s="698">
        <v>45957.53402777778</v>
      </c>
      <c r="M207" t="s">
        <v>565</v>
      </c>
      <c r="N207" t="s">
        <v>565</v>
      </c>
      <c r="O207" t="s">
        <v>566</v>
      </c>
      <c r="P207" t="s">
        <v>567</v>
      </c>
      <c r="S207" t="s">
        <v>567</v>
      </c>
      <c r="T207" t="s">
        <v>567</v>
      </c>
      <c r="Z207" t="s">
        <v>568</v>
      </c>
      <c r="AA207" t="s">
        <v>568</v>
      </c>
      <c r="AC207" t="str">
        <v>Dynamic Furniture</v>
      </c>
    </row>
    <row r="208" spans="1:29">
      <c r="A208" t="s">
        <v>991</v>
      </c>
      <c r="B208" t="s">
        <v>1034</v>
      </c>
      <c r="C208" t="s">
        <v>1035</v>
      </c>
      <c r="D208" t="s">
        <v>630</v>
      </c>
      <c r="E208" t="s">
        <v>1036</v>
      </c>
      <c r="F208" t="s">
        <v>562</v>
      </c>
      <c r="G208" t="s">
        <v>562</v>
      </c>
      <c r="H208" t="s">
        <v>562</v>
      </c>
      <c r="I208">
        <v>4572</v>
      </c>
      <c r="J208" t="s">
        <v>564</v>
      </c>
      <c r="K208" s="698">
        <v>45957.535416666666</v>
      </c>
      <c r="L208" s="698">
        <v>45957.535416666666</v>
      </c>
      <c r="M208" t="s">
        <v>565</v>
      </c>
      <c r="N208" t="s">
        <v>565</v>
      </c>
      <c r="O208" t="s">
        <v>566</v>
      </c>
      <c r="P208" t="s">
        <v>567</v>
      </c>
      <c r="S208" t="s">
        <v>567</v>
      </c>
      <c r="T208" t="s">
        <v>567</v>
      </c>
      <c r="Z208" t="s">
        <v>568</v>
      </c>
      <c r="AA208" t="s">
        <v>568</v>
      </c>
      <c r="AC208" t="str">
        <v>E&amp;P Enterprises Inc.</v>
      </c>
    </row>
    <row r="209" spans="1:29">
      <c r="A209" t="s">
        <v>991</v>
      </c>
      <c r="B209" t="s">
        <v>1037</v>
      </c>
      <c r="C209" t="s">
        <v>1038</v>
      </c>
      <c r="D209" t="s">
        <v>630</v>
      </c>
      <c r="E209" t="s">
        <v>1039</v>
      </c>
      <c r="F209" t="s">
        <v>562</v>
      </c>
      <c r="G209" t="s">
        <v>562</v>
      </c>
      <c r="H209" t="s">
        <v>562</v>
      </c>
      <c r="I209">
        <v>4573</v>
      </c>
      <c r="J209" t="s">
        <v>564</v>
      </c>
      <c r="K209" s="698">
        <v>45957.535416666666</v>
      </c>
      <c r="L209" s="698">
        <v>45957.535416666666</v>
      </c>
      <c r="M209" t="s">
        <v>565</v>
      </c>
      <c r="N209" t="s">
        <v>565</v>
      </c>
      <c r="O209" t="s">
        <v>566</v>
      </c>
      <c r="P209" t="s">
        <v>567</v>
      </c>
      <c r="S209" t="s">
        <v>567</v>
      </c>
      <c r="T209" t="s">
        <v>567</v>
      </c>
      <c r="Z209" t="s">
        <v>568</v>
      </c>
      <c r="AA209" t="s">
        <v>568</v>
      </c>
      <c r="AC209" t="str">
        <v>Edward Gillmor</v>
      </c>
    </row>
    <row r="210" spans="1:29">
      <c r="A210" t="s">
        <v>991</v>
      </c>
      <c r="B210" t="s">
        <v>1028</v>
      </c>
      <c r="C210" t="s">
        <v>1030</v>
      </c>
      <c r="D210" t="s">
        <v>630</v>
      </c>
      <c r="E210" t="s">
        <v>1040</v>
      </c>
      <c r="F210" t="s">
        <v>562</v>
      </c>
      <c r="G210" t="s">
        <v>562</v>
      </c>
      <c r="H210" t="s">
        <v>562</v>
      </c>
      <c r="I210">
        <v>4574</v>
      </c>
      <c r="J210" t="s">
        <v>564</v>
      </c>
      <c r="K210" s="698">
        <v>45957.535416666666</v>
      </c>
      <c r="L210" s="698">
        <v>45957.535416666666</v>
      </c>
      <c r="M210" t="s">
        <v>565</v>
      </c>
      <c r="N210" t="s">
        <v>565</v>
      </c>
      <c r="O210" t="s">
        <v>566</v>
      </c>
      <c r="P210" t="s">
        <v>567</v>
      </c>
      <c r="S210" t="s">
        <v>567</v>
      </c>
      <c r="T210" t="s">
        <v>567</v>
      </c>
      <c r="Z210" t="s">
        <v>568</v>
      </c>
      <c r="AA210" t="s">
        <v>568</v>
      </c>
      <c r="AC210" t="str">
        <v>Eighty-Eight Brewing Co.</v>
      </c>
    </row>
    <row r="211" spans="1:29">
      <c r="A211" t="s">
        <v>991</v>
      </c>
      <c r="B211" t="s">
        <v>1041</v>
      </c>
      <c r="C211" t="s">
        <v>1042</v>
      </c>
      <c r="D211" t="s">
        <v>630</v>
      </c>
      <c r="E211" t="s">
        <v>1043</v>
      </c>
      <c r="F211" t="s">
        <v>562</v>
      </c>
      <c r="G211" t="s">
        <v>562</v>
      </c>
      <c r="H211" t="s">
        <v>562</v>
      </c>
      <c r="I211">
        <v>4575</v>
      </c>
      <c r="J211" t="s">
        <v>564</v>
      </c>
      <c r="K211" s="698">
        <v>45957.535416666666</v>
      </c>
      <c r="L211" s="698">
        <v>45957.535416666666</v>
      </c>
      <c r="M211" t="s">
        <v>565</v>
      </c>
      <c r="N211" t="s">
        <v>565</v>
      </c>
      <c r="O211" t="s">
        <v>566</v>
      </c>
      <c r="P211" t="s">
        <v>567</v>
      </c>
      <c r="S211" t="s">
        <v>567</v>
      </c>
      <c r="T211" t="s">
        <v>567</v>
      </c>
      <c r="Z211" t="s">
        <v>568</v>
      </c>
      <c r="AA211" t="s">
        <v>568</v>
      </c>
      <c r="AC211" t="str">
        <v>Elias Haska</v>
      </c>
    </row>
    <row r="212" spans="1:29">
      <c r="A212" t="s">
        <v>991</v>
      </c>
      <c r="B212" t="s">
        <v>1044</v>
      </c>
      <c r="C212" t="s">
        <v>1030</v>
      </c>
      <c r="D212" t="s">
        <v>630</v>
      </c>
      <c r="E212" t="s">
        <v>1045</v>
      </c>
      <c r="F212" t="s">
        <v>562</v>
      </c>
      <c r="G212" t="s">
        <v>562</v>
      </c>
      <c r="H212" t="s">
        <v>562</v>
      </c>
      <c r="I212">
        <v>4577</v>
      </c>
      <c r="J212" t="s">
        <v>564</v>
      </c>
      <c r="K212" s="698">
        <v>45957.535416666666</v>
      </c>
      <c r="L212" s="698">
        <v>45957.535416666666</v>
      </c>
      <c r="M212" t="s">
        <v>565</v>
      </c>
      <c r="N212" t="s">
        <v>565</v>
      </c>
      <c r="O212" t="s">
        <v>566</v>
      </c>
      <c r="P212" t="s">
        <v>567</v>
      </c>
      <c r="S212" t="s">
        <v>567</v>
      </c>
      <c r="T212" t="s">
        <v>567</v>
      </c>
      <c r="Z212" t="s">
        <v>568</v>
      </c>
      <c r="AA212" t="s">
        <v>568</v>
      </c>
      <c r="AC212" t="str">
        <v>EllisDon Construction Services</v>
      </c>
    </row>
    <row r="213" spans="1:29">
      <c r="A213" t="s">
        <v>991</v>
      </c>
      <c r="B213" t="s">
        <v>1046</v>
      </c>
      <c r="C213" t="s">
        <v>562</v>
      </c>
      <c r="D213" t="s">
        <v>630</v>
      </c>
      <c r="E213" t="s">
        <v>1047</v>
      </c>
      <c r="F213" t="s">
        <v>562</v>
      </c>
      <c r="G213" t="s">
        <v>562</v>
      </c>
      <c r="H213" t="s">
        <v>562</v>
      </c>
      <c r="I213">
        <v>4582</v>
      </c>
      <c r="J213" t="s">
        <v>564</v>
      </c>
      <c r="K213" s="698">
        <v>45957.536111111112</v>
      </c>
      <c r="L213" s="698">
        <v>45957.536111111112</v>
      </c>
      <c r="M213" t="s">
        <v>565</v>
      </c>
      <c r="N213" t="s">
        <v>565</v>
      </c>
      <c r="O213" t="s">
        <v>566</v>
      </c>
      <c r="P213" t="s">
        <v>567</v>
      </c>
      <c r="S213" t="s">
        <v>567</v>
      </c>
      <c r="T213" t="s">
        <v>567</v>
      </c>
      <c r="Z213" t="s">
        <v>568</v>
      </c>
      <c r="AA213" t="s">
        <v>568</v>
      </c>
      <c r="AC213" t="str">
        <v>Enercept Energy</v>
      </c>
    </row>
    <row r="214" spans="1:29">
      <c r="A214" t="s">
        <v>991</v>
      </c>
      <c r="B214" t="s">
        <v>996</v>
      </c>
      <c r="C214" t="s">
        <v>997</v>
      </c>
      <c r="D214" t="s">
        <v>630</v>
      </c>
      <c r="E214" t="s">
        <v>1048</v>
      </c>
      <c r="F214" t="s">
        <v>562</v>
      </c>
      <c r="G214" t="s">
        <v>562</v>
      </c>
      <c r="H214" t="s">
        <v>562</v>
      </c>
      <c r="I214">
        <v>4591</v>
      </c>
      <c r="J214" t="s">
        <v>564</v>
      </c>
      <c r="K214" s="698">
        <v>45957.537499999999</v>
      </c>
      <c r="L214" s="698">
        <v>45957.537499999999</v>
      </c>
      <c r="M214" t="s">
        <v>565</v>
      </c>
      <c r="N214" t="s">
        <v>565</v>
      </c>
      <c r="O214" t="s">
        <v>566</v>
      </c>
      <c r="P214" t="s">
        <v>567</v>
      </c>
      <c r="S214" t="s">
        <v>567</v>
      </c>
      <c r="T214" t="s">
        <v>567</v>
      </c>
      <c r="Z214" t="s">
        <v>568</v>
      </c>
      <c r="AA214" t="s">
        <v>568</v>
      </c>
      <c r="AC214" t="str">
        <v>Engelhart Construction</v>
      </c>
    </row>
    <row r="215" spans="1:29">
      <c r="A215" t="s">
        <v>991</v>
      </c>
      <c r="B215" t="s">
        <v>562</v>
      </c>
      <c r="C215" t="s">
        <v>1003</v>
      </c>
      <c r="D215" t="s">
        <v>630</v>
      </c>
      <c r="E215" t="s">
        <v>1049</v>
      </c>
      <c r="F215" t="s">
        <v>562</v>
      </c>
      <c r="G215" t="s">
        <v>562</v>
      </c>
      <c r="H215" t="s">
        <v>562</v>
      </c>
      <c r="I215">
        <v>4592</v>
      </c>
      <c r="J215" t="s">
        <v>564</v>
      </c>
      <c r="K215" s="698">
        <v>45957.537499999999</v>
      </c>
      <c r="L215" s="698">
        <v>45957.537499999999</v>
      </c>
      <c r="M215" t="s">
        <v>565</v>
      </c>
      <c r="N215" t="s">
        <v>565</v>
      </c>
      <c r="O215" t="s">
        <v>566</v>
      </c>
      <c r="P215" t="s">
        <v>567</v>
      </c>
      <c r="S215" t="s">
        <v>567</v>
      </c>
      <c r="T215" t="s">
        <v>567</v>
      </c>
      <c r="Z215" t="s">
        <v>568</v>
      </c>
      <c r="AA215" t="s">
        <v>568</v>
      </c>
      <c r="AC215" t="str">
        <v>Engenium Chemicals</v>
      </c>
    </row>
    <row r="216" spans="1:29">
      <c r="A216" t="s">
        <v>991</v>
      </c>
      <c r="B216" t="s">
        <v>996</v>
      </c>
      <c r="C216" t="s">
        <v>997</v>
      </c>
      <c r="D216" t="s">
        <v>630</v>
      </c>
      <c r="E216" t="s">
        <v>1050</v>
      </c>
      <c r="F216" t="s">
        <v>562</v>
      </c>
      <c r="G216" t="s">
        <v>562</v>
      </c>
      <c r="H216" t="s">
        <v>562</v>
      </c>
      <c r="I216">
        <v>4612</v>
      </c>
      <c r="J216" t="s">
        <v>564</v>
      </c>
      <c r="K216" s="698">
        <v>45957.540277777778</v>
      </c>
      <c r="L216" s="698">
        <v>45957.540277777778</v>
      </c>
      <c r="M216" t="s">
        <v>565</v>
      </c>
      <c r="N216" t="s">
        <v>565</v>
      </c>
      <c r="O216" t="s">
        <v>566</v>
      </c>
      <c r="P216" t="s">
        <v>567</v>
      </c>
      <c r="S216" t="s">
        <v>567</v>
      </c>
      <c r="T216" t="s">
        <v>567</v>
      </c>
      <c r="Z216" t="s">
        <v>568</v>
      </c>
      <c r="AA216" t="s">
        <v>568</v>
      </c>
      <c r="AC216" t="str">
        <v>Enright Vintage Park LP</v>
      </c>
    </row>
    <row r="217" spans="1:29">
      <c r="A217" t="s">
        <v>991</v>
      </c>
      <c r="B217" t="s">
        <v>975</v>
      </c>
      <c r="C217" t="s">
        <v>1025</v>
      </c>
      <c r="D217" t="s">
        <v>630</v>
      </c>
      <c r="E217" t="s">
        <v>1051</v>
      </c>
      <c r="F217" t="s">
        <v>562</v>
      </c>
      <c r="G217" t="s">
        <v>562</v>
      </c>
      <c r="H217" t="s">
        <v>562</v>
      </c>
      <c r="I217">
        <v>4667</v>
      </c>
      <c r="J217" t="s">
        <v>564</v>
      </c>
      <c r="K217" s="698">
        <v>45957.54791666667</v>
      </c>
      <c r="L217" s="698">
        <v>45957.54791666667</v>
      </c>
      <c r="M217" t="s">
        <v>565</v>
      </c>
      <c r="N217" t="s">
        <v>565</v>
      </c>
      <c r="O217" t="s">
        <v>566</v>
      </c>
      <c r="P217" t="s">
        <v>567</v>
      </c>
      <c r="S217" t="s">
        <v>567</v>
      </c>
      <c r="T217" t="s">
        <v>567</v>
      </c>
      <c r="Z217" t="s">
        <v>568</v>
      </c>
      <c r="AA217" t="s">
        <v>568</v>
      </c>
      <c r="AC217" t="str">
        <v>Enviroshred Inc</v>
      </c>
    </row>
    <row r="218" spans="1:29">
      <c r="A218" t="s">
        <v>991</v>
      </c>
      <c r="B218" t="s">
        <v>1052</v>
      </c>
      <c r="C218" t="s">
        <v>997</v>
      </c>
      <c r="D218" t="s">
        <v>630</v>
      </c>
      <c r="E218" t="s">
        <v>1053</v>
      </c>
      <c r="F218" t="s">
        <v>562</v>
      </c>
      <c r="G218" t="s">
        <v>562</v>
      </c>
      <c r="H218" t="s">
        <v>562</v>
      </c>
      <c r="I218">
        <v>4669</v>
      </c>
      <c r="J218" t="s">
        <v>564</v>
      </c>
      <c r="K218" s="698">
        <v>45957.54791666667</v>
      </c>
      <c r="L218" s="698">
        <v>45957.54791666667</v>
      </c>
      <c r="M218" t="s">
        <v>565</v>
      </c>
      <c r="N218" t="s">
        <v>565</v>
      </c>
      <c r="O218" t="s">
        <v>566</v>
      </c>
      <c r="P218" t="s">
        <v>567</v>
      </c>
      <c r="S218" t="s">
        <v>567</v>
      </c>
      <c r="T218" t="s">
        <v>567</v>
      </c>
      <c r="Z218" t="s">
        <v>568</v>
      </c>
      <c r="AA218" t="s">
        <v>568</v>
      </c>
      <c r="AC218" t="str">
        <v>Epic Roofing &amp; Exteriors</v>
      </c>
    </row>
    <row r="219" spans="1:29">
      <c r="A219" t="s">
        <v>991</v>
      </c>
      <c r="B219" t="s">
        <v>562</v>
      </c>
      <c r="C219" t="s">
        <v>997</v>
      </c>
      <c r="D219" t="s">
        <v>630</v>
      </c>
      <c r="E219" t="s">
        <v>1054</v>
      </c>
      <c r="F219" t="s">
        <v>562</v>
      </c>
      <c r="G219" t="s">
        <v>562</v>
      </c>
      <c r="H219" t="s">
        <v>562</v>
      </c>
      <c r="I219">
        <v>4714</v>
      </c>
      <c r="J219" t="s">
        <v>564</v>
      </c>
      <c r="K219" s="698">
        <v>45957.549305555556</v>
      </c>
      <c r="L219" s="698">
        <v>45957.549305555556</v>
      </c>
      <c r="M219" t="s">
        <v>565</v>
      </c>
      <c r="N219" t="s">
        <v>565</v>
      </c>
      <c r="O219" t="s">
        <v>566</v>
      </c>
      <c r="P219" t="s">
        <v>567</v>
      </c>
      <c r="S219" t="s">
        <v>567</v>
      </c>
      <c r="T219" t="s">
        <v>567</v>
      </c>
      <c r="Z219" t="s">
        <v>568</v>
      </c>
      <c r="AA219" t="s">
        <v>568</v>
      </c>
      <c r="AC219" t="str">
        <v>Euro Ceramic Tile Distributors Ltd.</v>
      </c>
    </row>
    <row r="220" spans="1:29">
      <c r="A220" t="s">
        <v>991</v>
      </c>
      <c r="B220" t="s">
        <v>999</v>
      </c>
      <c r="C220" t="s">
        <v>562</v>
      </c>
      <c r="D220" t="s">
        <v>630</v>
      </c>
      <c r="E220" t="s">
        <v>1055</v>
      </c>
      <c r="F220" t="s">
        <v>562</v>
      </c>
      <c r="G220" t="s">
        <v>562</v>
      </c>
      <c r="H220" t="s">
        <v>562</v>
      </c>
      <c r="I220">
        <v>4716</v>
      </c>
      <c r="J220" t="s">
        <v>564</v>
      </c>
      <c r="K220" s="698">
        <v>45957.55</v>
      </c>
      <c r="L220" s="698">
        <v>45957.55</v>
      </c>
      <c r="M220" t="s">
        <v>565</v>
      </c>
      <c r="N220" t="s">
        <v>565</v>
      </c>
      <c r="O220" t="s">
        <v>566</v>
      </c>
      <c r="P220" t="s">
        <v>567</v>
      </c>
      <c r="S220" t="s">
        <v>567</v>
      </c>
      <c r="T220" t="s">
        <v>567</v>
      </c>
      <c r="Z220" t="s">
        <v>568</v>
      </c>
      <c r="AA220" t="s">
        <v>568</v>
      </c>
      <c r="AC220" t="str">
        <v>Evergreen Theatre</v>
      </c>
    </row>
    <row r="221" spans="1:29">
      <c r="A221" t="s">
        <v>991</v>
      </c>
      <c r="B221" t="s">
        <v>999</v>
      </c>
      <c r="C221" t="s">
        <v>997</v>
      </c>
      <c r="D221" t="s">
        <v>630</v>
      </c>
      <c r="E221" t="s">
        <v>1056</v>
      </c>
      <c r="F221" t="s">
        <v>562</v>
      </c>
      <c r="G221" t="s">
        <v>562</v>
      </c>
      <c r="H221" t="s">
        <v>562</v>
      </c>
      <c r="I221">
        <v>4727</v>
      </c>
      <c r="J221" t="s">
        <v>564</v>
      </c>
      <c r="K221" s="698">
        <v>45957.55</v>
      </c>
      <c r="L221" s="698">
        <v>45957.55</v>
      </c>
      <c r="M221" t="s">
        <v>565</v>
      </c>
      <c r="N221" t="s">
        <v>565</v>
      </c>
      <c r="O221" t="s">
        <v>566</v>
      </c>
      <c r="P221" t="s">
        <v>567</v>
      </c>
      <c r="S221" t="s">
        <v>567</v>
      </c>
      <c r="T221" t="s">
        <v>567</v>
      </c>
      <c r="Z221" t="s">
        <v>568</v>
      </c>
      <c r="AA221" t="s">
        <v>568</v>
      </c>
      <c r="AC221" t="str">
        <v>Evergreen Village Inc c/o Ronmor Holdings Inc.</v>
      </c>
    </row>
    <row r="222" spans="1:29">
      <c r="A222" t="s">
        <v>991</v>
      </c>
      <c r="B222" t="s">
        <v>999</v>
      </c>
      <c r="C222" t="s">
        <v>997</v>
      </c>
      <c r="D222" t="s">
        <v>630</v>
      </c>
      <c r="E222" t="s">
        <v>1057</v>
      </c>
      <c r="F222" t="s">
        <v>562</v>
      </c>
      <c r="G222" t="s">
        <v>562</v>
      </c>
      <c r="H222" t="s">
        <v>562</v>
      </c>
      <c r="I222">
        <v>4754</v>
      </c>
      <c r="J222" t="s">
        <v>564</v>
      </c>
      <c r="K222" s="698">
        <v>45957.550694444442</v>
      </c>
      <c r="L222" s="698">
        <v>45957.550694444442</v>
      </c>
      <c r="M222" t="s">
        <v>565</v>
      </c>
      <c r="N222" t="s">
        <v>565</v>
      </c>
      <c r="O222" t="s">
        <v>566</v>
      </c>
      <c r="P222" t="s">
        <v>567</v>
      </c>
      <c r="S222" t="s">
        <v>567</v>
      </c>
      <c r="T222" t="s">
        <v>567</v>
      </c>
      <c r="Z222" t="s">
        <v>568</v>
      </c>
      <c r="AA222" t="s">
        <v>568</v>
      </c>
      <c r="AC222" t="str">
        <v>Experience Church</v>
      </c>
    </row>
    <row r="223" spans="1:29">
      <c r="A223" t="s">
        <v>991</v>
      </c>
      <c r="B223" t="s">
        <v>562</v>
      </c>
      <c r="C223" t="s">
        <v>997</v>
      </c>
      <c r="D223" t="s">
        <v>630</v>
      </c>
      <c r="E223" t="s">
        <v>1058</v>
      </c>
      <c r="F223" t="s">
        <v>562</v>
      </c>
      <c r="G223" t="s">
        <v>562</v>
      </c>
      <c r="H223" t="s">
        <v>562</v>
      </c>
      <c r="I223">
        <v>4775</v>
      </c>
      <c r="J223" t="s">
        <v>564</v>
      </c>
      <c r="K223" s="698">
        <v>45957.551388888889</v>
      </c>
      <c r="L223" s="698">
        <v>45957.551388888889</v>
      </c>
      <c r="M223" t="s">
        <v>565</v>
      </c>
      <c r="N223" t="s">
        <v>565</v>
      </c>
      <c r="O223" t="s">
        <v>566</v>
      </c>
      <c r="P223" t="s">
        <v>567</v>
      </c>
      <c r="S223" t="s">
        <v>567</v>
      </c>
      <c r="T223" t="s">
        <v>567</v>
      </c>
      <c r="Z223" t="s">
        <v>568</v>
      </c>
      <c r="AA223" t="s">
        <v>568</v>
      </c>
      <c r="AC223" t="str">
        <v>Father Lacombe Care Centre</v>
      </c>
    </row>
    <row r="224" spans="1:29">
      <c r="A224" t="s">
        <v>991</v>
      </c>
      <c r="B224" t="s">
        <v>996</v>
      </c>
      <c r="C224" t="s">
        <v>997</v>
      </c>
      <c r="D224" t="s">
        <v>630</v>
      </c>
      <c r="E224" t="s">
        <v>1059</v>
      </c>
      <c r="F224" t="s">
        <v>562</v>
      </c>
      <c r="G224" t="s">
        <v>562</v>
      </c>
      <c r="H224" t="s">
        <v>562</v>
      </c>
      <c r="I224">
        <v>4776</v>
      </c>
      <c r="J224" t="s">
        <v>564</v>
      </c>
      <c r="K224" s="698">
        <v>45957.551388888889</v>
      </c>
      <c r="L224" s="698">
        <v>45957.551388888889</v>
      </c>
      <c r="M224" t="s">
        <v>565</v>
      </c>
      <c r="N224" t="s">
        <v>565</v>
      </c>
      <c r="O224" t="s">
        <v>566</v>
      </c>
      <c r="P224" t="s">
        <v>567</v>
      </c>
      <c r="S224" t="s">
        <v>567</v>
      </c>
      <c r="T224" t="s">
        <v>567</v>
      </c>
      <c r="Z224" t="s">
        <v>568</v>
      </c>
      <c r="AA224" t="s">
        <v>568</v>
      </c>
      <c r="AC224" t="str">
        <v>FCR Management Services LP</v>
      </c>
    </row>
    <row r="225" spans="1:29">
      <c r="A225" t="s">
        <v>991</v>
      </c>
      <c r="B225" t="s">
        <v>562</v>
      </c>
      <c r="C225" t="s">
        <v>562</v>
      </c>
      <c r="D225" t="s">
        <v>630</v>
      </c>
      <c r="E225" t="s">
        <v>1060</v>
      </c>
      <c r="F225" t="s">
        <v>562</v>
      </c>
      <c r="G225" t="s">
        <v>562</v>
      </c>
      <c r="H225" t="s">
        <v>562</v>
      </c>
      <c r="I225">
        <v>4800</v>
      </c>
      <c r="J225" t="s">
        <v>564</v>
      </c>
      <c r="K225" s="698">
        <v>45957.552083333336</v>
      </c>
      <c r="L225" s="698">
        <v>45957.552083333336</v>
      </c>
      <c r="M225" t="s">
        <v>565</v>
      </c>
      <c r="N225" t="s">
        <v>565</v>
      </c>
      <c r="O225" t="s">
        <v>566</v>
      </c>
      <c r="P225" t="s">
        <v>567</v>
      </c>
      <c r="S225" t="s">
        <v>567</v>
      </c>
      <c r="T225" t="s">
        <v>567</v>
      </c>
      <c r="Z225" t="s">
        <v>568</v>
      </c>
      <c r="AA225" t="s">
        <v>568</v>
      </c>
      <c r="AC225" t="str">
        <v>Fiera Real Estate Small Cap Ind Fund GP</v>
      </c>
    </row>
    <row r="226" spans="1:29">
      <c r="A226" t="s">
        <v>991</v>
      </c>
      <c r="B226" t="s">
        <v>996</v>
      </c>
      <c r="C226" t="s">
        <v>562</v>
      </c>
      <c r="D226" t="s">
        <v>630</v>
      </c>
      <c r="E226" t="s">
        <v>1061</v>
      </c>
      <c r="F226" t="s">
        <v>562</v>
      </c>
      <c r="G226" t="s">
        <v>562</v>
      </c>
      <c r="H226" t="s">
        <v>562</v>
      </c>
      <c r="I226">
        <v>4828</v>
      </c>
      <c r="J226" t="s">
        <v>564</v>
      </c>
      <c r="K226" s="698">
        <v>45957.553472222222</v>
      </c>
      <c r="L226" s="698">
        <v>45957.553472222222</v>
      </c>
      <c r="M226" t="s">
        <v>565</v>
      </c>
      <c r="N226" t="s">
        <v>565</v>
      </c>
      <c r="O226" t="s">
        <v>566</v>
      </c>
      <c r="P226" t="s">
        <v>567</v>
      </c>
      <c r="S226" t="s">
        <v>567</v>
      </c>
      <c r="T226" t="s">
        <v>567</v>
      </c>
      <c r="Z226" t="s">
        <v>568</v>
      </c>
      <c r="AA226" t="s">
        <v>568</v>
      </c>
      <c r="AC226" t="str">
        <v>Fiera Real Estate Small Cap Invst Fund GP</v>
      </c>
    </row>
    <row r="227" spans="1:29">
      <c r="A227" t="s">
        <v>991</v>
      </c>
      <c r="B227" t="s">
        <v>562</v>
      </c>
      <c r="C227" t="s">
        <v>562</v>
      </c>
      <c r="D227" t="s">
        <v>630</v>
      </c>
      <c r="E227" t="s">
        <v>1062</v>
      </c>
      <c r="F227" t="s">
        <v>562</v>
      </c>
      <c r="G227" t="s">
        <v>562</v>
      </c>
      <c r="H227" t="s">
        <v>562</v>
      </c>
      <c r="I227">
        <v>4856</v>
      </c>
      <c r="J227" t="s">
        <v>564</v>
      </c>
      <c r="K227" s="698">
        <v>45957.554166666669</v>
      </c>
      <c r="L227" s="698">
        <v>45957.554166666669</v>
      </c>
      <c r="M227" t="s">
        <v>565</v>
      </c>
      <c r="N227" t="s">
        <v>565</v>
      </c>
      <c r="O227" t="s">
        <v>566</v>
      </c>
      <c r="P227" t="s">
        <v>567</v>
      </c>
      <c r="S227" t="s">
        <v>567</v>
      </c>
      <c r="T227" t="s">
        <v>567</v>
      </c>
      <c r="Z227" t="s">
        <v>568</v>
      </c>
      <c r="AA227" t="s">
        <v>568</v>
      </c>
      <c r="AC227" t="str">
        <v>Fifth Avenue LP and ARI 5AP Investment LP</v>
      </c>
    </row>
    <row r="228" spans="1:29">
      <c r="A228" t="s">
        <v>991</v>
      </c>
      <c r="B228" t="s">
        <v>562</v>
      </c>
      <c r="C228" t="s">
        <v>562</v>
      </c>
      <c r="D228" t="s">
        <v>630</v>
      </c>
      <c r="E228" t="s">
        <v>812</v>
      </c>
      <c r="F228" t="s">
        <v>562</v>
      </c>
      <c r="G228" t="s">
        <v>562</v>
      </c>
      <c r="H228" t="s">
        <v>562</v>
      </c>
      <c r="I228">
        <v>4868</v>
      </c>
      <c r="J228" t="s">
        <v>564</v>
      </c>
      <c r="K228" s="698">
        <v>45957.554166666669</v>
      </c>
      <c r="L228" s="698">
        <v>45957.554166666669</v>
      </c>
      <c r="M228" t="s">
        <v>565</v>
      </c>
      <c r="N228" t="s">
        <v>565</v>
      </c>
      <c r="O228" t="s">
        <v>566</v>
      </c>
      <c r="P228" t="s">
        <v>567</v>
      </c>
      <c r="S228" t="s">
        <v>567</v>
      </c>
      <c r="T228" t="s">
        <v>567</v>
      </c>
      <c r="Z228" t="s">
        <v>568</v>
      </c>
      <c r="AA228" t="s">
        <v>568</v>
      </c>
      <c r="AC228" t="str">
        <v>Filmanwale Constructions</v>
      </c>
    </row>
    <row r="229" spans="1:29">
      <c r="A229" t="s">
        <v>991</v>
      </c>
      <c r="B229" t="s">
        <v>562</v>
      </c>
      <c r="C229" t="s">
        <v>562</v>
      </c>
      <c r="D229" t="s">
        <v>630</v>
      </c>
      <c r="E229" t="s">
        <v>1063</v>
      </c>
      <c r="F229" t="s">
        <v>562</v>
      </c>
      <c r="G229" t="s">
        <v>562</v>
      </c>
      <c r="H229" t="s">
        <v>562</v>
      </c>
      <c r="I229">
        <v>4925</v>
      </c>
      <c r="J229" t="s">
        <v>564</v>
      </c>
      <c r="K229" s="698">
        <v>45957.556250000001</v>
      </c>
      <c r="L229" s="698">
        <v>45957.556250000001</v>
      </c>
      <c r="M229" t="s">
        <v>565</v>
      </c>
      <c r="N229" t="s">
        <v>565</v>
      </c>
      <c r="O229" t="s">
        <v>566</v>
      </c>
      <c r="P229" t="s">
        <v>567</v>
      </c>
      <c r="S229" t="s">
        <v>567</v>
      </c>
      <c r="T229" t="s">
        <v>567</v>
      </c>
      <c r="Z229" t="s">
        <v>568</v>
      </c>
      <c r="AA229" t="s">
        <v>568</v>
      </c>
      <c r="AC229" t="str">
        <v>Fire Ant Contracting</v>
      </c>
    </row>
    <row r="230" spans="1:29">
      <c r="A230" t="s">
        <v>991</v>
      </c>
      <c r="B230" t="s">
        <v>996</v>
      </c>
      <c r="C230" t="s">
        <v>562</v>
      </c>
      <c r="D230" t="s">
        <v>630</v>
      </c>
      <c r="E230" t="s">
        <v>1064</v>
      </c>
      <c r="F230" t="s">
        <v>562</v>
      </c>
      <c r="G230" t="s">
        <v>562</v>
      </c>
      <c r="H230" t="s">
        <v>562</v>
      </c>
      <c r="I230">
        <v>5037</v>
      </c>
      <c r="J230" t="s">
        <v>564</v>
      </c>
      <c r="K230" s="698">
        <v>45957.55972222222</v>
      </c>
      <c r="L230" s="698">
        <v>45957.55972222222</v>
      </c>
      <c r="M230" t="s">
        <v>565</v>
      </c>
      <c r="N230" t="s">
        <v>565</v>
      </c>
      <c r="O230" t="s">
        <v>566</v>
      </c>
      <c r="P230" t="s">
        <v>567</v>
      </c>
      <c r="S230" t="s">
        <v>567</v>
      </c>
      <c r="T230" t="s">
        <v>567</v>
      </c>
      <c r="Z230" t="s">
        <v>568</v>
      </c>
      <c r="AA230" t="s">
        <v>568</v>
      </c>
      <c r="AC230" t="str">
        <v>First Capital REIT</v>
      </c>
    </row>
    <row r="231" spans="1:29">
      <c r="A231" t="s">
        <v>991</v>
      </c>
      <c r="B231" t="s">
        <v>1065</v>
      </c>
      <c r="C231" t="s">
        <v>1066</v>
      </c>
      <c r="D231" t="s">
        <v>630</v>
      </c>
      <c r="E231" t="s">
        <v>1067</v>
      </c>
      <c r="F231" t="s">
        <v>562</v>
      </c>
      <c r="G231" t="s">
        <v>562</v>
      </c>
      <c r="H231" t="s">
        <v>562</v>
      </c>
      <c r="I231">
        <v>5094</v>
      </c>
      <c r="J231" t="s">
        <v>564</v>
      </c>
      <c r="K231" s="698">
        <v>45957.561111111114</v>
      </c>
      <c r="L231" s="698">
        <v>45957.561111111114</v>
      </c>
      <c r="M231" t="s">
        <v>565</v>
      </c>
      <c r="N231" t="s">
        <v>565</v>
      </c>
      <c r="O231" t="s">
        <v>566</v>
      </c>
      <c r="P231" t="s">
        <v>567</v>
      </c>
      <c r="S231" t="s">
        <v>567</v>
      </c>
      <c r="T231" t="s">
        <v>567</v>
      </c>
      <c r="Z231" t="s">
        <v>568</v>
      </c>
      <c r="AA231" t="s">
        <v>568</v>
      </c>
      <c r="AC231" t="str">
        <v>First Service Residential</v>
      </c>
    </row>
    <row r="232" spans="1:29">
      <c r="A232" t="s">
        <v>991</v>
      </c>
      <c r="B232" t="s">
        <v>562</v>
      </c>
      <c r="C232" t="s">
        <v>562</v>
      </c>
      <c r="D232" t="s">
        <v>630</v>
      </c>
      <c r="E232" t="s">
        <v>1068</v>
      </c>
      <c r="F232" t="s">
        <v>562</v>
      </c>
      <c r="G232" t="s">
        <v>562</v>
      </c>
      <c r="H232" t="s">
        <v>562</v>
      </c>
      <c r="I232">
        <v>5152</v>
      </c>
      <c r="J232" t="s">
        <v>564</v>
      </c>
      <c r="K232" s="698">
        <v>45957.563194444447</v>
      </c>
      <c r="L232" s="698">
        <v>45957.563194444447</v>
      </c>
      <c r="M232" t="s">
        <v>565</v>
      </c>
      <c r="N232" t="s">
        <v>565</v>
      </c>
      <c r="O232" t="s">
        <v>566</v>
      </c>
      <c r="P232" t="s">
        <v>567</v>
      </c>
      <c r="S232" t="s">
        <v>567</v>
      </c>
      <c r="T232" t="s">
        <v>567</v>
      </c>
      <c r="Z232" t="s">
        <v>568</v>
      </c>
      <c r="AA232" t="s">
        <v>568</v>
      </c>
      <c r="AC232" t="str">
        <v>Fitness Plus South</v>
      </c>
    </row>
    <row r="233" spans="1:29">
      <c r="A233" t="s">
        <v>991</v>
      </c>
      <c r="B233" t="s">
        <v>562</v>
      </c>
      <c r="C233" t="s">
        <v>562</v>
      </c>
      <c r="D233" t="s">
        <v>630</v>
      </c>
      <c r="E233" t="s">
        <v>1069</v>
      </c>
      <c r="F233" t="s">
        <v>562</v>
      </c>
      <c r="G233" t="s">
        <v>562</v>
      </c>
      <c r="H233" t="s">
        <v>562</v>
      </c>
      <c r="I233">
        <v>5200</v>
      </c>
      <c r="J233" t="s">
        <v>564</v>
      </c>
      <c r="K233" s="698">
        <v>45957.564583333333</v>
      </c>
      <c r="L233" s="698">
        <v>45957.564583333333</v>
      </c>
      <c r="M233" t="s">
        <v>565</v>
      </c>
      <c r="N233" t="s">
        <v>565</v>
      </c>
      <c r="O233" t="s">
        <v>566</v>
      </c>
      <c r="P233" t="s">
        <v>567</v>
      </c>
      <c r="S233" t="s">
        <v>567</v>
      </c>
      <c r="T233" t="s">
        <v>567</v>
      </c>
      <c r="Z233" t="s">
        <v>568</v>
      </c>
      <c r="AA233" t="s">
        <v>568</v>
      </c>
      <c r="AC233" t="str">
        <v>Flames Community Arena</v>
      </c>
    </row>
    <row r="234" spans="1:29">
      <c r="A234" t="s">
        <v>991</v>
      </c>
      <c r="B234" t="s">
        <v>1070</v>
      </c>
      <c r="C234" t="s">
        <v>562</v>
      </c>
      <c r="D234" t="s">
        <v>1071</v>
      </c>
      <c r="E234" t="s">
        <v>1072</v>
      </c>
      <c r="F234" t="s">
        <v>562</v>
      </c>
      <c r="G234" t="s">
        <v>562</v>
      </c>
      <c r="H234" t="s">
        <v>562</v>
      </c>
      <c r="I234">
        <v>5233</v>
      </c>
      <c r="J234" t="s">
        <v>564</v>
      </c>
      <c r="K234" s="698">
        <v>45992.45</v>
      </c>
      <c r="L234" s="698">
        <v>45992.45</v>
      </c>
      <c r="M234" t="s">
        <v>565</v>
      </c>
      <c r="N234" t="s">
        <v>565</v>
      </c>
      <c r="O234" t="s">
        <v>566</v>
      </c>
      <c r="P234" t="s">
        <v>567</v>
      </c>
      <c r="S234" t="s">
        <v>567</v>
      </c>
      <c r="T234" t="s">
        <v>567</v>
      </c>
      <c r="Z234" t="s">
        <v>826</v>
      </c>
      <c r="AA234" t="s">
        <v>826</v>
      </c>
      <c r="AC234" t="str">
        <v>Flat Roofing Ltd.</v>
      </c>
    </row>
    <row r="235" spans="1:29">
      <c r="A235" t="s">
        <v>1073</v>
      </c>
      <c r="B235" t="s">
        <v>1000</v>
      </c>
      <c r="C235" t="s">
        <v>1074</v>
      </c>
      <c r="D235" t="s">
        <v>630</v>
      </c>
      <c r="E235" t="s">
        <v>1075</v>
      </c>
      <c r="F235" t="s">
        <v>562</v>
      </c>
      <c r="G235" t="s">
        <v>562</v>
      </c>
      <c r="H235" t="s">
        <v>562</v>
      </c>
      <c r="I235">
        <v>4111</v>
      </c>
      <c r="J235" t="s">
        <v>564</v>
      </c>
      <c r="K235" s="698">
        <v>45957.477777777778</v>
      </c>
      <c r="L235" s="698">
        <v>45957.477777777778</v>
      </c>
      <c r="M235" t="s">
        <v>565</v>
      </c>
      <c r="N235" t="s">
        <v>565</v>
      </c>
      <c r="O235" t="s">
        <v>566</v>
      </c>
      <c r="P235" t="s">
        <v>567</v>
      </c>
      <c r="S235" t="s">
        <v>567</v>
      </c>
      <c r="T235" t="s">
        <v>567</v>
      </c>
      <c r="Z235" t="s">
        <v>568</v>
      </c>
      <c r="AA235" t="s">
        <v>568</v>
      </c>
      <c r="AC235" t="str">
        <v>Flynn</v>
      </c>
    </row>
    <row r="236" spans="1:29">
      <c r="A236" t="s">
        <v>1073</v>
      </c>
      <c r="B236" t="s">
        <v>562</v>
      </c>
      <c r="C236" t="s">
        <v>562</v>
      </c>
      <c r="D236" t="s">
        <v>630</v>
      </c>
      <c r="E236" t="s">
        <v>1076</v>
      </c>
      <c r="F236" t="s">
        <v>562</v>
      </c>
      <c r="G236" t="s">
        <v>562</v>
      </c>
      <c r="H236" t="s">
        <v>562</v>
      </c>
      <c r="I236">
        <v>4237</v>
      </c>
      <c r="J236" t="s">
        <v>564</v>
      </c>
      <c r="K236" s="698">
        <v>45957.493055555555</v>
      </c>
      <c r="L236" s="698">
        <v>45957.493055555555</v>
      </c>
      <c r="M236" t="s">
        <v>565</v>
      </c>
      <c r="N236" t="s">
        <v>565</v>
      </c>
      <c r="O236" t="s">
        <v>566</v>
      </c>
      <c r="P236" t="s">
        <v>567</v>
      </c>
      <c r="S236" t="s">
        <v>567</v>
      </c>
      <c r="T236" t="s">
        <v>567</v>
      </c>
      <c r="Z236" t="s">
        <v>568</v>
      </c>
      <c r="AA236" t="s">
        <v>568</v>
      </c>
      <c r="AC236" t="str">
        <v>Foothills Alliance Church</v>
      </c>
    </row>
    <row r="237" spans="1:29">
      <c r="A237" t="s">
        <v>1077</v>
      </c>
      <c r="B237" t="s">
        <v>1078</v>
      </c>
      <c r="C237" t="s">
        <v>1079</v>
      </c>
      <c r="D237" t="s">
        <v>562</v>
      </c>
      <c r="E237" t="s">
        <v>1080</v>
      </c>
      <c r="F237" t="s">
        <v>562</v>
      </c>
      <c r="G237" t="s">
        <v>562</v>
      </c>
      <c r="H237" t="s">
        <v>562</v>
      </c>
      <c r="I237">
        <v>4693</v>
      </c>
      <c r="J237" t="s">
        <v>564</v>
      </c>
      <c r="K237" s="698">
        <v>45957.549305555556</v>
      </c>
      <c r="L237" s="698">
        <v>45957.549305555556</v>
      </c>
      <c r="M237" t="s">
        <v>565</v>
      </c>
      <c r="N237" t="s">
        <v>565</v>
      </c>
      <c r="O237" t="s">
        <v>566</v>
      </c>
      <c r="P237" t="s">
        <v>567</v>
      </c>
      <c r="S237" t="s">
        <v>567</v>
      </c>
      <c r="T237" t="s">
        <v>567</v>
      </c>
      <c r="Z237" t="s">
        <v>568</v>
      </c>
      <c r="AA237" t="s">
        <v>568</v>
      </c>
      <c r="AC237" t="str">
        <v>Foothills Calgary GP Inc</v>
      </c>
    </row>
    <row r="238" spans="1:29">
      <c r="A238" t="s">
        <v>1077</v>
      </c>
      <c r="B238" t="s">
        <v>1081</v>
      </c>
      <c r="C238" t="s">
        <v>1079</v>
      </c>
      <c r="D238" t="s">
        <v>562</v>
      </c>
      <c r="E238" t="s">
        <v>1082</v>
      </c>
      <c r="F238" t="s">
        <v>562</v>
      </c>
      <c r="G238" t="s">
        <v>562</v>
      </c>
      <c r="H238" t="s">
        <v>562</v>
      </c>
      <c r="I238">
        <v>4763</v>
      </c>
      <c r="J238" t="s">
        <v>564</v>
      </c>
      <c r="K238" s="698">
        <v>45957.551388888889</v>
      </c>
      <c r="L238" s="698">
        <v>45957.551388888889</v>
      </c>
      <c r="M238" t="s">
        <v>565</v>
      </c>
      <c r="N238" t="s">
        <v>565</v>
      </c>
      <c r="O238" t="s">
        <v>566</v>
      </c>
      <c r="P238" t="s">
        <v>567</v>
      </c>
      <c r="S238" t="s">
        <v>567</v>
      </c>
      <c r="T238" t="s">
        <v>567</v>
      </c>
      <c r="Z238" t="s">
        <v>568</v>
      </c>
      <c r="AA238" t="s">
        <v>568</v>
      </c>
      <c r="AC238" t="str">
        <v>Foothills County</v>
      </c>
    </row>
    <row r="239" spans="1:29">
      <c r="A239" t="s">
        <v>1083</v>
      </c>
      <c r="B239" t="s">
        <v>1084</v>
      </c>
      <c r="C239" t="s">
        <v>1085</v>
      </c>
      <c r="D239" t="s">
        <v>1086</v>
      </c>
      <c r="E239" t="s">
        <v>562</v>
      </c>
      <c r="F239" t="s">
        <v>562</v>
      </c>
      <c r="G239" t="s">
        <v>562</v>
      </c>
      <c r="H239" t="s">
        <v>562</v>
      </c>
      <c r="I239">
        <v>3506</v>
      </c>
      <c r="J239" t="s">
        <v>564</v>
      </c>
      <c r="K239" s="698">
        <v>45957.411805555559</v>
      </c>
      <c r="L239" s="698">
        <v>45957.411805555559</v>
      </c>
      <c r="M239" t="s">
        <v>565</v>
      </c>
      <c r="N239" t="s">
        <v>565</v>
      </c>
      <c r="O239" t="s">
        <v>566</v>
      </c>
      <c r="P239" t="s">
        <v>567</v>
      </c>
      <c r="S239" t="s">
        <v>567</v>
      </c>
      <c r="T239" t="s">
        <v>567</v>
      </c>
      <c r="Z239" t="s">
        <v>568</v>
      </c>
      <c r="AA239" t="s">
        <v>568</v>
      </c>
      <c r="AC239" t="str">
        <v>Forbes Bros LTD.</v>
      </c>
    </row>
    <row r="240" spans="1:29">
      <c r="A240" t="s">
        <v>1083</v>
      </c>
      <c r="B240" t="s">
        <v>1084</v>
      </c>
      <c r="C240" t="s">
        <v>562</v>
      </c>
      <c r="D240" t="s">
        <v>562</v>
      </c>
      <c r="E240" t="s">
        <v>1087</v>
      </c>
      <c r="F240" t="s">
        <v>562</v>
      </c>
      <c r="G240" t="s">
        <v>562</v>
      </c>
      <c r="H240" t="s">
        <v>562</v>
      </c>
      <c r="I240">
        <v>4561</v>
      </c>
      <c r="J240" t="s">
        <v>564</v>
      </c>
      <c r="K240" s="698">
        <v>45957.533333333333</v>
      </c>
      <c r="L240" s="698">
        <v>45957.533333333333</v>
      </c>
      <c r="M240" t="s">
        <v>565</v>
      </c>
      <c r="N240" t="s">
        <v>565</v>
      </c>
      <c r="O240" t="s">
        <v>566</v>
      </c>
      <c r="P240" t="s">
        <v>567</v>
      </c>
      <c r="S240" t="s">
        <v>567</v>
      </c>
      <c r="T240" t="s">
        <v>567</v>
      </c>
      <c r="Z240" t="s">
        <v>568</v>
      </c>
      <c r="AA240" t="s">
        <v>568</v>
      </c>
      <c r="AC240" t="str">
        <v>Forsyth, Ron</v>
      </c>
    </row>
    <row r="241" spans="1:29">
      <c r="A241" t="s">
        <v>1088</v>
      </c>
      <c r="B241" t="s">
        <v>1089</v>
      </c>
      <c r="C241" t="s">
        <v>1090</v>
      </c>
      <c r="D241" t="s">
        <v>562</v>
      </c>
      <c r="E241" t="s">
        <v>1091</v>
      </c>
      <c r="F241" t="s">
        <v>562</v>
      </c>
      <c r="G241" t="s">
        <v>562</v>
      </c>
      <c r="H241" t="s">
        <v>562</v>
      </c>
      <c r="I241">
        <v>3852</v>
      </c>
      <c r="J241" t="s">
        <v>564</v>
      </c>
      <c r="K241" s="698">
        <v>45957.447916666664</v>
      </c>
      <c r="L241" s="698">
        <v>45957.447916666664</v>
      </c>
      <c r="M241" t="s">
        <v>565</v>
      </c>
      <c r="N241" t="s">
        <v>565</v>
      </c>
      <c r="O241" t="s">
        <v>566</v>
      </c>
      <c r="P241" t="s">
        <v>567</v>
      </c>
      <c r="S241" t="s">
        <v>567</v>
      </c>
      <c r="T241" t="s">
        <v>567</v>
      </c>
      <c r="Z241" t="s">
        <v>568</v>
      </c>
      <c r="AA241" t="s">
        <v>568</v>
      </c>
      <c r="AC241" t="str">
        <v>Foundation Property Management Inc.</v>
      </c>
    </row>
    <row r="242" spans="1:29">
      <c r="A242" t="s">
        <v>1088</v>
      </c>
      <c r="B242" t="s">
        <v>1089</v>
      </c>
      <c r="C242" t="s">
        <v>1092</v>
      </c>
      <c r="D242" t="s">
        <v>562</v>
      </c>
      <c r="E242" t="s">
        <v>1093</v>
      </c>
      <c r="F242" t="s">
        <v>562</v>
      </c>
      <c r="G242" t="s">
        <v>562</v>
      </c>
      <c r="H242" t="s">
        <v>562</v>
      </c>
      <c r="I242">
        <v>4204</v>
      </c>
      <c r="J242" t="s">
        <v>564</v>
      </c>
      <c r="K242" s="698">
        <v>45957.488888888889</v>
      </c>
      <c r="L242" s="698">
        <v>45957.488888888889</v>
      </c>
      <c r="M242" t="s">
        <v>565</v>
      </c>
      <c r="N242" t="s">
        <v>565</v>
      </c>
      <c r="O242" t="s">
        <v>566</v>
      </c>
      <c r="P242" t="s">
        <v>567</v>
      </c>
      <c r="S242" t="s">
        <v>567</v>
      </c>
      <c r="T242" t="s">
        <v>567</v>
      </c>
      <c r="Z242" t="s">
        <v>568</v>
      </c>
      <c r="AA242" t="s">
        <v>568</v>
      </c>
      <c r="AC242" t="str">
        <v>Fountainhead Mechanical</v>
      </c>
    </row>
    <row r="243" spans="1:29">
      <c r="A243" t="s">
        <v>1088</v>
      </c>
      <c r="B243" t="s">
        <v>1094</v>
      </c>
      <c r="C243" t="s">
        <v>1095</v>
      </c>
      <c r="D243" t="s">
        <v>562</v>
      </c>
      <c r="E243" t="s">
        <v>1096</v>
      </c>
      <c r="F243" t="s">
        <v>562</v>
      </c>
      <c r="G243" t="s">
        <v>562</v>
      </c>
      <c r="H243" t="s">
        <v>562</v>
      </c>
      <c r="I243">
        <v>4782</v>
      </c>
      <c r="J243" t="s">
        <v>564</v>
      </c>
      <c r="K243" s="698">
        <v>45957.552083333336</v>
      </c>
      <c r="L243" s="698">
        <v>45957.552083333336</v>
      </c>
      <c r="M243" t="s">
        <v>565</v>
      </c>
      <c r="N243" t="s">
        <v>565</v>
      </c>
      <c r="O243" t="s">
        <v>566</v>
      </c>
      <c r="P243" t="s">
        <v>567</v>
      </c>
      <c r="S243" t="s">
        <v>567</v>
      </c>
      <c r="T243" t="s">
        <v>567</v>
      </c>
      <c r="Z243" t="s">
        <v>568</v>
      </c>
      <c r="AA243" t="s">
        <v>568</v>
      </c>
      <c r="AC243" t="str">
        <v>Foxhaven Homes Inc.</v>
      </c>
    </row>
    <row r="244" spans="1:29">
      <c r="A244" t="s">
        <v>1097</v>
      </c>
      <c r="B244" t="s">
        <v>1098</v>
      </c>
      <c r="C244" t="s">
        <v>562</v>
      </c>
      <c r="D244" t="s">
        <v>562</v>
      </c>
      <c r="E244" t="s">
        <v>1099</v>
      </c>
      <c r="F244" t="s">
        <v>562</v>
      </c>
      <c r="G244" t="s">
        <v>562</v>
      </c>
      <c r="H244" t="s">
        <v>562</v>
      </c>
      <c r="I244">
        <v>3727</v>
      </c>
      <c r="J244" t="s">
        <v>564</v>
      </c>
      <c r="K244" s="698">
        <v>45957.434027777781</v>
      </c>
      <c r="L244" s="698">
        <v>45957.434027777781</v>
      </c>
      <c r="M244" t="s">
        <v>565</v>
      </c>
      <c r="N244" t="s">
        <v>565</v>
      </c>
      <c r="O244" t="s">
        <v>566</v>
      </c>
      <c r="P244" t="s">
        <v>567</v>
      </c>
      <c r="S244" t="s">
        <v>567</v>
      </c>
      <c r="T244" t="s">
        <v>567</v>
      </c>
      <c r="Z244" t="s">
        <v>568</v>
      </c>
      <c r="AA244" t="s">
        <v>568</v>
      </c>
      <c r="AC244" t="str">
        <v>Fresh Prep</v>
      </c>
    </row>
    <row r="245" spans="1:29">
      <c r="A245" t="s">
        <v>1100</v>
      </c>
      <c r="B245" t="s">
        <v>1101</v>
      </c>
      <c r="C245" t="s">
        <v>1102</v>
      </c>
      <c r="D245" t="s">
        <v>1103</v>
      </c>
      <c r="E245" t="s">
        <v>562</v>
      </c>
      <c r="F245" t="s">
        <v>562</v>
      </c>
      <c r="G245" t="s">
        <v>562</v>
      </c>
      <c r="H245" t="s">
        <v>562</v>
      </c>
      <c r="I245">
        <v>3507</v>
      </c>
      <c r="J245" t="s">
        <v>564</v>
      </c>
      <c r="K245" s="698">
        <v>45957.411805555559</v>
      </c>
      <c r="L245" s="698">
        <v>45957.411805555559</v>
      </c>
      <c r="M245" t="s">
        <v>565</v>
      </c>
      <c r="N245" t="s">
        <v>565</v>
      </c>
      <c r="O245" t="s">
        <v>566</v>
      </c>
      <c r="P245" t="s">
        <v>567</v>
      </c>
      <c r="S245" t="s">
        <v>567</v>
      </c>
      <c r="T245" t="s">
        <v>567</v>
      </c>
      <c r="Z245" t="s">
        <v>568</v>
      </c>
      <c r="AA245" t="s">
        <v>568</v>
      </c>
      <c r="AC245" t="str">
        <v>Gapanow Construction Ltd.</v>
      </c>
    </row>
    <row r="246" spans="1:29">
      <c r="A246" t="s">
        <v>1104</v>
      </c>
      <c r="B246" t="s">
        <v>1105</v>
      </c>
      <c r="C246" t="s">
        <v>1106</v>
      </c>
      <c r="D246" t="s">
        <v>1107</v>
      </c>
      <c r="E246" t="s">
        <v>1108</v>
      </c>
      <c r="F246" t="s">
        <v>562</v>
      </c>
      <c r="G246" t="s">
        <v>562</v>
      </c>
      <c r="H246" t="s">
        <v>562</v>
      </c>
      <c r="I246">
        <v>3972</v>
      </c>
      <c r="J246" t="s">
        <v>564</v>
      </c>
      <c r="K246" s="698">
        <v>45957.461111111108</v>
      </c>
      <c r="L246" s="698">
        <v>45957.461111111108</v>
      </c>
      <c r="M246" t="s">
        <v>565</v>
      </c>
      <c r="N246" t="s">
        <v>565</v>
      </c>
      <c r="O246" t="s">
        <v>566</v>
      </c>
      <c r="P246" t="s">
        <v>567</v>
      </c>
      <c r="S246" t="s">
        <v>567</v>
      </c>
      <c r="T246" t="s">
        <v>567</v>
      </c>
      <c r="Z246" t="s">
        <v>568</v>
      </c>
      <c r="AA246" t="s">
        <v>568</v>
      </c>
      <c r="AC246" t="str">
        <v>Garland Canada INC.</v>
      </c>
    </row>
    <row r="247" spans="1:29">
      <c r="A247" t="s">
        <v>1109</v>
      </c>
      <c r="B247" t="s">
        <v>1110</v>
      </c>
      <c r="C247" t="s">
        <v>562</v>
      </c>
      <c r="D247" t="s">
        <v>562</v>
      </c>
      <c r="E247" t="s">
        <v>1111</v>
      </c>
      <c r="F247" t="s">
        <v>562</v>
      </c>
      <c r="G247" t="s">
        <v>562</v>
      </c>
      <c r="H247" t="s">
        <v>562</v>
      </c>
      <c r="I247">
        <v>4316</v>
      </c>
      <c r="J247" t="s">
        <v>564</v>
      </c>
      <c r="K247" s="698">
        <v>45957.503472222219</v>
      </c>
      <c r="L247" s="698">
        <v>45957.503472222219</v>
      </c>
      <c r="M247" t="s">
        <v>565</v>
      </c>
      <c r="N247" t="s">
        <v>565</v>
      </c>
      <c r="O247" t="s">
        <v>566</v>
      </c>
      <c r="P247" t="s">
        <v>567</v>
      </c>
      <c r="S247" t="s">
        <v>567</v>
      </c>
      <c r="T247" t="s">
        <v>567</v>
      </c>
      <c r="Z247" t="s">
        <v>568</v>
      </c>
      <c r="AA247" t="s">
        <v>568</v>
      </c>
      <c r="AC247" t="str">
        <v>Garrison Corner INC.</v>
      </c>
    </row>
    <row r="248" spans="1:29">
      <c r="A248" t="s">
        <v>1109</v>
      </c>
      <c r="B248" t="s">
        <v>870</v>
      </c>
      <c r="C248" t="s">
        <v>562</v>
      </c>
      <c r="D248" t="s">
        <v>562</v>
      </c>
      <c r="E248" t="s">
        <v>1112</v>
      </c>
      <c r="F248" t="s">
        <v>562</v>
      </c>
      <c r="G248" t="s">
        <v>562</v>
      </c>
      <c r="H248" t="s">
        <v>562</v>
      </c>
      <c r="I248">
        <v>4762</v>
      </c>
      <c r="J248" t="s">
        <v>564</v>
      </c>
      <c r="K248" s="698">
        <v>45957.551388888889</v>
      </c>
      <c r="L248" s="698">
        <v>45957.551388888889</v>
      </c>
      <c r="M248" t="s">
        <v>565</v>
      </c>
      <c r="N248" t="s">
        <v>565</v>
      </c>
      <c r="O248" t="s">
        <v>566</v>
      </c>
      <c r="P248" t="s">
        <v>567</v>
      </c>
      <c r="S248" t="s">
        <v>567</v>
      </c>
      <c r="T248" t="s">
        <v>567</v>
      </c>
      <c r="Z248" t="s">
        <v>568</v>
      </c>
      <c r="AA248" t="s">
        <v>568</v>
      </c>
      <c r="AC248" t="str">
        <v>Gary Cochrane</v>
      </c>
    </row>
    <row r="249" spans="1:29">
      <c r="A249" t="s">
        <v>1113</v>
      </c>
      <c r="B249" t="s">
        <v>1114</v>
      </c>
      <c r="C249" t="s">
        <v>1115</v>
      </c>
      <c r="D249" t="s">
        <v>562</v>
      </c>
      <c r="E249" t="s">
        <v>1116</v>
      </c>
      <c r="F249" t="s">
        <v>562</v>
      </c>
      <c r="G249" t="s">
        <v>562</v>
      </c>
      <c r="H249" t="s">
        <v>562</v>
      </c>
      <c r="I249">
        <v>4552</v>
      </c>
      <c r="J249" t="s">
        <v>564</v>
      </c>
      <c r="K249" s="698">
        <v>45957.532638888886</v>
      </c>
      <c r="L249" s="698">
        <v>45957.532638888886</v>
      </c>
      <c r="M249" t="s">
        <v>565</v>
      </c>
      <c r="N249" t="s">
        <v>565</v>
      </c>
      <c r="O249" t="s">
        <v>566</v>
      </c>
      <c r="P249" t="s">
        <v>567</v>
      </c>
      <c r="S249" t="s">
        <v>567</v>
      </c>
      <c r="T249" t="s">
        <v>567</v>
      </c>
      <c r="Z249" t="s">
        <v>568</v>
      </c>
      <c r="AA249" t="s">
        <v>568</v>
      </c>
      <c r="AC249" t="str">
        <v>Gateway Mechanical</v>
      </c>
    </row>
    <row r="250" spans="1:29">
      <c r="A250" t="s">
        <v>1117</v>
      </c>
      <c r="B250" t="s">
        <v>1118</v>
      </c>
      <c r="C250" t="s">
        <v>1119</v>
      </c>
      <c r="D250" t="s">
        <v>1120</v>
      </c>
      <c r="E250" t="s">
        <v>1121</v>
      </c>
      <c r="F250" t="s">
        <v>562</v>
      </c>
      <c r="G250" t="s">
        <v>562</v>
      </c>
      <c r="H250" t="s">
        <v>562</v>
      </c>
      <c r="I250">
        <v>5016</v>
      </c>
      <c r="J250" t="s">
        <v>564</v>
      </c>
      <c r="K250" s="698">
        <v>45957.559027777781</v>
      </c>
      <c r="L250" s="698">
        <v>45957.559027777781</v>
      </c>
      <c r="M250" t="s">
        <v>565</v>
      </c>
      <c r="N250" t="s">
        <v>565</v>
      </c>
      <c r="O250" t="s">
        <v>566</v>
      </c>
      <c r="P250" t="s">
        <v>567</v>
      </c>
      <c r="S250" t="s">
        <v>567</v>
      </c>
      <c r="T250" t="s">
        <v>567</v>
      </c>
      <c r="Z250" t="s">
        <v>568</v>
      </c>
      <c r="AA250" t="s">
        <v>568</v>
      </c>
      <c r="AC250" t="str">
        <v xml:space="preserve">GBM Trailers </v>
      </c>
    </row>
    <row r="251" spans="1:29">
      <c r="A251" t="s">
        <v>1122</v>
      </c>
      <c r="B251" t="s">
        <v>1123</v>
      </c>
      <c r="C251" t="s">
        <v>1124</v>
      </c>
      <c r="D251" t="s">
        <v>1125</v>
      </c>
      <c r="E251" t="s">
        <v>1126</v>
      </c>
      <c r="F251" t="s">
        <v>562</v>
      </c>
      <c r="G251" t="s">
        <v>562</v>
      </c>
      <c r="H251" t="s">
        <v>562</v>
      </c>
      <c r="I251">
        <v>3581</v>
      </c>
      <c r="J251" t="s">
        <v>564</v>
      </c>
      <c r="K251" s="698">
        <v>45957.418055555558</v>
      </c>
      <c r="L251" s="698">
        <v>45957.418055555558</v>
      </c>
      <c r="M251" t="s">
        <v>565</v>
      </c>
      <c r="N251" t="s">
        <v>565</v>
      </c>
      <c r="O251" t="s">
        <v>566</v>
      </c>
      <c r="P251" t="s">
        <v>567</v>
      </c>
      <c r="S251" t="s">
        <v>567</v>
      </c>
      <c r="T251" t="s">
        <v>567</v>
      </c>
      <c r="Z251" t="s">
        <v>568</v>
      </c>
      <c r="AA251" t="s">
        <v>568</v>
      </c>
      <c r="AC251" t="str">
        <v>GCCI Canada Inc.</v>
      </c>
    </row>
    <row r="252" spans="1:29">
      <c r="A252" t="s">
        <v>1122</v>
      </c>
      <c r="B252" t="s">
        <v>1127</v>
      </c>
      <c r="C252" t="s">
        <v>1128</v>
      </c>
      <c r="D252" t="s">
        <v>1125</v>
      </c>
      <c r="E252" t="s">
        <v>1129</v>
      </c>
      <c r="F252" t="s">
        <v>562</v>
      </c>
      <c r="G252" t="s">
        <v>562</v>
      </c>
      <c r="H252" t="s">
        <v>562</v>
      </c>
      <c r="I252">
        <v>3593</v>
      </c>
      <c r="J252" t="s">
        <v>564</v>
      </c>
      <c r="K252" s="698">
        <v>45957.419444444444</v>
      </c>
      <c r="L252" s="698">
        <v>45957.419444444444</v>
      </c>
      <c r="M252" t="s">
        <v>565</v>
      </c>
      <c r="N252" t="s">
        <v>565</v>
      </c>
      <c r="O252" t="s">
        <v>566</v>
      </c>
      <c r="P252" t="s">
        <v>567</v>
      </c>
      <c r="S252" t="s">
        <v>567</v>
      </c>
      <c r="T252" t="s">
        <v>567</v>
      </c>
      <c r="Z252" t="s">
        <v>568</v>
      </c>
      <c r="AA252" t="s">
        <v>568</v>
      </c>
      <c r="AC252" t="str">
        <v>Gillfor Distribution</v>
      </c>
    </row>
    <row r="253" spans="1:29">
      <c r="A253" t="s">
        <v>1122</v>
      </c>
      <c r="B253" t="s">
        <v>562</v>
      </c>
      <c r="C253" t="s">
        <v>562</v>
      </c>
      <c r="D253" t="s">
        <v>1125</v>
      </c>
      <c r="E253" t="s">
        <v>1130</v>
      </c>
      <c r="F253" t="s">
        <v>562</v>
      </c>
      <c r="G253" t="s">
        <v>562</v>
      </c>
      <c r="H253" t="s">
        <v>562</v>
      </c>
      <c r="I253">
        <v>3594</v>
      </c>
      <c r="J253" t="s">
        <v>564</v>
      </c>
      <c r="K253" s="698">
        <v>45957.419444444444</v>
      </c>
      <c r="L253" s="698">
        <v>45957.419444444444</v>
      </c>
      <c r="M253" t="s">
        <v>565</v>
      </c>
      <c r="N253" t="s">
        <v>565</v>
      </c>
      <c r="O253" t="s">
        <v>566</v>
      </c>
      <c r="P253" t="s">
        <v>567</v>
      </c>
      <c r="S253" t="s">
        <v>567</v>
      </c>
      <c r="T253" t="s">
        <v>567</v>
      </c>
      <c r="Z253" t="s">
        <v>568</v>
      </c>
      <c r="AA253" t="s">
        <v>568</v>
      </c>
      <c r="AC253" t="str">
        <v>Golden Hills School Division</v>
      </c>
    </row>
    <row r="254" spans="1:29">
      <c r="A254" t="s">
        <v>1122</v>
      </c>
      <c r="B254" t="s">
        <v>1131</v>
      </c>
      <c r="C254" t="s">
        <v>562</v>
      </c>
      <c r="D254" t="s">
        <v>1125</v>
      </c>
      <c r="E254" t="s">
        <v>1132</v>
      </c>
      <c r="F254" t="s">
        <v>562</v>
      </c>
      <c r="G254" t="s">
        <v>562</v>
      </c>
      <c r="H254" t="s">
        <v>562</v>
      </c>
      <c r="I254">
        <v>3624</v>
      </c>
      <c r="J254" t="s">
        <v>564</v>
      </c>
      <c r="K254" s="698">
        <v>45957.42291666667</v>
      </c>
      <c r="L254" s="698">
        <v>45957.42291666667</v>
      </c>
      <c r="M254" t="s">
        <v>565</v>
      </c>
      <c r="N254" t="s">
        <v>565</v>
      </c>
      <c r="O254" t="s">
        <v>566</v>
      </c>
      <c r="P254" t="s">
        <v>567</v>
      </c>
      <c r="S254" t="s">
        <v>567</v>
      </c>
      <c r="T254" t="s">
        <v>567</v>
      </c>
      <c r="Z254" t="s">
        <v>568</v>
      </c>
      <c r="AA254" t="s">
        <v>568</v>
      </c>
      <c r="AC254" t="str">
        <v>Granite Contracting Inc.</v>
      </c>
    </row>
    <row r="255" spans="1:29">
      <c r="A255" t="s">
        <v>1122</v>
      </c>
      <c r="B255" t="s">
        <v>1133</v>
      </c>
      <c r="C255" t="s">
        <v>1134</v>
      </c>
      <c r="D255" t="s">
        <v>1125</v>
      </c>
      <c r="E255" t="s">
        <v>1135</v>
      </c>
      <c r="F255" t="s">
        <v>562</v>
      </c>
      <c r="G255" t="s">
        <v>562</v>
      </c>
      <c r="H255" t="s">
        <v>562</v>
      </c>
      <c r="I255">
        <v>3755</v>
      </c>
      <c r="J255" t="s">
        <v>564</v>
      </c>
      <c r="K255" s="698">
        <v>45957.436805555553</v>
      </c>
      <c r="L255" s="698">
        <v>45957.436805555553</v>
      </c>
      <c r="M255" t="s">
        <v>565</v>
      </c>
      <c r="N255" t="s">
        <v>565</v>
      </c>
      <c r="O255" t="s">
        <v>566</v>
      </c>
      <c r="P255" t="s">
        <v>567</v>
      </c>
      <c r="S255" t="s">
        <v>567</v>
      </c>
      <c r="T255" t="s">
        <v>567</v>
      </c>
      <c r="Z255" t="s">
        <v>568</v>
      </c>
      <c r="AA255" t="s">
        <v>568</v>
      </c>
      <c r="AC255" t="str">
        <v>Great Northern Plumbing</v>
      </c>
    </row>
    <row r="256" spans="1:29">
      <c r="A256" t="s">
        <v>1122</v>
      </c>
      <c r="B256" t="s">
        <v>1018</v>
      </c>
      <c r="C256" t="s">
        <v>1128</v>
      </c>
      <c r="D256" t="s">
        <v>1125</v>
      </c>
      <c r="E256" t="s">
        <v>1136</v>
      </c>
      <c r="F256" t="s">
        <v>562</v>
      </c>
      <c r="G256" t="s">
        <v>562</v>
      </c>
      <c r="H256" t="s">
        <v>562</v>
      </c>
      <c r="I256">
        <v>3760</v>
      </c>
      <c r="J256" t="s">
        <v>564</v>
      </c>
      <c r="K256" s="698">
        <v>45957.4375</v>
      </c>
      <c r="L256" s="698">
        <v>45957.4375</v>
      </c>
      <c r="M256" t="s">
        <v>565</v>
      </c>
      <c r="N256" t="s">
        <v>565</v>
      </c>
      <c r="O256" t="s">
        <v>566</v>
      </c>
      <c r="P256" t="s">
        <v>567</v>
      </c>
      <c r="S256" t="s">
        <v>567</v>
      </c>
      <c r="T256" t="s">
        <v>567</v>
      </c>
      <c r="Z256" t="s">
        <v>568</v>
      </c>
      <c r="AA256" t="s">
        <v>568</v>
      </c>
      <c r="AC256" t="str">
        <v>Green Chilli Strathcona</v>
      </c>
    </row>
    <row r="257" spans="1:29">
      <c r="A257" t="s">
        <v>1122</v>
      </c>
      <c r="B257" t="s">
        <v>562</v>
      </c>
      <c r="C257" t="s">
        <v>562</v>
      </c>
      <c r="D257" t="s">
        <v>1125</v>
      </c>
      <c r="E257" t="s">
        <v>1137</v>
      </c>
      <c r="F257" t="s">
        <v>562</v>
      </c>
      <c r="G257" t="s">
        <v>562</v>
      </c>
      <c r="H257" t="s">
        <v>562</v>
      </c>
      <c r="I257">
        <v>3773</v>
      </c>
      <c r="J257" t="s">
        <v>564</v>
      </c>
      <c r="K257" s="698">
        <v>45957.438888888886</v>
      </c>
      <c r="L257" s="698">
        <v>45957.438888888886</v>
      </c>
      <c r="M257" t="s">
        <v>565</v>
      </c>
      <c r="N257" t="s">
        <v>565</v>
      </c>
      <c r="O257" t="s">
        <v>566</v>
      </c>
      <c r="P257" t="s">
        <v>567</v>
      </c>
      <c r="S257" t="s">
        <v>567</v>
      </c>
      <c r="T257" t="s">
        <v>567</v>
      </c>
      <c r="Z257" t="s">
        <v>568</v>
      </c>
      <c r="AA257" t="s">
        <v>568</v>
      </c>
      <c r="AC257" t="str">
        <v>Greenlight Power</v>
      </c>
    </row>
    <row r="258" spans="1:29">
      <c r="A258" t="s">
        <v>1122</v>
      </c>
      <c r="B258" t="s">
        <v>562</v>
      </c>
      <c r="C258" t="s">
        <v>562</v>
      </c>
      <c r="D258" t="s">
        <v>1125</v>
      </c>
      <c r="E258" t="s">
        <v>1138</v>
      </c>
      <c r="F258" t="s">
        <v>562</v>
      </c>
      <c r="G258" t="s">
        <v>562</v>
      </c>
      <c r="H258" t="s">
        <v>562</v>
      </c>
      <c r="I258">
        <v>3777</v>
      </c>
      <c r="J258" t="s">
        <v>564</v>
      </c>
      <c r="K258" s="698">
        <v>45957.438888888886</v>
      </c>
      <c r="L258" s="698">
        <v>45957.438888888886</v>
      </c>
      <c r="M258" t="s">
        <v>565</v>
      </c>
      <c r="N258" t="s">
        <v>565</v>
      </c>
      <c r="O258" t="s">
        <v>566</v>
      </c>
      <c r="P258" t="s">
        <v>567</v>
      </c>
      <c r="S258" t="s">
        <v>567</v>
      </c>
      <c r="T258" t="s">
        <v>567</v>
      </c>
      <c r="Z258" t="s">
        <v>568</v>
      </c>
      <c r="AA258" t="s">
        <v>568</v>
      </c>
      <c r="AC258" t="str">
        <v>Greystone Property Management Corp</v>
      </c>
    </row>
    <row r="259" spans="1:29">
      <c r="A259" t="s">
        <v>1122</v>
      </c>
      <c r="B259" t="s">
        <v>562</v>
      </c>
      <c r="C259" t="s">
        <v>562</v>
      </c>
      <c r="D259" t="s">
        <v>1125</v>
      </c>
      <c r="E259" t="s">
        <v>1139</v>
      </c>
      <c r="F259" t="s">
        <v>562</v>
      </c>
      <c r="G259" t="s">
        <v>562</v>
      </c>
      <c r="H259" t="s">
        <v>562</v>
      </c>
      <c r="I259">
        <v>3779</v>
      </c>
      <c r="J259" t="s">
        <v>564</v>
      </c>
      <c r="K259" s="698">
        <v>45957.439583333333</v>
      </c>
      <c r="L259" s="698">
        <v>45957.439583333333</v>
      </c>
      <c r="M259" t="s">
        <v>565</v>
      </c>
      <c r="N259" t="s">
        <v>565</v>
      </c>
      <c r="O259" t="s">
        <v>566</v>
      </c>
      <c r="P259" t="s">
        <v>567</v>
      </c>
      <c r="S259" t="s">
        <v>567</v>
      </c>
      <c r="T259" t="s">
        <v>567</v>
      </c>
      <c r="Z259" t="s">
        <v>568</v>
      </c>
      <c r="AA259" t="s">
        <v>568</v>
      </c>
      <c r="AC259" t="str">
        <v>Group Ulisse Inc</v>
      </c>
    </row>
    <row r="260" spans="1:29">
      <c r="A260" t="s">
        <v>1122</v>
      </c>
      <c r="B260" t="s">
        <v>562</v>
      </c>
      <c r="C260" t="s">
        <v>562</v>
      </c>
      <c r="D260" t="s">
        <v>1125</v>
      </c>
      <c r="E260" t="s">
        <v>1140</v>
      </c>
      <c r="F260" t="s">
        <v>562</v>
      </c>
      <c r="G260" t="s">
        <v>562</v>
      </c>
      <c r="H260" t="s">
        <v>562</v>
      </c>
      <c r="I260">
        <v>3842</v>
      </c>
      <c r="J260" t="s">
        <v>564</v>
      </c>
      <c r="K260" s="698">
        <v>45957.446527777778</v>
      </c>
      <c r="L260" s="698">
        <v>45957.446527777778</v>
      </c>
      <c r="M260" t="s">
        <v>565</v>
      </c>
      <c r="N260" t="s">
        <v>565</v>
      </c>
      <c r="O260" t="s">
        <v>566</v>
      </c>
      <c r="P260" t="s">
        <v>567</v>
      </c>
      <c r="S260" t="s">
        <v>567</v>
      </c>
      <c r="T260" t="s">
        <v>567</v>
      </c>
      <c r="Z260" t="s">
        <v>568</v>
      </c>
      <c r="AA260" t="s">
        <v>568</v>
      </c>
      <c r="AC260" t="str">
        <v>GWL Reality Advisors</v>
      </c>
    </row>
    <row r="261" spans="1:29">
      <c r="A261" t="s">
        <v>1122</v>
      </c>
      <c r="B261" t="s">
        <v>562</v>
      </c>
      <c r="C261" t="s">
        <v>562</v>
      </c>
      <c r="D261" t="s">
        <v>1125</v>
      </c>
      <c r="E261" t="s">
        <v>1141</v>
      </c>
      <c r="F261" t="s">
        <v>562</v>
      </c>
      <c r="G261" t="s">
        <v>562</v>
      </c>
      <c r="H261" t="s">
        <v>562</v>
      </c>
      <c r="I261">
        <v>3855</v>
      </c>
      <c r="J261" t="s">
        <v>564</v>
      </c>
      <c r="K261" s="698">
        <v>45957.447916666664</v>
      </c>
      <c r="L261" s="698">
        <v>45957.447916666664</v>
      </c>
      <c r="M261" t="s">
        <v>565</v>
      </c>
      <c r="N261" t="s">
        <v>565</v>
      </c>
      <c r="O261" t="s">
        <v>566</v>
      </c>
      <c r="P261" t="s">
        <v>567</v>
      </c>
      <c r="S261" t="s">
        <v>567</v>
      </c>
      <c r="T261" t="s">
        <v>567</v>
      </c>
      <c r="Z261" t="s">
        <v>568</v>
      </c>
      <c r="AA261" t="s">
        <v>568</v>
      </c>
      <c r="AC261" t="str">
        <v>H &amp; R Transport Ltd</v>
      </c>
    </row>
    <row r="262" spans="1:29">
      <c r="A262" t="s">
        <v>1122</v>
      </c>
      <c r="B262" t="s">
        <v>562</v>
      </c>
      <c r="C262" t="s">
        <v>562</v>
      </c>
      <c r="D262" t="s">
        <v>1125</v>
      </c>
      <c r="E262" t="s">
        <v>1142</v>
      </c>
      <c r="F262" t="s">
        <v>562</v>
      </c>
      <c r="G262" t="s">
        <v>562</v>
      </c>
      <c r="H262" t="s">
        <v>562</v>
      </c>
      <c r="I262">
        <v>3870</v>
      </c>
      <c r="J262" t="s">
        <v>564</v>
      </c>
      <c r="K262" s="698">
        <v>45957.45</v>
      </c>
      <c r="L262" s="698">
        <v>45957.45</v>
      </c>
      <c r="M262" t="s">
        <v>565</v>
      </c>
      <c r="N262" t="s">
        <v>565</v>
      </c>
      <c r="O262" t="s">
        <v>566</v>
      </c>
      <c r="P262" t="s">
        <v>567</v>
      </c>
      <c r="S262" t="s">
        <v>567</v>
      </c>
      <c r="T262" t="s">
        <v>567</v>
      </c>
      <c r="Z262" t="s">
        <v>568</v>
      </c>
      <c r="AA262" t="s">
        <v>568</v>
      </c>
      <c r="AC262" t="str">
        <v>H Business Park (A &amp; B) LP</v>
      </c>
    </row>
    <row r="263" spans="1:29">
      <c r="A263" t="s">
        <v>1122</v>
      </c>
      <c r="B263" t="s">
        <v>1143</v>
      </c>
      <c r="C263" t="s">
        <v>1144</v>
      </c>
      <c r="D263" t="s">
        <v>1125</v>
      </c>
      <c r="E263" t="s">
        <v>1145</v>
      </c>
      <c r="F263" t="s">
        <v>562</v>
      </c>
      <c r="G263" t="s">
        <v>562</v>
      </c>
      <c r="H263" t="s">
        <v>562</v>
      </c>
      <c r="I263">
        <v>3879</v>
      </c>
      <c r="J263" t="s">
        <v>564</v>
      </c>
      <c r="K263" s="698">
        <v>45957.45</v>
      </c>
      <c r="L263" s="698">
        <v>45957.45</v>
      </c>
      <c r="M263" t="s">
        <v>565</v>
      </c>
      <c r="N263" t="s">
        <v>565</v>
      </c>
      <c r="O263" t="s">
        <v>566</v>
      </c>
      <c r="P263" t="s">
        <v>567</v>
      </c>
      <c r="S263" t="s">
        <v>567</v>
      </c>
      <c r="T263" t="s">
        <v>567</v>
      </c>
      <c r="Z263" t="s">
        <v>568</v>
      </c>
      <c r="AA263" t="s">
        <v>568</v>
      </c>
      <c r="AC263" t="str">
        <v>H Business Park (G &amp; H ) LP</v>
      </c>
    </row>
    <row r="264" spans="1:29">
      <c r="A264" t="s">
        <v>1122</v>
      </c>
      <c r="B264" t="s">
        <v>562</v>
      </c>
      <c r="C264" t="s">
        <v>562</v>
      </c>
      <c r="D264" t="s">
        <v>1125</v>
      </c>
      <c r="E264" t="s">
        <v>1146</v>
      </c>
      <c r="F264" t="s">
        <v>562</v>
      </c>
      <c r="G264" t="s">
        <v>562</v>
      </c>
      <c r="H264" t="s">
        <v>562</v>
      </c>
      <c r="I264">
        <v>3892</v>
      </c>
      <c r="J264" t="s">
        <v>564</v>
      </c>
      <c r="K264" s="698">
        <v>45957.45208333333</v>
      </c>
      <c r="L264" s="698">
        <v>45957.45208333333</v>
      </c>
      <c r="M264" t="s">
        <v>565</v>
      </c>
      <c r="N264" t="s">
        <v>565</v>
      </c>
      <c r="O264" t="s">
        <v>566</v>
      </c>
      <c r="P264" t="s">
        <v>567</v>
      </c>
      <c r="S264" t="s">
        <v>567</v>
      </c>
      <c r="T264" t="s">
        <v>567</v>
      </c>
      <c r="Z264" t="s">
        <v>568</v>
      </c>
      <c r="AA264" t="s">
        <v>568</v>
      </c>
      <c r="AC264" t="str">
        <v>Hades Publications Inc</v>
      </c>
    </row>
    <row r="265" spans="1:29">
      <c r="A265" t="s">
        <v>1122</v>
      </c>
      <c r="B265" t="s">
        <v>562</v>
      </c>
      <c r="C265" t="s">
        <v>562</v>
      </c>
      <c r="D265" t="s">
        <v>1125</v>
      </c>
      <c r="E265" t="s">
        <v>1147</v>
      </c>
      <c r="F265" t="s">
        <v>562</v>
      </c>
      <c r="G265" t="s">
        <v>562</v>
      </c>
      <c r="H265" t="s">
        <v>562</v>
      </c>
      <c r="I265">
        <v>3894</v>
      </c>
      <c r="J265" t="s">
        <v>564</v>
      </c>
      <c r="K265" s="698">
        <v>45957.45208333333</v>
      </c>
      <c r="L265" s="698">
        <v>45957.45208333333</v>
      </c>
      <c r="M265" t="s">
        <v>565</v>
      </c>
      <c r="N265" t="s">
        <v>565</v>
      </c>
      <c r="O265" t="s">
        <v>566</v>
      </c>
      <c r="P265" t="s">
        <v>567</v>
      </c>
      <c r="S265" t="s">
        <v>567</v>
      </c>
      <c r="T265" t="s">
        <v>567</v>
      </c>
      <c r="Z265" t="s">
        <v>568</v>
      </c>
      <c r="AA265" t="s">
        <v>568</v>
      </c>
      <c r="AC265" t="str">
        <v>Haides Construction</v>
      </c>
    </row>
    <row r="266" spans="1:29">
      <c r="A266" t="s">
        <v>1122</v>
      </c>
      <c r="B266" t="s">
        <v>562</v>
      </c>
      <c r="C266" t="s">
        <v>562</v>
      </c>
      <c r="D266" t="s">
        <v>1125</v>
      </c>
      <c r="E266" t="s">
        <v>1148</v>
      </c>
      <c r="F266" t="s">
        <v>562</v>
      </c>
      <c r="G266" t="s">
        <v>562</v>
      </c>
      <c r="H266" t="s">
        <v>562</v>
      </c>
      <c r="I266">
        <v>3898</v>
      </c>
      <c r="J266" t="s">
        <v>564</v>
      </c>
      <c r="K266" s="698">
        <v>45957.452777777777</v>
      </c>
      <c r="L266" s="698">
        <v>45957.452777777777</v>
      </c>
      <c r="M266" t="s">
        <v>565</v>
      </c>
      <c r="N266" t="s">
        <v>565</v>
      </c>
      <c r="O266" t="s">
        <v>566</v>
      </c>
      <c r="P266" t="s">
        <v>567</v>
      </c>
      <c r="S266" t="s">
        <v>567</v>
      </c>
      <c r="T266" t="s">
        <v>567</v>
      </c>
      <c r="Z266" t="s">
        <v>568</v>
      </c>
      <c r="AA266" t="s">
        <v>568</v>
      </c>
      <c r="AC266" t="str">
        <v>Hampton Development Ltd</v>
      </c>
    </row>
    <row r="267" spans="1:29">
      <c r="A267" t="s">
        <v>1122</v>
      </c>
      <c r="B267" t="s">
        <v>562</v>
      </c>
      <c r="C267" t="s">
        <v>562</v>
      </c>
      <c r="D267" t="s">
        <v>1125</v>
      </c>
      <c r="E267" t="s">
        <v>1149</v>
      </c>
      <c r="F267" t="s">
        <v>562</v>
      </c>
      <c r="G267" t="s">
        <v>562</v>
      </c>
      <c r="H267" t="s">
        <v>562</v>
      </c>
      <c r="I267">
        <v>3939</v>
      </c>
      <c r="J267" t="s">
        <v>564</v>
      </c>
      <c r="K267" s="698">
        <v>45957.456944444442</v>
      </c>
      <c r="L267" s="698">
        <v>45957.456944444442</v>
      </c>
      <c r="M267" t="s">
        <v>565</v>
      </c>
      <c r="N267" t="s">
        <v>565</v>
      </c>
      <c r="O267" t="s">
        <v>566</v>
      </c>
      <c r="P267" t="s">
        <v>567</v>
      </c>
      <c r="S267" t="s">
        <v>567</v>
      </c>
      <c r="T267" t="s">
        <v>567</v>
      </c>
      <c r="Z267" t="s">
        <v>568</v>
      </c>
      <c r="AA267" t="s">
        <v>568</v>
      </c>
      <c r="AC267" t="str">
        <v>Hart Punt</v>
      </c>
    </row>
    <row r="268" spans="1:29">
      <c r="A268" t="s">
        <v>1122</v>
      </c>
      <c r="B268" t="s">
        <v>1123</v>
      </c>
      <c r="C268" t="s">
        <v>1124</v>
      </c>
      <c r="D268" t="s">
        <v>1125</v>
      </c>
      <c r="E268" t="s">
        <v>1150</v>
      </c>
      <c r="F268" t="s">
        <v>562</v>
      </c>
      <c r="G268" t="s">
        <v>562</v>
      </c>
      <c r="H268" t="s">
        <v>562</v>
      </c>
      <c r="I268">
        <v>3940</v>
      </c>
      <c r="J268" t="s">
        <v>564</v>
      </c>
      <c r="K268" s="698">
        <v>45957.456944444442</v>
      </c>
      <c r="L268" s="698">
        <v>45957.456944444442</v>
      </c>
      <c r="M268" t="s">
        <v>565</v>
      </c>
      <c r="N268" t="s">
        <v>565</v>
      </c>
      <c r="O268" t="s">
        <v>566</v>
      </c>
      <c r="P268" t="s">
        <v>567</v>
      </c>
      <c r="S268" t="s">
        <v>567</v>
      </c>
      <c r="T268" t="s">
        <v>567</v>
      </c>
      <c r="Z268" t="s">
        <v>568</v>
      </c>
      <c r="AA268" t="s">
        <v>568</v>
      </c>
      <c r="AC268" t="str">
        <v>Hartwick Fine Homes</v>
      </c>
    </row>
    <row r="269" spans="1:29">
      <c r="A269" t="s">
        <v>1122</v>
      </c>
      <c r="B269" t="s">
        <v>1123</v>
      </c>
      <c r="C269" t="s">
        <v>1124</v>
      </c>
      <c r="D269" t="s">
        <v>1125</v>
      </c>
      <c r="E269" t="s">
        <v>1151</v>
      </c>
      <c r="F269" t="s">
        <v>562</v>
      </c>
      <c r="G269" t="s">
        <v>562</v>
      </c>
      <c r="H269" t="s">
        <v>562</v>
      </c>
      <c r="I269">
        <v>3946</v>
      </c>
      <c r="J269" t="s">
        <v>564</v>
      </c>
      <c r="K269" s="698">
        <v>45957.457638888889</v>
      </c>
      <c r="L269" s="698">
        <v>45957.457638888889</v>
      </c>
      <c r="M269" t="s">
        <v>565</v>
      </c>
      <c r="N269" t="s">
        <v>565</v>
      </c>
      <c r="O269" t="s">
        <v>566</v>
      </c>
      <c r="P269" t="s">
        <v>567</v>
      </c>
      <c r="S269" t="s">
        <v>567</v>
      </c>
      <c r="T269" t="s">
        <v>567</v>
      </c>
      <c r="Z269" t="s">
        <v>568</v>
      </c>
      <c r="AA269" t="s">
        <v>568</v>
      </c>
      <c r="AC269" t="str">
        <v>Harvard Developments</v>
      </c>
    </row>
    <row r="270" spans="1:29">
      <c r="A270" t="s">
        <v>1122</v>
      </c>
      <c r="B270" t="s">
        <v>1018</v>
      </c>
      <c r="C270" t="s">
        <v>1128</v>
      </c>
      <c r="D270" t="s">
        <v>1125</v>
      </c>
      <c r="E270" t="s">
        <v>1152</v>
      </c>
      <c r="F270" t="s">
        <v>562</v>
      </c>
      <c r="G270" t="s">
        <v>562</v>
      </c>
      <c r="H270" t="s">
        <v>562</v>
      </c>
      <c r="I270">
        <v>4047</v>
      </c>
      <c r="J270" t="s">
        <v>564</v>
      </c>
      <c r="K270" s="698">
        <v>45957.470138888886</v>
      </c>
      <c r="L270" s="698">
        <v>45957.470138888886</v>
      </c>
      <c r="M270" t="s">
        <v>565</v>
      </c>
      <c r="N270" t="s">
        <v>565</v>
      </c>
      <c r="O270" t="s">
        <v>566</v>
      </c>
      <c r="P270" t="s">
        <v>567</v>
      </c>
      <c r="S270" t="s">
        <v>567</v>
      </c>
      <c r="T270" t="s">
        <v>567</v>
      </c>
      <c r="Z270" t="s">
        <v>568</v>
      </c>
      <c r="AA270" t="s">
        <v>568</v>
      </c>
      <c r="AC270" t="str">
        <v>Height Works</v>
      </c>
    </row>
    <row r="271" spans="1:29">
      <c r="A271" t="s">
        <v>1122</v>
      </c>
      <c r="B271" t="s">
        <v>1153</v>
      </c>
      <c r="C271" t="s">
        <v>1128</v>
      </c>
      <c r="D271" t="s">
        <v>1125</v>
      </c>
      <c r="E271" t="s">
        <v>1154</v>
      </c>
      <c r="F271" t="s">
        <v>562</v>
      </c>
      <c r="G271" t="s">
        <v>562</v>
      </c>
      <c r="H271" t="s">
        <v>562</v>
      </c>
      <c r="I271">
        <v>4051</v>
      </c>
      <c r="J271" t="s">
        <v>564</v>
      </c>
      <c r="K271" s="698">
        <v>45957.470833333333</v>
      </c>
      <c r="L271" s="698">
        <v>45957.470833333333</v>
      </c>
      <c r="M271" t="s">
        <v>565</v>
      </c>
      <c r="N271" t="s">
        <v>565</v>
      </c>
      <c r="O271" t="s">
        <v>566</v>
      </c>
      <c r="P271" t="s">
        <v>567</v>
      </c>
      <c r="S271" t="s">
        <v>567</v>
      </c>
      <c r="T271" t="s">
        <v>567</v>
      </c>
      <c r="Z271" t="s">
        <v>568</v>
      </c>
      <c r="AA271" t="s">
        <v>568</v>
      </c>
      <c r="AC271" t="str">
        <v>Henry Gutman</v>
      </c>
    </row>
    <row r="272" spans="1:29">
      <c r="A272" t="s">
        <v>1122</v>
      </c>
      <c r="B272" t="s">
        <v>1018</v>
      </c>
      <c r="C272" t="s">
        <v>1128</v>
      </c>
      <c r="D272" t="s">
        <v>1125</v>
      </c>
      <c r="E272" t="s">
        <v>1155</v>
      </c>
      <c r="F272" t="s">
        <v>562</v>
      </c>
      <c r="G272" t="s">
        <v>562</v>
      </c>
      <c r="H272" t="s">
        <v>562</v>
      </c>
      <c r="I272">
        <v>4073</v>
      </c>
      <c r="J272" t="s">
        <v>564</v>
      </c>
      <c r="K272" s="698">
        <v>45957.472916666666</v>
      </c>
      <c r="L272" s="698">
        <v>45957.472916666666</v>
      </c>
      <c r="M272" t="s">
        <v>565</v>
      </c>
      <c r="N272" t="s">
        <v>565</v>
      </c>
      <c r="O272" t="s">
        <v>566</v>
      </c>
      <c r="P272" t="s">
        <v>567</v>
      </c>
      <c r="S272" t="s">
        <v>567</v>
      </c>
      <c r="T272" t="s">
        <v>567</v>
      </c>
      <c r="Z272" t="s">
        <v>568</v>
      </c>
      <c r="AA272" t="s">
        <v>568</v>
      </c>
      <c r="AC272" t="str">
        <v>Henry Gutman Investments Ltd.</v>
      </c>
    </row>
    <row r="273" spans="1:29">
      <c r="A273" t="s">
        <v>1122</v>
      </c>
      <c r="B273" t="s">
        <v>562</v>
      </c>
      <c r="C273" t="s">
        <v>562</v>
      </c>
      <c r="D273" t="s">
        <v>1125</v>
      </c>
      <c r="E273" t="s">
        <v>1156</v>
      </c>
      <c r="F273" t="s">
        <v>562</v>
      </c>
      <c r="G273" t="s">
        <v>562</v>
      </c>
      <c r="H273" t="s">
        <v>562</v>
      </c>
      <c r="I273">
        <v>4076</v>
      </c>
      <c r="J273" t="s">
        <v>564</v>
      </c>
      <c r="K273" s="698">
        <v>45957.473611111112</v>
      </c>
      <c r="L273" s="698">
        <v>45957.473611111112</v>
      </c>
      <c r="M273" t="s">
        <v>565</v>
      </c>
      <c r="N273" t="s">
        <v>565</v>
      </c>
      <c r="O273" t="s">
        <v>566</v>
      </c>
      <c r="P273" t="s">
        <v>567</v>
      </c>
      <c r="S273" t="s">
        <v>567</v>
      </c>
      <c r="T273" t="s">
        <v>567</v>
      </c>
      <c r="Z273" t="s">
        <v>568</v>
      </c>
      <c r="AA273" t="s">
        <v>568</v>
      </c>
      <c r="AC273" t="str">
        <v>Heritage Christian Academy</v>
      </c>
    </row>
    <row r="274" spans="1:29">
      <c r="A274" t="s">
        <v>1122</v>
      </c>
      <c r="B274" t="s">
        <v>562</v>
      </c>
      <c r="C274" t="s">
        <v>1128</v>
      </c>
      <c r="D274" t="s">
        <v>1125</v>
      </c>
      <c r="E274" t="s">
        <v>1157</v>
      </c>
      <c r="F274" t="s">
        <v>562</v>
      </c>
      <c r="G274" t="s">
        <v>562</v>
      </c>
      <c r="H274" t="s">
        <v>562</v>
      </c>
      <c r="I274">
        <v>4082</v>
      </c>
      <c r="J274" t="s">
        <v>564</v>
      </c>
      <c r="K274" s="698">
        <v>45957.474305555559</v>
      </c>
      <c r="L274" s="698">
        <v>45957.474305555559</v>
      </c>
      <c r="M274" t="s">
        <v>565</v>
      </c>
      <c r="N274" t="s">
        <v>565</v>
      </c>
      <c r="O274" t="s">
        <v>566</v>
      </c>
      <c r="P274" t="s">
        <v>567</v>
      </c>
      <c r="S274" t="s">
        <v>567</v>
      </c>
      <c r="T274" t="s">
        <v>567</v>
      </c>
      <c r="Z274" t="s">
        <v>568</v>
      </c>
      <c r="AA274" t="s">
        <v>568</v>
      </c>
      <c r="AC274" t="str">
        <v>Hiflyer Food Canada Inc</v>
      </c>
    </row>
    <row r="275" spans="1:29">
      <c r="A275" t="s">
        <v>1122</v>
      </c>
      <c r="B275" t="s">
        <v>562</v>
      </c>
      <c r="C275" t="s">
        <v>562</v>
      </c>
      <c r="D275" t="s">
        <v>1125</v>
      </c>
      <c r="E275" t="s">
        <v>1158</v>
      </c>
      <c r="F275" t="s">
        <v>562</v>
      </c>
      <c r="G275" t="s">
        <v>562</v>
      </c>
      <c r="H275" t="s">
        <v>562</v>
      </c>
      <c r="I275">
        <v>4100</v>
      </c>
      <c r="J275" t="s">
        <v>564</v>
      </c>
      <c r="K275" s="698">
        <v>45957.476388888892</v>
      </c>
      <c r="L275" s="698">
        <v>45957.476388888892</v>
      </c>
      <c r="M275" t="s">
        <v>565</v>
      </c>
      <c r="N275" t="s">
        <v>565</v>
      </c>
      <c r="O275" t="s">
        <v>566</v>
      </c>
      <c r="P275" t="s">
        <v>567</v>
      </c>
      <c r="S275" t="s">
        <v>567</v>
      </c>
      <c r="T275" t="s">
        <v>567</v>
      </c>
      <c r="Z275" t="s">
        <v>568</v>
      </c>
      <c r="AA275" t="s">
        <v>568</v>
      </c>
      <c r="AC275" t="str">
        <v>Highfield Four Building Ltd.</v>
      </c>
    </row>
    <row r="276" spans="1:29">
      <c r="A276" t="s">
        <v>1122</v>
      </c>
      <c r="B276" t="s">
        <v>562</v>
      </c>
      <c r="C276" t="s">
        <v>562</v>
      </c>
      <c r="D276" t="s">
        <v>1125</v>
      </c>
      <c r="E276" t="s">
        <v>1159</v>
      </c>
      <c r="F276" t="s">
        <v>562</v>
      </c>
      <c r="G276" t="s">
        <v>562</v>
      </c>
      <c r="H276" t="s">
        <v>562</v>
      </c>
      <c r="I276">
        <v>4107</v>
      </c>
      <c r="J276" t="s">
        <v>564</v>
      </c>
      <c r="K276" s="698">
        <v>45957.477083333331</v>
      </c>
      <c r="L276" s="698">
        <v>45957.477083333331</v>
      </c>
      <c r="M276" t="s">
        <v>565</v>
      </c>
      <c r="N276" t="s">
        <v>565</v>
      </c>
      <c r="O276" t="s">
        <v>566</v>
      </c>
      <c r="P276" t="s">
        <v>567</v>
      </c>
      <c r="S276" t="s">
        <v>567</v>
      </c>
      <c r="T276" t="s">
        <v>567</v>
      </c>
      <c r="Z276" t="s">
        <v>568</v>
      </c>
      <c r="AA276" t="s">
        <v>568</v>
      </c>
      <c r="AC276" t="str">
        <v>Hines</v>
      </c>
    </row>
    <row r="277" spans="1:29">
      <c r="A277" t="s">
        <v>1122</v>
      </c>
      <c r="B277" t="s">
        <v>562</v>
      </c>
      <c r="C277" t="s">
        <v>562</v>
      </c>
      <c r="D277" t="s">
        <v>1125</v>
      </c>
      <c r="E277" t="s">
        <v>1160</v>
      </c>
      <c r="F277" t="s">
        <v>562</v>
      </c>
      <c r="G277" t="s">
        <v>562</v>
      </c>
      <c r="H277" t="s">
        <v>562</v>
      </c>
      <c r="I277">
        <v>4109</v>
      </c>
      <c r="J277" t="s">
        <v>564</v>
      </c>
      <c r="K277" s="698">
        <v>45957.477777777778</v>
      </c>
      <c r="L277" s="698">
        <v>45957.477777777778</v>
      </c>
      <c r="M277" t="s">
        <v>565</v>
      </c>
      <c r="N277" t="s">
        <v>565</v>
      </c>
      <c r="O277" t="s">
        <v>566</v>
      </c>
      <c r="P277" t="s">
        <v>567</v>
      </c>
      <c r="S277" t="s">
        <v>567</v>
      </c>
      <c r="T277" t="s">
        <v>567</v>
      </c>
      <c r="Z277" t="s">
        <v>568</v>
      </c>
      <c r="AA277" t="s">
        <v>568</v>
      </c>
      <c r="AC277" t="str">
        <v>Hines Canada Mangagement Co</v>
      </c>
    </row>
    <row r="278" spans="1:29">
      <c r="A278" t="s">
        <v>1122</v>
      </c>
      <c r="B278" t="s">
        <v>562</v>
      </c>
      <c r="C278" t="s">
        <v>562</v>
      </c>
      <c r="D278" t="s">
        <v>1125</v>
      </c>
      <c r="E278" t="s">
        <v>1161</v>
      </c>
      <c r="F278" t="s">
        <v>562</v>
      </c>
      <c r="G278" t="s">
        <v>562</v>
      </c>
      <c r="H278" t="s">
        <v>562</v>
      </c>
      <c r="I278">
        <v>4292</v>
      </c>
      <c r="J278" t="s">
        <v>564</v>
      </c>
      <c r="K278" s="698">
        <v>45957.5</v>
      </c>
      <c r="L278" s="698">
        <v>45957.5</v>
      </c>
      <c r="M278" t="s">
        <v>565</v>
      </c>
      <c r="N278" t="s">
        <v>565</v>
      </c>
      <c r="O278" t="s">
        <v>566</v>
      </c>
      <c r="P278" t="s">
        <v>567</v>
      </c>
      <c r="S278" t="s">
        <v>567</v>
      </c>
      <c r="T278" t="s">
        <v>567</v>
      </c>
      <c r="Z278" t="s">
        <v>568</v>
      </c>
      <c r="AA278" t="s">
        <v>568</v>
      </c>
      <c r="AC278" t="str">
        <v>Hines Commercial Services LTD.</v>
      </c>
    </row>
    <row r="279" spans="1:29">
      <c r="A279" t="s">
        <v>1122</v>
      </c>
      <c r="B279" t="s">
        <v>1127</v>
      </c>
      <c r="C279" t="s">
        <v>1128</v>
      </c>
      <c r="D279" t="s">
        <v>1125</v>
      </c>
      <c r="E279" t="s">
        <v>1162</v>
      </c>
      <c r="F279" t="s">
        <v>562</v>
      </c>
      <c r="G279" t="s">
        <v>562</v>
      </c>
      <c r="H279" t="s">
        <v>562</v>
      </c>
      <c r="I279">
        <v>4298</v>
      </c>
      <c r="J279" t="s">
        <v>564</v>
      </c>
      <c r="K279" s="698">
        <v>45957.501388888886</v>
      </c>
      <c r="L279" s="698">
        <v>45957.501388888886</v>
      </c>
      <c r="M279" t="s">
        <v>565</v>
      </c>
      <c r="N279" t="s">
        <v>565</v>
      </c>
      <c r="O279" t="s">
        <v>566</v>
      </c>
      <c r="P279" t="s">
        <v>567</v>
      </c>
      <c r="S279" t="s">
        <v>567</v>
      </c>
      <c r="T279" t="s">
        <v>567</v>
      </c>
      <c r="Z279" t="s">
        <v>568</v>
      </c>
      <c r="AA279" t="s">
        <v>568</v>
      </c>
      <c r="AC279" t="str">
        <v>HOOPP Realty Inc</v>
      </c>
    </row>
    <row r="280" spans="1:29">
      <c r="A280" t="s">
        <v>1122</v>
      </c>
      <c r="B280" t="s">
        <v>562</v>
      </c>
      <c r="C280" t="s">
        <v>562</v>
      </c>
      <c r="D280" t="s">
        <v>1125</v>
      </c>
      <c r="E280" t="s">
        <v>1163</v>
      </c>
      <c r="F280" t="s">
        <v>562</v>
      </c>
      <c r="G280" t="s">
        <v>562</v>
      </c>
      <c r="H280" t="s">
        <v>562</v>
      </c>
      <c r="I280">
        <v>4299</v>
      </c>
      <c r="J280" t="s">
        <v>564</v>
      </c>
      <c r="K280" s="698">
        <v>45957.501388888886</v>
      </c>
      <c r="L280" s="698">
        <v>45957.501388888886</v>
      </c>
      <c r="M280" t="s">
        <v>565</v>
      </c>
      <c r="N280" t="s">
        <v>565</v>
      </c>
      <c r="O280" t="s">
        <v>566</v>
      </c>
      <c r="P280" t="s">
        <v>567</v>
      </c>
      <c r="S280" t="s">
        <v>567</v>
      </c>
      <c r="T280" t="s">
        <v>567</v>
      </c>
      <c r="Z280" t="s">
        <v>568</v>
      </c>
      <c r="AA280" t="s">
        <v>568</v>
      </c>
      <c r="AC280" t="str">
        <v>Hopewell Real Estate Services</v>
      </c>
    </row>
    <row r="281" spans="1:29">
      <c r="A281" t="s">
        <v>1122</v>
      </c>
      <c r="B281" t="s">
        <v>1127</v>
      </c>
      <c r="C281" t="s">
        <v>1128</v>
      </c>
      <c r="D281" t="s">
        <v>1125</v>
      </c>
      <c r="E281" t="s">
        <v>1164</v>
      </c>
      <c r="F281" t="s">
        <v>562</v>
      </c>
      <c r="G281" t="s">
        <v>562</v>
      </c>
      <c r="H281" t="s">
        <v>562</v>
      </c>
      <c r="I281">
        <v>4301</v>
      </c>
      <c r="J281" t="s">
        <v>564</v>
      </c>
      <c r="K281" s="698">
        <v>45957.501388888886</v>
      </c>
      <c r="L281" s="698">
        <v>45957.501388888886</v>
      </c>
      <c r="M281" t="s">
        <v>565</v>
      </c>
      <c r="N281" t="s">
        <v>565</v>
      </c>
      <c r="O281" t="s">
        <v>566</v>
      </c>
      <c r="P281" t="s">
        <v>567</v>
      </c>
      <c r="S281" t="s">
        <v>567</v>
      </c>
      <c r="T281" t="s">
        <v>567</v>
      </c>
      <c r="Z281" t="s">
        <v>568</v>
      </c>
      <c r="AA281" t="s">
        <v>568</v>
      </c>
      <c r="AC281" t="str">
        <v>Horizon Wen Inc</v>
      </c>
    </row>
    <row r="282" spans="1:29">
      <c r="A282" t="s">
        <v>1122</v>
      </c>
      <c r="B282" t="s">
        <v>1165</v>
      </c>
      <c r="C282" t="s">
        <v>1166</v>
      </c>
      <c r="D282" t="s">
        <v>1125</v>
      </c>
      <c r="E282" t="s">
        <v>1167</v>
      </c>
      <c r="F282" t="s">
        <v>562</v>
      </c>
      <c r="G282" t="s">
        <v>562</v>
      </c>
      <c r="H282" t="s">
        <v>562</v>
      </c>
      <c r="I282">
        <v>4320</v>
      </c>
      <c r="J282" t="s">
        <v>564</v>
      </c>
      <c r="K282" s="698">
        <v>45957.504166666666</v>
      </c>
      <c r="L282" s="698">
        <v>45957.504166666666</v>
      </c>
      <c r="M282" t="s">
        <v>565</v>
      </c>
      <c r="N282" t="s">
        <v>565</v>
      </c>
      <c r="O282" t="s">
        <v>566</v>
      </c>
      <c r="P282" t="s">
        <v>567</v>
      </c>
      <c r="S282" t="s">
        <v>567</v>
      </c>
      <c r="T282" t="s">
        <v>567</v>
      </c>
      <c r="Z282" t="s">
        <v>568</v>
      </c>
      <c r="AA282" t="s">
        <v>568</v>
      </c>
      <c r="AC282" t="str">
        <v>Hot Shop</v>
      </c>
    </row>
    <row r="283" spans="1:29">
      <c r="A283" t="s">
        <v>1122</v>
      </c>
      <c r="B283" t="s">
        <v>1168</v>
      </c>
      <c r="C283" t="s">
        <v>1169</v>
      </c>
      <c r="D283" t="s">
        <v>1125</v>
      </c>
      <c r="E283" t="s">
        <v>1170</v>
      </c>
      <c r="F283" t="s">
        <v>562</v>
      </c>
      <c r="G283" t="s">
        <v>562</v>
      </c>
      <c r="H283" t="s">
        <v>562</v>
      </c>
      <c r="I283">
        <v>4324</v>
      </c>
      <c r="J283" t="s">
        <v>564</v>
      </c>
      <c r="K283" s="698">
        <v>45957.504861111112</v>
      </c>
      <c r="L283" s="698">
        <v>45957.504861111112</v>
      </c>
      <c r="M283" t="s">
        <v>565</v>
      </c>
      <c r="N283" t="s">
        <v>565</v>
      </c>
      <c r="O283" t="s">
        <v>566</v>
      </c>
      <c r="P283" t="s">
        <v>567</v>
      </c>
      <c r="S283" t="s">
        <v>567</v>
      </c>
      <c r="T283" t="s">
        <v>567</v>
      </c>
      <c r="Z283" t="s">
        <v>568</v>
      </c>
      <c r="AA283" t="s">
        <v>568</v>
      </c>
      <c r="AC283" t="str">
        <v>Hotel Clique</v>
      </c>
    </row>
    <row r="284" spans="1:29">
      <c r="A284" t="s">
        <v>1122</v>
      </c>
      <c r="B284" t="s">
        <v>562</v>
      </c>
      <c r="C284" t="s">
        <v>562</v>
      </c>
      <c r="D284" t="s">
        <v>1125</v>
      </c>
      <c r="E284" t="s">
        <v>1171</v>
      </c>
      <c r="F284" t="s">
        <v>562</v>
      </c>
      <c r="G284" t="s">
        <v>562</v>
      </c>
      <c r="H284" t="s">
        <v>562</v>
      </c>
      <c r="I284">
        <v>4407</v>
      </c>
      <c r="J284" t="s">
        <v>564</v>
      </c>
      <c r="K284" s="698">
        <v>45957.51458333333</v>
      </c>
      <c r="L284" s="698">
        <v>45957.51458333333</v>
      </c>
      <c r="M284" t="s">
        <v>565</v>
      </c>
      <c r="N284" t="s">
        <v>565</v>
      </c>
      <c r="O284" t="s">
        <v>566</v>
      </c>
      <c r="P284" t="s">
        <v>567</v>
      </c>
      <c r="S284" t="s">
        <v>567</v>
      </c>
      <c r="T284" t="s">
        <v>567</v>
      </c>
      <c r="Z284" t="s">
        <v>568</v>
      </c>
      <c r="AA284" t="s">
        <v>568</v>
      </c>
      <c r="AC284" t="str">
        <v>HS Canada Front Street SE Property Inc.</v>
      </c>
    </row>
    <row r="285" spans="1:29">
      <c r="A285" t="s">
        <v>1122</v>
      </c>
      <c r="B285" t="s">
        <v>1153</v>
      </c>
      <c r="C285" t="s">
        <v>1128</v>
      </c>
      <c r="D285" t="s">
        <v>1125</v>
      </c>
      <c r="E285" t="s">
        <v>1172</v>
      </c>
      <c r="F285" t="s">
        <v>562</v>
      </c>
      <c r="G285" t="s">
        <v>562</v>
      </c>
      <c r="H285" t="s">
        <v>562</v>
      </c>
      <c r="I285">
        <v>4408</v>
      </c>
      <c r="J285" t="s">
        <v>564</v>
      </c>
      <c r="K285" s="698">
        <v>45957.515277777777</v>
      </c>
      <c r="L285" s="698">
        <v>45957.515277777777</v>
      </c>
      <c r="M285" t="s">
        <v>565</v>
      </c>
      <c r="N285" t="s">
        <v>565</v>
      </c>
      <c r="O285" t="s">
        <v>566</v>
      </c>
      <c r="P285" t="s">
        <v>567</v>
      </c>
      <c r="S285" t="s">
        <v>567</v>
      </c>
      <c r="T285" t="s">
        <v>567</v>
      </c>
      <c r="Z285" t="s">
        <v>568</v>
      </c>
      <c r="AA285" t="s">
        <v>568</v>
      </c>
      <c r="AC285" t="str">
        <v>HS Investment</v>
      </c>
    </row>
    <row r="286" spans="1:29">
      <c r="A286" t="s">
        <v>1122</v>
      </c>
      <c r="B286" t="s">
        <v>1173</v>
      </c>
      <c r="C286" t="s">
        <v>1174</v>
      </c>
      <c r="D286" t="s">
        <v>1125</v>
      </c>
      <c r="E286" t="s">
        <v>1175</v>
      </c>
      <c r="F286" t="s">
        <v>562</v>
      </c>
      <c r="G286" t="s">
        <v>562</v>
      </c>
      <c r="H286" t="s">
        <v>562</v>
      </c>
      <c r="I286">
        <v>4411</v>
      </c>
      <c r="J286" t="s">
        <v>564</v>
      </c>
      <c r="K286" s="698">
        <v>45957.515277777777</v>
      </c>
      <c r="L286" s="698">
        <v>45957.515277777777</v>
      </c>
      <c r="M286" t="s">
        <v>565</v>
      </c>
      <c r="N286" t="s">
        <v>565</v>
      </c>
      <c r="O286" t="s">
        <v>566</v>
      </c>
      <c r="P286" t="s">
        <v>567</v>
      </c>
      <c r="S286" t="s">
        <v>567</v>
      </c>
      <c r="T286" t="s">
        <v>567</v>
      </c>
      <c r="Z286" t="s">
        <v>568</v>
      </c>
      <c r="AA286" t="s">
        <v>568</v>
      </c>
      <c r="AC286" t="str">
        <v>Hurst Construction Management</v>
      </c>
    </row>
    <row r="287" spans="1:29">
      <c r="A287" t="s">
        <v>1122</v>
      </c>
      <c r="B287" t="s">
        <v>1143</v>
      </c>
      <c r="C287" t="s">
        <v>1144</v>
      </c>
      <c r="D287" t="s">
        <v>1125</v>
      </c>
      <c r="E287" t="s">
        <v>1176</v>
      </c>
      <c r="F287" t="s">
        <v>562</v>
      </c>
      <c r="G287" t="s">
        <v>562</v>
      </c>
      <c r="H287" t="s">
        <v>562</v>
      </c>
      <c r="I287">
        <v>4419</v>
      </c>
      <c r="J287" t="s">
        <v>564</v>
      </c>
      <c r="K287" s="698">
        <v>45957.515972222223</v>
      </c>
      <c r="L287" s="698">
        <v>45957.515972222223</v>
      </c>
      <c r="M287" t="s">
        <v>565</v>
      </c>
      <c r="N287" t="s">
        <v>565</v>
      </c>
      <c r="O287" t="s">
        <v>566</v>
      </c>
      <c r="P287" t="s">
        <v>567</v>
      </c>
      <c r="S287" t="s">
        <v>567</v>
      </c>
      <c r="T287" t="s">
        <v>567</v>
      </c>
      <c r="Z287" t="s">
        <v>568</v>
      </c>
      <c r="AA287" t="s">
        <v>568</v>
      </c>
      <c r="AC287" t="str">
        <v>Hyatt Investments</v>
      </c>
    </row>
    <row r="288" spans="1:29">
      <c r="A288" t="s">
        <v>1122</v>
      </c>
      <c r="B288" t="s">
        <v>562</v>
      </c>
      <c r="C288" t="s">
        <v>562</v>
      </c>
      <c r="D288" t="s">
        <v>1125</v>
      </c>
      <c r="E288" t="s">
        <v>1177</v>
      </c>
      <c r="F288" t="s">
        <v>562</v>
      </c>
      <c r="G288" t="s">
        <v>562</v>
      </c>
      <c r="H288" t="s">
        <v>562</v>
      </c>
      <c r="I288">
        <v>4429</v>
      </c>
      <c r="J288" t="s">
        <v>564</v>
      </c>
      <c r="K288" s="698">
        <v>45957.517361111109</v>
      </c>
      <c r="L288" s="698">
        <v>45957.517361111109</v>
      </c>
      <c r="M288" t="s">
        <v>565</v>
      </c>
      <c r="N288" t="s">
        <v>565</v>
      </c>
      <c r="O288" t="s">
        <v>566</v>
      </c>
      <c r="P288" t="s">
        <v>567</v>
      </c>
      <c r="S288" t="s">
        <v>567</v>
      </c>
      <c r="T288" t="s">
        <v>567</v>
      </c>
      <c r="Z288" t="s">
        <v>568</v>
      </c>
      <c r="AA288" t="s">
        <v>568</v>
      </c>
      <c r="AC288" t="str">
        <v>I.G. Investment Management Ltd.</v>
      </c>
    </row>
    <row r="289" spans="1:29">
      <c r="A289" t="s">
        <v>1122</v>
      </c>
      <c r="B289" t="s">
        <v>562</v>
      </c>
      <c r="C289" t="s">
        <v>562</v>
      </c>
      <c r="D289" t="s">
        <v>1125</v>
      </c>
      <c r="E289" t="s">
        <v>1178</v>
      </c>
      <c r="F289" t="s">
        <v>562</v>
      </c>
      <c r="G289" t="s">
        <v>562</v>
      </c>
      <c r="H289" t="s">
        <v>562</v>
      </c>
      <c r="I289">
        <v>4454</v>
      </c>
      <c r="J289" t="s">
        <v>564</v>
      </c>
      <c r="K289" s="698">
        <v>45957.520833333336</v>
      </c>
      <c r="L289" s="698">
        <v>45957.520833333336</v>
      </c>
      <c r="M289" t="s">
        <v>565</v>
      </c>
      <c r="N289" t="s">
        <v>565</v>
      </c>
      <c r="O289" t="s">
        <v>566</v>
      </c>
      <c r="P289" t="s">
        <v>567</v>
      </c>
      <c r="S289" t="s">
        <v>567</v>
      </c>
      <c r="T289" t="s">
        <v>567</v>
      </c>
      <c r="Z289" t="s">
        <v>568</v>
      </c>
      <c r="AA289" t="s">
        <v>568</v>
      </c>
      <c r="AC289" t="str">
        <v>I.G.Investment Management, Ltd. c/o BentallGreenOak (Canada) LP</v>
      </c>
    </row>
    <row r="290" spans="1:29">
      <c r="A290" t="s">
        <v>1122</v>
      </c>
      <c r="B290" t="s">
        <v>1179</v>
      </c>
      <c r="C290" t="s">
        <v>1180</v>
      </c>
      <c r="D290" t="s">
        <v>1125</v>
      </c>
      <c r="E290" t="s">
        <v>1181</v>
      </c>
      <c r="F290" t="s">
        <v>562</v>
      </c>
      <c r="G290" t="s">
        <v>562</v>
      </c>
      <c r="H290" t="s">
        <v>562</v>
      </c>
      <c r="I290">
        <v>4533</v>
      </c>
      <c r="J290" t="s">
        <v>564</v>
      </c>
      <c r="K290" s="698">
        <v>45957.529861111114</v>
      </c>
      <c r="L290" s="698">
        <v>45957.529861111114</v>
      </c>
      <c r="M290" t="s">
        <v>565</v>
      </c>
      <c r="N290" t="s">
        <v>565</v>
      </c>
      <c r="O290" t="s">
        <v>566</v>
      </c>
      <c r="P290" t="s">
        <v>567</v>
      </c>
      <c r="S290" t="s">
        <v>567</v>
      </c>
      <c r="T290" t="s">
        <v>567</v>
      </c>
      <c r="Z290" t="s">
        <v>568</v>
      </c>
      <c r="AA290" t="s">
        <v>568</v>
      </c>
      <c r="AC290" t="str">
        <v>Ice House Enterprises Inc.</v>
      </c>
    </row>
    <row r="291" spans="1:29">
      <c r="A291" t="s">
        <v>1122</v>
      </c>
      <c r="B291" t="s">
        <v>1179</v>
      </c>
      <c r="C291" t="s">
        <v>1180</v>
      </c>
      <c r="D291" t="s">
        <v>1125</v>
      </c>
      <c r="E291" t="s">
        <v>1182</v>
      </c>
      <c r="F291" t="s">
        <v>562</v>
      </c>
      <c r="G291" t="s">
        <v>562</v>
      </c>
      <c r="H291" t="s">
        <v>562</v>
      </c>
      <c r="I291">
        <v>4535</v>
      </c>
      <c r="J291" t="s">
        <v>564</v>
      </c>
      <c r="K291" s="698">
        <v>45957.530555555553</v>
      </c>
      <c r="L291" s="698">
        <v>45957.530555555553</v>
      </c>
      <c r="M291" t="s">
        <v>565</v>
      </c>
      <c r="N291" t="s">
        <v>565</v>
      </c>
      <c r="O291" t="s">
        <v>566</v>
      </c>
      <c r="P291" t="s">
        <v>567</v>
      </c>
      <c r="S291" t="s">
        <v>567</v>
      </c>
      <c r="T291" t="s">
        <v>567</v>
      </c>
      <c r="Z291" t="s">
        <v>568</v>
      </c>
      <c r="AA291" t="s">
        <v>568</v>
      </c>
      <c r="AC291" t="str">
        <v>IKO Industries</v>
      </c>
    </row>
    <row r="292" spans="1:29">
      <c r="A292" t="s">
        <v>1122</v>
      </c>
      <c r="B292" t="s">
        <v>562</v>
      </c>
      <c r="C292" t="s">
        <v>562</v>
      </c>
      <c r="D292" t="s">
        <v>1125</v>
      </c>
      <c r="E292" t="s">
        <v>1183</v>
      </c>
      <c r="F292" t="s">
        <v>562</v>
      </c>
      <c r="G292" t="s">
        <v>562</v>
      </c>
      <c r="H292" t="s">
        <v>562</v>
      </c>
      <c r="I292">
        <v>4945</v>
      </c>
      <c r="J292" t="s">
        <v>564</v>
      </c>
      <c r="K292" s="698">
        <v>45957.556944444441</v>
      </c>
      <c r="L292" s="698">
        <v>45957.556944444441</v>
      </c>
      <c r="M292" t="s">
        <v>565</v>
      </c>
      <c r="N292" t="s">
        <v>565</v>
      </c>
      <c r="O292" t="s">
        <v>566</v>
      </c>
      <c r="P292" t="s">
        <v>567</v>
      </c>
      <c r="S292" t="s">
        <v>567</v>
      </c>
      <c r="T292" t="s">
        <v>567</v>
      </c>
      <c r="Z292" t="s">
        <v>568</v>
      </c>
      <c r="AA292" t="s">
        <v>568</v>
      </c>
      <c r="AC292" t="str">
        <v>Industrial Solution Alberta Inc</v>
      </c>
    </row>
    <row r="293" spans="1:29">
      <c r="A293" t="s">
        <v>1122</v>
      </c>
      <c r="B293" t="s">
        <v>1179</v>
      </c>
      <c r="C293" t="s">
        <v>1180</v>
      </c>
      <c r="D293" t="s">
        <v>1125</v>
      </c>
      <c r="E293" t="s">
        <v>1184</v>
      </c>
      <c r="F293" t="s">
        <v>562</v>
      </c>
      <c r="G293" t="s">
        <v>562</v>
      </c>
      <c r="H293" t="s">
        <v>562</v>
      </c>
      <c r="I293">
        <v>4946</v>
      </c>
      <c r="J293" t="s">
        <v>564</v>
      </c>
      <c r="K293" s="698">
        <v>45957.556944444441</v>
      </c>
      <c r="L293" s="698">
        <v>45957.556944444441</v>
      </c>
      <c r="M293" t="s">
        <v>565</v>
      </c>
      <c r="N293" t="s">
        <v>565</v>
      </c>
      <c r="O293" t="s">
        <v>566</v>
      </c>
      <c r="P293" t="s">
        <v>567</v>
      </c>
      <c r="S293" t="s">
        <v>567</v>
      </c>
      <c r="T293" t="s">
        <v>567</v>
      </c>
      <c r="Z293" t="s">
        <v>568</v>
      </c>
      <c r="AA293" t="s">
        <v>568</v>
      </c>
      <c r="AC293" t="str">
        <v>IntraPac</v>
      </c>
    </row>
    <row r="294" spans="1:29">
      <c r="A294" t="s">
        <v>1122</v>
      </c>
      <c r="B294" t="s">
        <v>562</v>
      </c>
      <c r="C294" t="s">
        <v>562</v>
      </c>
      <c r="D294" t="s">
        <v>1125</v>
      </c>
      <c r="E294" t="s">
        <v>1185</v>
      </c>
      <c r="F294" t="s">
        <v>562</v>
      </c>
      <c r="G294" t="s">
        <v>562</v>
      </c>
      <c r="H294" t="s">
        <v>562</v>
      </c>
      <c r="I294">
        <v>4953</v>
      </c>
      <c r="J294" t="s">
        <v>564</v>
      </c>
      <c r="K294" s="698">
        <v>45957.556944444441</v>
      </c>
      <c r="L294" s="698">
        <v>45957.556944444441</v>
      </c>
      <c r="M294" t="s">
        <v>565</v>
      </c>
      <c r="N294" t="s">
        <v>565</v>
      </c>
      <c r="O294" t="s">
        <v>566</v>
      </c>
      <c r="P294" t="s">
        <v>567</v>
      </c>
      <c r="S294" t="s">
        <v>567</v>
      </c>
      <c r="T294" t="s">
        <v>567</v>
      </c>
      <c r="Z294" t="s">
        <v>568</v>
      </c>
      <c r="AA294" t="s">
        <v>568</v>
      </c>
      <c r="AC294" t="str">
        <v>Investors Group Trust Co.Ltd.</v>
      </c>
    </row>
    <row r="295" spans="1:29">
      <c r="A295" t="s">
        <v>1122</v>
      </c>
      <c r="B295" t="s">
        <v>1186</v>
      </c>
      <c r="C295" t="s">
        <v>1187</v>
      </c>
      <c r="D295" t="s">
        <v>1125</v>
      </c>
      <c r="E295" t="s">
        <v>1188</v>
      </c>
      <c r="F295" t="s">
        <v>562</v>
      </c>
      <c r="G295" t="s">
        <v>562</v>
      </c>
      <c r="H295" t="s">
        <v>562</v>
      </c>
      <c r="I295">
        <v>4963</v>
      </c>
      <c r="J295" t="s">
        <v>564</v>
      </c>
      <c r="K295" s="698">
        <v>45957.557638888888</v>
      </c>
      <c r="L295" s="698">
        <v>45957.557638888888</v>
      </c>
      <c r="M295" t="s">
        <v>565</v>
      </c>
      <c r="N295" t="s">
        <v>565</v>
      </c>
      <c r="O295" t="s">
        <v>566</v>
      </c>
      <c r="P295" t="s">
        <v>567</v>
      </c>
      <c r="S295" t="s">
        <v>567</v>
      </c>
      <c r="T295" t="s">
        <v>567</v>
      </c>
      <c r="Z295" t="s">
        <v>568</v>
      </c>
      <c r="AA295" t="s">
        <v>568</v>
      </c>
      <c r="AC295" t="str">
        <v>Investors Group Trust Co.Ltd. c/o BentallGreenOak (Canada) Limited Partners</v>
      </c>
    </row>
    <row r="296" spans="1:29">
      <c r="A296" t="s">
        <v>1122</v>
      </c>
      <c r="B296" t="s">
        <v>1179</v>
      </c>
      <c r="C296" t="s">
        <v>1180</v>
      </c>
      <c r="D296" t="s">
        <v>1125</v>
      </c>
      <c r="E296" t="s">
        <v>1189</v>
      </c>
      <c r="F296" t="s">
        <v>562</v>
      </c>
      <c r="G296" t="s">
        <v>562</v>
      </c>
      <c r="H296" t="s">
        <v>562</v>
      </c>
      <c r="I296">
        <v>5069</v>
      </c>
      <c r="J296" t="s">
        <v>564</v>
      </c>
      <c r="K296" s="698">
        <v>45957.560416666667</v>
      </c>
      <c r="L296" s="698">
        <v>45957.560416666667</v>
      </c>
      <c r="M296" t="s">
        <v>565</v>
      </c>
      <c r="N296" t="s">
        <v>565</v>
      </c>
      <c r="O296" t="s">
        <v>566</v>
      </c>
      <c r="P296" t="s">
        <v>567</v>
      </c>
      <c r="S296" t="s">
        <v>567</v>
      </c>
      <c r="T296" t="s">
        <v>567</v>
      </c>
      <c r="Z296" t="s">
        <v>568</v>
      </c>
      <c r="AA296" t="s">
        <v>568</v>
      </c>
      <c r="AC296" t="str">
        <v>ISL Engineering</v>
      </c>
    </row>
    <row r="297" spans="1:29">
      <c r="A297" t="s">
        <v>1122</v>
      </c>
      <c r="B297" t="s">
        <v>1186</v>
      </c>
      <c r="C297" t="s">
        <v>1187</v>
      </c>
      <c r="D297" t="s">
        <v>1125</v>
      </c>
      <c r="E297" t="s">
        <v>1190</v>
      </c>
      <c r="F297" t="s">
        <v>562</v>
      </c>
      <c r="G297" t="s">
        <v>562</v>
      </c>
      <c r="H297" t="s">
        <v>562</v>
      </c>
      <c r="I297">
        <v>5071</v>
      </c>
      <c r="J297" t="s">
        <v>564</v>
      </c>
      <c r="K297" s="698">
        <v>45957.560416666667</v>
      </c>
      <c r="L297" s="698">
        <v>45957.560416666667</v>
      </c>
      <c r="M297" t="s">
        <v>565</v>
      </c>
      <c r="N297" t="s">
        <v>565</v>
      </c>
      <c r="O297" t="s">
        <v>566</v>
      </c>
      <c r="P297" t="s">
        <v>567</v>
      </c>
      <c r="S297" t="s">
        <v>567</v>
      </c>
      <c r="T297" t="s">
        <v>567</v>
      </c>
      <c r="Z297" t="s">
        <v>568</v>
      </c>
      <c r="AA297" t="s">
        <v>568</v>
      </c>
      <c r="AC297" t="str">
        <v>ITF Foothills Canada GP Inc.</v>
      </c>
    </row>
    <row r="298" spans="1:29">
      <c r="A298" t="s">
        <v>1122</v>
      </c>
      <c r="B298" t="s">
        <v>1179</v>
      </c>
      <c r="C298" t="s">
        <v>1180</v>
      </c>
      <c r="D298" t="s">
        <v>1125</v>
      </c>
      <c r="E298" t="s">
        <v>1191</v>
      </c>
      <c r="F298" t="s">
        <v>562</v>
      </c>
      <c r="G298" t="s">
        <v>562</v>
      </c>
      <c r="H298" t="s">
        <v>562</v>
      </c>
      <c r="I298">
        <v>5072</v>
      </c>
      <c r="J298" t="s">
        <v>564</v>
      </c>
      <c r="K298" s="698">
        <v>45957.560416666667</v>
      </c>
      <c r="L298" s="698">
        <v>45957.560416666667</v>
      </c>
      <c r="M298" t="s">
        <v>565</v>
      </c>
      <c r="N298" t="s">
        <v>565</v>
      </c>
      <c r="O298" t="s">
        <v>566</v>
      </c>
      <c r="P298" t="s">
        <v>567</v>
      </c>
      <c r="S298" t="s">
        <v>567</v>
      </c>
      <c r="T298" t="s">
        <v>567</v>
      </c>
      <c r="Z298" t="s">
        <v>568</v>
      </c>
      <c r="AA298" t="s">
        <v>568</v>
      </c>
      <c r="AC298" t="str">
        <v>J Ross Real Estate</v>
      </c>
    </row>
    <row r="299" spans="1:29">
      <c r="A299" t="s">
        <v>1122</v>
      </c>
      <c r="B299" t="s">
        <v>1127</v>
      </c>
      <c r="C299" t="s">
        <v>1128</v>
      </c>
      <c r="D299" t="s">
        <v>1125</v>
      </c>
      <c r="E299" t="s">
        <v>1192</v>
      </c>
      <c r="F299" t="s">
        <v>562</v>
      </c>
      <c r="G299" t="s">
        <v>562</v>
      </c>
      <c r="H299" t="s">
        <v>562</v>
      </c>
      <c r="I299">
        <v>5074</v>
      </c>
      <c r="J299" t="s">
        <v>564</v>
      </c>
      <c r="K299" s="698">
        <v>45957.560416666667</v>
      </c>
      <c r="L299" s="698">
        <v>45957.560416666667</v>
      </c>
      <c r="M299" t="s">
        <v>565</v>
      </c>
      <c r="N299" t="s">
        <v>565</v>
      </c>
      <c r="O299" t="s">
        <v>566</v>
      </c>
      <c r="P299" t="s">
        <v>567</v>
      </c>
      <c r="S299" t="s">
        <v>567</v>
      </c>
      <c r="T299" t="s">
        <v>567</v>
      </c>
      <c r="Z299" t="s">
        <v>568</v>
      </c>
      <c r="AA299" t="s">
        <v>568</v>
      </c>
      <c r="AC299" t="str">
        <v>Jax Builders</v>
      </c>
    </row>
    <row r="300" spans="1:29">
      <c r="A300" t="s">
        <v>1193</v>
      </c>
      <c r="B300" t="s">
        <v>1194</v>
      </c>
      <c r="C300" t="s">
        <v>562</v>
      </c>
      <c r="D300" t="s">
        <v>562</v>
      </c>
      <c r="E300" t="s">
        <v>1195</v>
      </c>
      <c r="F300" t="s">
        <v>562</v>
      </c>
      <c r="G300" t="s">
        <v>562</v>
      </c>
      <c r="H300" t="s">
        <v>562</v>
      </c>
      <c r="I300">
        <v>4713</v>
      </c>
      <c r="J300" t="s">
        <v>564</v>
      </c>
      <c r="K300" s="698">
        <v>45957.549305555556</v>
      </c>
      <c r="L300" s="698">
        <v>45957.549305555556</v>
      </c>
      <c r="M300" t="s">
        <v>565</v>
      </c>
      <c r="N300" t="s">
        <v>565</v>
      </c>
      <c r="O300" t="s">
        <v>566</v>
      </c>
      <c r="P300" t="s">
        <v>567</v>
      </c>
      <c r="S300" t="s">
        <v>567</v>
      </c>
      <c r="T300" t="s">
        <v>567</v>
      </c>
      <c r="Z300" t="s">
        <v>568</v>
      </c>
      <c r="AA300" t="s">
        <v>568</v>
      </c>
      <c r="AC300" t="str">
        <v>Jed's Equipment</v>
      </c>
    </row>
    <row r="301" spans="1:29">
      <c r="A301" t="s">
        <v>1196</v>
      </c>
      <c r="B301" t="s">
        <v>793</v>
      </c>
      <c r="C301" t="s">
        <v>1197</v>
      </c>
      <c r="D301" t="s">
        <v>562</v>
      </c>
      <c r="E301" t="s">
        <v>562</v>
      </c>
      <c r="F301" t="s">
        <v>562</v>
      </c>
      <c r="G301" t="s">
        <v>562</v>
      </c>
      <c r="H301" t="s">
        <v>562</v>
      </c>
      <c r="I301">
        <v>3508</v>
      </c>
      <c r="J301" t="s">
        <v>564</v>
      </c>
      <c r="K301" s="698">
        <v>45957.411805555559</v>
      </c>
      <c r="L301" s="698">
        <v>45957.411805555559</v>
      </c>
      <c r="M301" t="s">
        <v>565</v>
      </c>
      <c r="N301" t="s">
        <v>565</v>
      </c>
      <c r="O301" t="s">
        <v>566</v>
      </c>
      <c r="P301" t="s">
        <v>567</v>
      </c>
      <c r="S301" t="s">
        <v>567</v>
      </c>
      <c r="T301" t="s">
        <v>567</v>
      </c>
      <c r="Z301" t="s">
        <v>568</v>
      </c>
      <c r="AA301" t="s">
        <v>568</v>
      </c>
      <c r="AC301" t="str">
        <v>Jen-Col Construction Ltd.</v>
      </c>
    </row>
    <row r="302" spans="1:29">
      <c r="A302" t="s">
        <v>1198</v>
      </c>
      <c r="B302" t="s">
        <v>1199</v>
      </c>
      <c r="C302" t="s">
        <v>1200</v>
      </c>
      <c r="D302" t="s">
        <v>1201</v>
      </c>
      <c r="E302" t="s">
        <v>1202</v>
      </c>
      <c r="F302" t="s">
        <v>562</v>
      </c>
      <c r="G302" t="s">
        <v>562</v>
      </c>
      <c r="H302" t="s">
        <v>562</v>
      </c>
      <c r="I302">
        <v>3616</v>
      </c>
      <c r="J302" t="s">
        <v>564</v>
      </c>
      <c r="K302" s="698">
        <v>45957.421527777777</v>
      </c>
      <c r="L302" s="698">
        <v>45957.421527777777</v>
      </c>
      <c r="M302" t="s">
        <v>565</v>
      </c>
      <c r="N302" t="s">
        <v>565</v>
      </c>
      <c r="O302" t="s">
        <v>566</v>
      </c>
      <c r="P302" t="s">
        <v>567</v>
      </c>
      <c r="S302" t="s">
        <v>567</v>
      </c>
      <c r="T302" t="s">
        <v>567</v>
      </c>
      <c r="Z302" t="s">
        <v>568</v>
      </c>
      <c r="AA302" t="s">
        <v>568</v>
      </c>
      <c r="AC302" t="str">
        <v>Jennifer Nazareth</v>
      </c>
    </row>
    <row r="303" spans="1:29">
      <c r="A303" t="s">
        <v>1203</v>
      </c>
      <c r="B303" t="s">
        <v>562</v>
      </c>
      <c r="C303" t="s">
        <v>1204</v>
      </c>
      <c r="D303" t="s">
        <v>1205</v>
      </c>
      <c r="E303" t="s">
        <v>562</v>
      </c>
      <c r="F303" t="s">
        <v>562</v>
      </c>
      <c r="G303" t="s">
        <v>562</v>
      </c>
      <c r="H303" t="s">
        <v>562</v>
      </c>
      <c r="I303">
        <v>3509</v>
      </c>
      <c r="J303" t="s">
        <v>564</v>
      </c>
      <c r="K303" s="698">
        <v>45957.411805555559</v>
      </c>
      <c r="L303" s="698">
        <v>45957.411805555559</v>
      </c>
      <c r="M303" t="s">
        <v>565</v>
      </c>
      <c r="N303" t="s">
        <v>565</v>
      </c>
      <c r="O303" t="s">
        <v>566</v>
      </c>
      <c r="P303" t="s">
        <v>567</v>
      </c>
      <c r="S303" t="s">
        <v>567</v>
      </c>
      <c r="T303" t="s">
        <v>567</v>
      </c>
      <c r="Z303" t="s">
        <v>568</v>
      </c>
      <c r="AA303" t="s">
        <v>568</v>
      </c>
      <c r="AC303" t="str">
        <v>Jerusalem Shawarma</v>
      </c>
    </row>
    <row r="304" spans="1:29">
      <c r="A304" t="s">
        <v>1206</v>
      </c>
      <c r="B304" t="s">
        <v>1207</v>
      </c>
      <c r="C304" t="s">
        <v>1208</v>
      </c>
      <c r="D304" t="s">
        <v>562</v>
      </c>
      <c r="E304" t="s">
        <v>1209</v>
      </c>
      <c r="F304" t="s">
        <v>562</v>
      </c>
      <c r="G304" t="s">
        <v>562</v>
      </c>
      <c r="H304" t="s">
        <v>562</v>
      </c>
      <c r="I304">
        <v>3728</v>
      </c>
      <c r="J304" t="s">
        <v>564</v>
      </c>
      <c r="K304" s="698">
        <v>45957.434027777781</v>
      </c>
      <c r="L304" s="698">
        <v>45957.434027777781</v>
      </c>
      <c r="M304" t="s">
        <v>565</v>
      </c>
      <c r="N304" t="s">
        <v>565</v>
      </c>
      <c r="O304" t="s">
        <v>566</v>
      </c>
      <c r="P304" t="s">
        <v>567</v>
      </c>
      <c r="S304" t="s">
        <v>567</v>
      </c>
      <c r="T304" t="s">
        <v>567</v>
      </c>
      <c r="Z304" t="s">
        <v>568</v>
      </c>
      <c r="AA304" t="s">
        <v>568</v>
      </c>
      <c r="AC304" t="str">
        <v>Jesse Buhler</v>
      </c>
    </row>
    <row r="305" spans="1:29">
      <c r="A305" t="s">
        <v>1206</v>
      </c>
      <c r="B305" t="s">
        <v>1207</v>
      </c>
      <c r="C305" t="s">
        <v>1208</v>
      </c>
      <c r="D305" t="s">
        <v>562</v>
      </c>
      <c r="E305" t="s">
        <v>1210</v>
      </c>
      <c r="F305" t="s">
        <v>562</v>
      </c>
      <c r="G305" t="s">
        <v>562</v>
      </c>
      <c r="H305" t="s">
        <v>562</v>
      </c>
      <c r="I305">
        <v>4726</v>
      </c>
      <c r="J305" t="s">
        <v>564</v>
      </c>
      <c r="K305" s="698">
        <v>45957.55</v>
      </c>
      <c r="L305" s="698">
        <v>45957.55</v>
      </c>
      <c r="M305" t="s">
        <v>565</v>
      </c>
      <c r="N305" t="s">
        <v>565</v>
      </c>
      <c r="O305" t="s">
        <v>566</v>
      </c>
      <c r="P305" t="s">
        <v>567</v>
      </c>
      <c r="S305" t="s">
        <v>567</v>
      </c>
      <c r="T305" t="s">
        <v>567</v>
      </c>
      <c r="Z305" t="s">
        <v>568</v>
      </c>
      <c r="AA305" t="s">
        <v>568</v>
      </c>
      <c r="AC305" t="str">
        <v>Jewan, Bev &amp; Heinz</v>
      </c>
    </row>
    <row r="306" spans="1:29">
      <c r="A306" t="s">
        <v>1211</v>
      </c>
      <c r="B306" t="s">
        <v>1212</v>
      </c>
      <c r="C306" t="s">
        <v>1213</v>
      </c>
      <c r="D306" t="s">
        <v>562</v>
      </c>
      <c r="E306" t="s">
        <v>1214</v>
      </c>
      <c r="F306" t="s">
        <v>562</v>
      </c>
      <c r="G306" t="s">
        <v>562</v>
      </c>
      <c r="H306" t="s">
        <v>562</v>
      </c>
      <c r="I306">
        <v>4712</v>
      </c>
      <c r="J306" t="s">
        <v>564</v>
      </c>
      <c r="K306" s="698">
        <v>45957.549305555556</v>
      </c>
      <c r="L306" s="698">
        <v>45957.549305555556</v>
      </c>
      <c r="M306" t="s">
        <v>565</v>
      </c>
      <c r="N306" t="s">
        <v>565</v>
      </c>
      <c r="O306" t="s">
        <v>566</v>
      </c>
      <c r="P306" t="s">
        <v>567</v>
      </c>
      <c r="S306" t="s">
        <v>567</v>
      </c>
      <c r="T306" t="s">
        <v>567</v>
      </c>
      <c r="Z306" t="s">
        <v>568</v>
      </c>
      <c r="AA306" t="s">
        <v>568</v>
      </c>
      <c r="AC306" t="str">
        <v>JLC Electric</v>
      </c>
    </row>
    <row r="307" spans="1:29">
      <c r="A307" t="s">
        <v>1211</v>
      </c>
      <c r="B307" t="s">
        <v>1215</v>
      </c>
      <c r="C307" t="s">
        <v>1216</v>
      </c>
      <c r="D307" t="s">
        <v>562</v>
      </c>
      <c r="E307" t="s">
        <v>1217</v>
      </c>
      <c r="F307" t="s">
        <v>562</v>
      </c>
      <c r="G307" t="s">
        <v>562</v>
      </c>
      <c r="H307" t="s">
        <v>562</v>
      </c>
      <c r="I307">
        <v>4849</v>
      </c>
      <c r="J307" t="s">
        <v>564</v>
      </c>
      <c r="K307" s="698">
        <v>45957.553472222222</v>
      </c>
      <c r="L307" s="698">
        <v>45957.553472222222</v>
      </c>
      <c r="M307" t="s">
        <v>565</v>
      </c>
      <c r="N307" t="s">
        <v>565</v>
      </c>
      <c r="O307" t="s">
        <v>566</v>
      </c>
      <c r="P307" t="s">
        <v>567</v>
      </c>
      <c r="S307" t="s">
        <v>567</v>
      </c>
      <c r="T307" t="s">
        <v>567</v>
      </c>
      <c r="Z307" t="s">
        <v>568</v>
      </c>
      <c r="AA307" t="s">
        <v>568</v>
      </c>
      <c r="AC307" t="str">
        <v>Joe Tao</v>
      </c>
    </row>
    <row r="308" spans="1:29">
      <c r="A308" t="s">
        <v>1211</v>
      </c>
      <c r="B308" t="s">
        <v>1218</v>
      </c>
      <c r="C308" t="s">
        <v>1219</v>
      </c>
      <c r="D308" t="s">
        <v>562</v>
      </c>
      <c r="E308" t="s">
        <v>1220</v>
      </c>
      <c r="F308" t="s">
        <v>562</v>
      </c>
      <c r="G308" t="s">
        <v>562</v>
      </c>
      <c r="H308" t="s">
        <v>562</v>
      </c>
      <c r="I308">
        <v>4912</v>
      </c>
      <c r="J308" t="s">
        <v>564</v>
      </c>
      <c r="K308" s="698">
        <v>45957.555555555555</v>
      </c>
      <c r="L308" s="698">
        <v>45957.555555555555</v>
      </c>
      <c r="M308" t="s">
        <v>565</v>
      </c>
      <c r="N308" t="s">
        <v>565</v>
      </c>
      <c r="O308" t="s">
        <v>566</v>
      </c>
      <c r="P308" t="s">
        <v>567</v>
      </c>
      <c r="S308" t="s">
        <v>567</v>
      </c>
      <c r="T308" t="s">
        <v>567</v>
      </c>
      <c r="Z308" t="s">
        <v>568</v>
      </c>
      <c r="AA308" t="s">
        <v>568</v>
      </c>
      <c r="AC308" t="str">
        <v>John Miles</v>
      </c>
    </row>
    <row r="309" spans="1:29">
      <c r="A309" t="s">
        <v>1211</v>
      </c>
      <c r="B309" t="s">
        <v>1221</v>
      </c>
      <c r="C309" t="s">
        <v>1219</v>
      </c>
      <c r="D309" t="s">
        <v>562</v>
      </c>
      <c r="E309" t="s">
        <v>1222</v>
      </c>
      <c r="F309" t="s">
        <v>562</v>
      </c>
      <c r="G309" t="s">
        <v>562</v>
      </c>
      <c r="H309" t="s">
        <v>562</v>
      </c>
      <c r="I309">
        <v>4924</v>
      </c>
      <c r="J309" t="s">
        <v>564</v>
      </c>
      <c r="K309" s="698">
        <v>45957.556250000001</v>
      </c>
      <c r="L309" s="698">
        <v>45957.556250000001</v>
      </c>
      <c r="M309" t="s">
        <v>565</v>
      </c>
      <c r="N309" t="s">
        <v>565</v>
      </c>
      <c r="O309" t="s">
        <v>566</v>
      </c>
      <c r="P309" t="s">
        <v>567</v>
      </c>
      <c r="S309" t="s">
        <v>567</v>
      </c>
      <c r="T309" t="s">
        <v>567</v>
      </c>
      <c r="Z309" t="s">
        <v>568</v>
      </c>
      <c r="AA309" t="s">
        <v>568</v>
      </c>
      <c r="AC309" t="str">
        <v>Johnson Controls Inc.</v>
      </c>
    </row>
    <row r="310" spans="1:29">
      <c r="A310" t="s">
        <v>1211</v>
      </c>
      <c r="B310" t="s">
        <v>1221</v>
      </c>
      <c r="C310" t="s">
        <v>1219</v>
      </c>
      <c r="D310" t="s">
        <v>562</v>
      </c>
      <c r="E310" t="s">
        <v>1223</v>
      </c>
      <c r="F310" t="s">
        <v>562</v>
      </c>
      <c r="G310" t="s">
        <v>562</v>
      </c>
      <c r="H310" t="s">
        <v>562</v>
      </c>
      <c r="I310">
        <v>5079</v>
      </c>
      <c r="J310" t="s">
        <v>564</v>
      </c>
      <c r="K310" s="698">
        <v>45957.560416666667</v>
      </c>
      <c r="L310" s="698">
        <v>45957.560416666667</v>
      </c>
      <c r="M310" t="s">
        <v>565</v>
      </c>
      <c r="N310" t="s">
        <v>565</v>
      </c>
      <c r="O310" t="s">
        <v>566</v>
      </c>
      <c r="P310" t="s">
        <v>567</v>
      </c>
      <c r="S310" t="s">
        <v>567</v>
      </c>
      <c r="T310" t="s">
        <v>567</v>
      </c>
      <c r="Z310" t="s">
        <v>568</v>
      </c>
      <c r="AA310" t="s">
        <v>568</v>
      </c>
      <c r="AC310" t="str">
        <v>Jones Lang LaSalle</v>
      </c>
    </row>
    <row r="311" spans="1:29">
      <c r="A311" t="s">
        <v>1211</v>
      </c>
      <c r="B311" t="s">
        <v>1224</v>
      </c>
      <c r="C311" t="s">
        <v>562</v>
      </c>
      <c r="D311" t="s">
        <v>1225</v>
      </c>
      <c r="E311" t="s">
        <v>1226</v>
      </c>
      <c r="F311" t="s">
        <v>562</v>
      </c>
      <c r="G311" t="s">
        <v>562</v>
      </c>
      <c r="H311" t="s">
        <v>562</v>
      </c>
      <c r="I311">
        <v>5232</v>
      </c>
      <c r="J311" t="s">
        <v>564</v>
      </c>
      <c r="K311" s="698">
        <v>45992.40902777778</v>
      </c>
      <c r="L311" s="698">
        <v>45992.40902777778</v>
      </c>
      <c r="M311" t="s">
        <v>565</v>
      </c>
      <c r="N311" t="s">
        <v>565</v>
      </c>
      <c r="O311" t="s">
        <v>566</v>
      </c>
      <c r="P311" t="s">
        <v>567</v>
      </c>
      <c r="S311" t="s">
        <v>567</v>
      </c>
      <c r="T311" t="s">
        <v>567</v>
      </c>
      <c r="Z311" t="s">
        <v>826</v>
      </c>
      <c r="AA311" t="s">
        <v>826</v>
      </c>
      <c r="AC311" t="str">
        <v>Jopp Paula</v>
      </c>
    </row>
    <row r="312" spans="1:29">
      <c r="A312" t="s">
        <v>1227</v>
      </c>
      <c r="B312" t="s">
        <v>1228</v>
      </c>
      <c r="C312" t="s">
        <v>1229</v>
      </c>
      <c r="D312" t="s">
        <v>562</v>
      </c>
      <c r="E312" t="s">
        <v>1230</v>
      </c>
      <c r="F312" t="s">
        <v>562</v>
      </c>
      <c r="G312" t="s">
        <v>562</v>
      </c>
      <c r="H312" t="s">
        <v>562</v>
      </c>
      <c r="I312">
        <v>4854</v>
      </c>
      <c r="J312" t="s">
        <v>564</v>
      </c>
      <c r="K312" s="698">
        <v>45957.554166666669</v>
      </c>
      <c r="L312" s="698">
        <v>45957.554166666669</v>
      </c>
      <c r="M312" t="s">
        <v>565</v>
      </c>
      <c r="N312" t="s">
        <v>565</v>
      </c>
      <c r="O312" t="s">
        <v>566</v>
      </c>
      <c r="P312" t="s">
        <v>567</v>
      </c>
      <c r="S312" t="s">
        <v>567</v>
      </c>
      <c r="T312" t="s">
        <v>567</v>
      </c>
      <c r="Z312" t="s">
        <v>568</v>
      </c>
      <c r="AA312" t="s">
        <v>568</v>
      </c>
      <c r="AC312" t="str">
        <v>Jordan Brooks</v>
      </c>
    </row>
    <row r="313" spans="1:29">
      <c r="A313" t="s">
        <v>1231</v>
      </c>
      <c r="B313" t="s">
        <v>1232</v>
      </c>
      <c r="C313" t="s">
        <v>1233</v>
      </c>
      <c r="D313" t="s">
        <v>562</v>
      </c>
      <c r="E313" t="s">
        <v>1234</v>
      </c>
      <c r="F313" t="s">
        <v>562</v>
      </c>
      <c r="G313" t="s">
        <v>562</v>
      </c>
      <c r="H313" t="s">
        <v>562</v>
      </c>
      <c r="I313">
        <v>3753</v>
      </c>
      <c r="J313" t="s">
        <v>564</v>
      </c>
      <c r="K313" s="698">
        <v>45957.436805555553</v>
      </c>
      <c r="L313" s="698">
        <v>45957.436805555553</v>
      </c>
      <c r="M313" t="s">
        <v>565</v>
      </c>
      <c r="N313" t="s">
        <v>565</v>
      </c>
      <c r="O313" t="s">
        <v>566</v>
      </c>
      <c r="P313" t="s">
        <v>567</v>
      </c>
      <c r="S313" t="s">
        <v>567</v>
      </c>
      <c r="T313" t="s">
        <v>567</v>
      </c>
      <c r="Z313" t="s">
        <v>568</v>
      </c>
      <c r="AA313" t="s">
        <v>568</v>
      </c>
      <c r="AC313" t="str">
        <v>JTL Communications Ltd.</v>
      </c>
    </row>
    <row r="314" spans="1:29">
      <c r="A314" t="s">
        <v>1235</v>
      </c>
      <c r="B314" t="s">
        <v>1236</v>
      </c>
      <c r="C314" t="s">
        <v>1237</v>
      </c>
      <c r="D314" t="s">
        <v>562</v>
      </c>
      <c r="E314" t="s">
        <v>1238</v>
      </c>
      <c r="F314" t="s">
        <v>562</v>
      </c>
      <c r="G314" t="s">
        <v>562</v>
      </c>
      <c r="H314" t="s">
        <v>562</v>
      </c>
      <c r="I314">
        <v>4745</v>
      </c>
      <c r="J314" t="s">
        <v>564</v>
      </c>
      <c r="K314" s="698">
        <v>45957.550694444442</v>
      </c>
      <c r="L314" s="698">
        <v>45957.550694444442</v>
      </c>
      <c r="M314" t="s">
        <v>565</v>
      </c>
      <c r="N314" t="s">
        <v>565</v>
      </c>
      <c r="O314" t="s">
        <v>566</v>
      </c>
      <c r="P314" t="s">
        <v>567</v>
      </c>
      <c r="S314" t="s">
        <v>567</v>
      </c>
      <c r="T314" t="s">
        <v>567</v>
      </c>
      <c r="Z314" t="s">
        <v>568</v>
      </c>
      <c r="AA314" t="s">
        <v>568</v>
      </c>
      <c r="AC314" t="str">
        <v>Justin Ryder</v>
      </c>
    </row>
    <row r="315" spans="1:29">
      <c r="A315" t="s">
        <v>1239</v>
      </c>
      <c r="B315" t="s">
        <v>1240</v>
      </c>
      <c r="C315" t="s">
        <v>1241</v>
      </c>
      <c r="D315" t="s">
        <v>1242</v>
      </c>
      <c r="E315" t="s">
        <v>1243</v>
      </c>
      <c r="F315" t="s">
        <v>562</v>
      </c>
      <c r="G315" t="s">
        <v>562</v>
      </c>
      <c r="H315" t="s">
        <v>562</v>
      </c>
      <c r="I315">
        <v>3743</v>
      </c>
      <c r="J315" t="s">
        <v>564</v>
      </c>
      <c r="K315" s="698">
        <v>45957.435416666667</v>
      </c>
      <c r="L315" s="698">
        <v>45957.435416666667</v>
      </c>
      <c r="M315" t="s">
        <v>565</v>
      </c>
      <c r="N315" t="s">
        <v>565</v>
      </c>
      <c r="O315" t="s">
        <v>566</v>
      </c>
      <c r="P315" t="s">
        <v>567</v>
      </c>
      <c r="S315" t="s">
        <v>567</v>
      </c>
      <c r="T315" t="s">
        <v>567</v>
      </c>
      <c r="Z315" t="s">
        <v>568</v>
      </c>
      <c r="AA315" t="s">
        <v>568</v>
      </c>
      <c r="AC315" t="str">
        <v>JVT 1st Choice Maintenance and Renovation</v>
      </c>
    </row>
    <row r="316" spans="1:29">
      <c r="A316" t="s">
        <v>1239</v>
      </c>
      <c r="B316" t="s">
        <v>1240</v>
      </c>
      <c r="C316" t="s">
        <v>1241</v>
      </c>
      <c r="D316" t="s">
        <v>1242</v>
      </c>
      <c r="E316" t="s">
        <v>1244</v>
      </c>
      <c r="F316" t="s">
        <v>562</v>
      </c>
      <c r="G316" t="s">
        <v>562</v>
      </c>
      <c r="H316" t="s">
        <v>562</v>
      </c>
      <c r="I316">
        <v>3848</v>
      </c>
      <c r="J316" t="s">
        <v>564</v>
      </c>
      <c r="K316" s="698">
        <v>45957.447222222225</v>
      </c>
      <c r="L316" s="698">
        <v>45957.447222222225</v>
      </c>
      <c r="M316" t="s">
        <v>565</v>
      </c>
      <c r="N316" t="s">
        <v>565</v>
      </c>
      <c r="O316" t="s">
        <v>566</v>
      </c>
      <c r="P316" t="s">
        <v>567</v>
      </c>
      <c r="S316" t="s">
        <v>567</v>
      </c>
      <c r="T316" t="s">
        <v>567</v>
      </c>
      <c r="Z316" t="s">
        <v>568</v>
      </c>
      <c r="AA316" t="s">
        <v>568</v>
      </c>
      <c r="AC316" t="str">
        <v>Kaiser Foods</v>
      </c>
    </row>
    <row r="317" spans="1:29">
      <c r="A317" t="s">
        <v>1239</v>
      </c>
      <c r="B317" t="s">
        <v>1240</v>
      </c>
      <c r="C317" t="s">
        <v>1241</v>
      </c>
      <c r="D317" t="s">
        <v>1242</v>
      </c>
      <c r="E317" t="s">
        <v>1245</v>
      </c>
      <c r="F317" t="s">
        <v>562</v>
      </c>
      <c r="G317" t="s">
        <v>562</v>
      </c>
      <c r="H317" t="s">
        <v>562</v>
      </c>
      <c r="I317">
        <v>3874</v>
      </c>
      <c r="J317" t="s">
        <v>564</v>
      </c>
      <c r="K317" s="698">
        <v>45957.45</v>
      </c>
      <c r="L317" s="698">
        <v>45957.45</v>
      </c>
      <c r="M317" t="s">
        <v>565</v>
      </c>
      <c r="N317" t="s">
        <v>565</v>
      </c>
      <c r="O317" t="s">
        <v>566</v>
      </c>
      <c r="P317" t="s">
        <v>567</v>
      </c>
      <c r="S317" t="s">
        <v>567</v>
      </c>
      <c r="T317" t="s">
        <v>567</v>
      </c>
      <c r="Z317" t="s">
        <v>568</v>
      </c>
      <c r="AA317" t="s">
        <v>568</v>
      </c>
      <c r="AC317" t="str">
        <v>Kaizen</v>
      </c>
    </row>
    <row r="318" spans="1:29">
      <c r="A318" t="s">
        <v>1239</v>
      </c>
      <c r="B318" t="s">
        <v>1246</v>
      </c>
      <c r="C318" t="s">
        <v>1247</v>
      </c>
      <c r="D318" t="s">
        <v>1242</v>
      </c>
      <c r="E318" t="s">
        <v>1248</v>
      </c>
      <c r="F318" t="s">
        <v>562</v>
      </c>
      <c r="G318" t="s">
        <v>562</v>
      </c>
      <c r="H318" t="s">
        <v>562</v>
      </c>
      <c r="I318">
        <v>3923</v>
      </c>
      <c r="J318" t="s">
        <v>564</v>
      </c>
      <c r="K318" s="698">
        <v>45957.454861111109</v>
      </c>
      <c r="L318" s="698">
        <v>45957.454861111109</v>
      </c>
      <c r="M318" t="s">
        <v>565</v>
      </c>
      <c r="N318" t="s">
        <v>565</v>
      </c>
      <c r="O318" t="s">
        <v>566</v>
      </c>
      <c r="P318" t="s">
        <v>567</v>
      </c>
      <c r="S318" t="s">
        <v>567</v>
      </c>
      <c r="T318" t="s">
        <v>567</v>
      </c>
      <c r="Z318" t="s">
        <v>568</v>
      </c>
      <c r="AA318" t="s">
        <v>568</v>
      </c>
      <c r="AC318" t="str">
        <v>Kaleidoscope Holdings Corporation</v>
      </c>
    </row>
    <row r="319" spans="1:29">
      <c r="A319" t="s">
        <v>1239</v>
      </c>
      <c r="B319" t="s">
        <v>562</v>
      </c>
      <c r="C319" t="s">
        <v>562</v>
      </c>
      <c r="D319" t="s">
        <v>1242</v>
      </c>
      <c r="E319" t="s">
        <v>1249</v>
      </c>
      <c r="F319" t="s">
        <v>562</v>
      </c>
      <c r="G319" t="s">
        <v>562</v>
      </c>
      <c r="H319" t="s">
        <v>562</v>
      </c>
      <c r="I319">
        <v>4052</v>
      </c>
      <c r="J319" t="s">
        <v>564</v>
      </c>
      <c r="K319" s="698">
        <v>45957.470833333333</v>
      </c>
      <c r="L319" s="698">
        <v>45957.470833333333</v>
      </c>
      <c r="M319" t="s">
        <v>565</v>
      </c>
      <c r="N319" t="s">
        <v>565</v>
      </c>
      <c r="O319" t="s">
        <v>566</v>
      </c>
      <c r="P319" t="s">
        <v>567</v>
      </c>
      <c r="S319" t="s">
        <v>567</v>
      </c>
      <c r="T319" t="s">
        <v>567</v>
      </c>
      <c r="Z319" t="s">
        <v>568</v>
      </c>
      <c r="AA319" t="s">
        <v>568</v>
      </c>
      <c r="AC319" t="str">
        <v>Karen King &amp; Associated Inc.</v>
      </c>
    </row>
    <row r="320" spans="1:29">
      <c r="A320" t="s">
        <v>1239</v>
      </c>
      <c r="B320" t="s">
        <v>786</v>
      </c>
      <c r="C320" t="s">
        <v>562</v>
      </c>
      <c r="D320" t="s">
        <v>1242</v>
      </c>
      <c r="E320" t="s">
        <v>1250</v>
      </c>
      <c r="F320" t="s">
        <v>562</v>
      </c>
      <c r="G320" t="s">
        <v>562</v>
      </c>
      <c r="H320" t="s">
        <v>562</v>
      </c>
      <c r="I320">
        <v>4254</v>
      </c>
      <c r="J320" t="s">
        <v>564</v>
      </c>
      <c r="K320" s="698">
        <v>45957.495138888888</v>
      </c>
      <c r="L320" s="698">
        <v>45957.495138888888</v>
      </c>
      <c r="M320" t="s">
        <v>565</v>
      </c>
      <c r="N320" t="s">
        <v>565</v>
      </c>
      <c r="O320" t="s">
        <v>566</v>
      </c>
      <c r="P320" t="s">
        <v>567</v>
      </c>
      <c r="S320" t="s">
        <v>567</v>
      </c>
      <c r="T320" t="s">
        <v>567</v>
      </c>
      <c r="Z320" t="s">
        <v>568</v>
      </c>
      <c r="AA320" t="s">
        <v>568</v>
      </c>
      <c r="AC320" t="str">
        <v>Kathleen Bathory</v>
      </c>
    </row>
    <row r="321" spans="1:29">
      <c r="A321" t="s">
        <v>1239</v>
      </c>
      <c r="B321" t="s">
        <v>1251</v>
      </c>
      <c r="C321" t="s">
        <v>562</v>
      </c>
      <c r="D321" t="s">
        <v>1242</v>
      </c>
      <c r="E321" t="s">
        <v>1252</v>
      </c>
      <c r="F321" t="s">
        <v>562</v>
      </c>
      <c r="G321" t="s">
        <v>562</v>
      </c>
      <c r="H321" t="s">
        <v>562</v>
      </c>
      <c r="I321">
        <v>4261</v>
      </c>
      <c r="J321" t="s">
        <v>564</v>
      </c>
      <c r="K321" s="698">
        <v>45957.496527777781</v>
      </c>
      <c r="L321" s="698">
        <v>45957.496527777781</v>
      </c>
      <c r="M321" t="s">
        <v>565</v>
      </c>
      <c r="N321" t="s">
        <v>565</v>
      </c>
      <c r="O321" t="s">
        <v>566</v>
      </c>
      <c r="P321" t="s">
        <v>567</v>
      </c>
      <c r="S321" t="s">
        <v>567</v>
      </c>
      <c r="T321" t="s">
        <v>567</v>
      </c>
      <c r="Z321" t="s">
        <v>568</v>
      </c>
      <c r="AA321" t="s">
        <v>568</v>
      </c>
      <c r="AC321" t="str">
        <v>KCP Energy</v>
      </c>
    </row>
    <row r="322" spans="1:29">
      <c r="A322" t="s">
        <v>1239</v>
      </c>
      <c r="B322" t="s">
        <v>1251</v>
      </c>
      <c r="C322" t="s">
        <v>562</v>
      </c>
      <c r="D322" t="s">
        <v>1242</v>
      </c>
      <c r="E322" t="s">
        <v>1253</v>
      </c>
      <c r="F322" t="s">
        <v>562</v>
      </c>
      <c r="G322" t="s">
        <v>562</v>
      </c>
      <c r="H322" t="s">
        <v>562</v>
      </c>
      <c r="I322">
        <v>4262</v>
      </c>
      <c r="J322" t="s">
        <v>564</v>
      </c>
      <c r="K322" s="698">
        <v>45957.496527777781</v>
      </c>
      <c r="L322" s="698">
        <v>45957.496527777781</v>
      </c>
      <c r="M322" t="s">
        <v>565</v>
      </c>
      <c r="N322" t="s">
        <v>565</v>
      </c>
      <c r="O322" t="s">
        <v>566</v>
      </c>
      <c r="P322" t="s">
        <v>567</v>
      </c>
      <c r="S322" t="s">
        <v>567</v>
      </c>
      <c r="T322" t="s">
        <v>567</v>
      </c>
      <c r="Z322" t="s">
        <v>568</v>
      </c>
      <c r="AA322" t="s">
        <v>568</v>
      </c>
      <c r="AC322" t="str">
        <v>Ken Ellstone</v>
      </c>
    </row>
    <row r="323" spans="1:29">
      <c r="A323" t="s">
        <v>1239</v>
      </c>
      <c r="B323" t="s">
        <v>1240</v>
      </c>
      <c r="C323" t="s">
        <v>1254</v>
      </c>
      <c r="D323" t="s">
        <v>1242</v>
      </c>
      <c r="E323" t="s">
        <v>1255</v>
      </c>
      <c r="F323" t="s">
        <v>562</v>
      </c>
      <c r="G323" t="s">
        <v>562</v>
      </c>
      <c r="H323" t="s">
        <v>562</v>
      </c>
      <c r="I323">
        <v>4448</v>
      </c>
      <c r="J323" t="s">
        <v>564</v>
      </c>
      <c r="K323" s="698">
        <v>45957.520138888889</v>
      </c>
      <c r="L323" s="698">
        <v>45957.520138888889</v>
      </c>
      <c r="M323" t="s">
        <v>565</v>
      </c>
      <c r="N323" t="s">
        <v>565</v>
      </c>
      <c r="O323" t="s">
        <v>566</v>
      </c>
      <c r="P323" t="s">
        <v>567</v>
      </c>
      <c r="S323" t="s">
        <v>567</v>
      </c>
      <c r="T323" t="s">
        <v>567</v>
      </c>
      <c r="Z323" t="s">
        <v>568</v>
      </c>
      <c r="AA323" t="s">
        <v>568</v>
      </c>
      <c r="AC323" t="str">
        <v>Kevin Libin</v>
      </c>
    </row>
    <row r="324" spans="1:29">
      <c r="A324" t="s">
        <v>1239</v>
      </c>
      <c r="B324" t="s">
        <v>1246</v>
      </c>
      <c r="C324" t="s">
        <v>1256</v>
      </c>
      <c r="D324" t="s">
        <v>1242</v>
      </c>
      <c r="E324" t="s">
        <v>1257</v>
      </c>
      <c r="F324" t="s">
        <v>562</v>
      </c>
      <c r="G324" t="s">
        <v>562</v>
      </c>
      <c r="H324" t="s">
        <v>562</v>
      </c>
      <c r="I324">
        <v>4457</v>
      </c>
      <c r="J324" t="s">
        <v>564</v>
      </c>
      <c r="K324" s="698">
        <v>45957.520833333336</v>
      </c>
      <c r="L324" s="698">
        <v>45957.520833333336</v>
      </c>
      <c r="M324" t="s">
        <v>565</v>
      </c>
      <c r="N324" t="s">
        <v>565</v>
      </c>
      <c r="O324" t="s">
        <v>566</v>
      </c>
      <c r="P324" t="s">
        <v>567</v>
      </c>
      <c r="S324" t="s">
        <v>567</v>
      </c>
      <c r="T324" t="s">
        <v>567</v>
      </c>
      <c r="Z324" t="s">
        <v>568</v>
      </c>
      <c r="AA324" t="s">
        <v>568</v>
      </c>
      <c r="AC324" t="str">
        <v>Keystone Grey Property Mgmt.</v>
      </c>
    </row>
    <row r="325" spans="1:29">
      <c r="A325" t="s">
        <v>1239</v>
      </c>
      <c r="B325" t="s">
        <v>1246</v>
      </c>
      <c r="C325" t="s">
        <v>1247</v>
      </c>
      <c r="D325" t="s">
        <v>1242</v>
      </c>
      <c r="E325" t="s">
        <v>1258</v>
      </c>
      <c r="F325" t="s">
        <v>562</v>
      </c>
      <c r="G325" t="s">
        <v>562</v>
      </c>
      <c r="H325" t="s">
        <v>562</v>
      </c>
      <c r="I325">
        <v>4932</v>
      </c>
      <c r="J325" t="s">
        <v>564</v>
      </c>
      <c r="K325" s="698">
        <v>45957.556250000001</v>
      </c>
      <c r="L325" s="698">
        <v>45957.556250000001</v>
      </c>
      <c r="M325" t="s">
        <v>565</v>
      </c>
      <c r="N325" t="s">
        <v>565</v>
      </c>
      <c r="O325" t="s">
        <v>566</v>
      </c>
      <c r="P325" t="s">
        <v>567</v>
      </c>
      <c r="S325" t="s">
        <v>567</v>
      </c>
      <c r="T325" t="s">
        <v>567</v>
      </c>
      <c r="Z325" t="s">
        <v>568</v>
      </c>
      <c r="AA325" t="s">
        <v>568</v>
      </c>
      <c r="AC325" t="str">
        <v>KLM Contracting</v>
      </c>
    </row>
    <row r="326" spans="1:29">
      <c r="A326" t="s">
        <v>1239</v>
      </c>
      <c r="B326" t="s">
        <v>1259</v>
      </c>
      <c r="C326" t="s">
        <v>1260</v>
      </c>
      <c r="D326" t="s">
        <v>1242</v>
      </c>
      <c r="E326" t="s">
        <v>1261</v>
      </c>
      <c r="F326" t="s">
        <v>562</v>
      </c>
      <c r="G326" t="s">
        <v>562</v>
      </c>
      <c r="H326" t="s">
        <v>562</v>
      </c>
      <c r="I326">
        <v>4986</v>
      </c>
      <c r="J326" t="s">
        <v>564</v>
      </c>
      <c r="K326" s="698">
        <v>45957.558333333334</v>
      </c>
      <c r="L326" s="698">
        <v>45957.558333333334</v>
      </c>
      <c r="M326" t="s">
        <v>565</v>
      </c>
      <c r="N326" t="s">
        <v>565</v>
      </c>
      <c r="O326" t="s">
        <v>566</v>
      </c>
      <c r="P326" t="s">
        <v>567</v>
      </c>
      <c r="S326" t="s">
        <v>567</v>
      </c>
      <c r="T326" t="s">
        <v>567</v>
      </c>
      <c r="Z326" t="s">
        <v>568</v>
      </c>
      <c r="AA326" t="s">
        <v>568</v>
      </c>
      <c r="AC326" t="str">
        <v>Knox United Church</v>
      </c>
    </row>
    <row r="327" spans="1:29">
      <c r="A327" t="s">
        <v>1262</v>
      </c>
      <c r="B327" t="s">
        <v>562</v>
      </c>
      <c r="C327" t="s">
        <v>562</v>
      </c>
      <c r="D327" t="s">
        <v>1263</v>
      </c>
      <c r="E327" t="s">
        <v>1264</v>
      </c>
      <c r="F327" t="s">
        <v>562</v>
      </c>
      <c r="G327" t="s">
        <v>562</v>
      </c>
      <c r="H327" t="s">
        <v>562</v>
      </c>
      <c r="I327">
        <v>4228</v>
      </c>
      <c r="J327" t="s">
        <v>564</v>
      </c>
      <c r="K327" s="698">
        <v>45957.492361111108</v>
      </c>
      <c r="L327" s="698">
        <v>45957.492361111108</v>
      </c>
      <c r="M327" t="s">
        <v>565</v>
      </c>
      <c r="N327" t="s">
        <v>565</v>
      </c>
      <c r="O327" t="s">
        <v>566</v>
      </c>
      <c r="P327" t="s">
        <v>567</v>
      </c>
      <c r="S327" t="s">
        <v>567</v>
      </c>
      <c r="T327" t="s">
        <v>567</v>
      </c>
      <c r="Z327" t="s">
        <v>568</v>
      </c>
      <c r="AA327" t="s">
        <v>568</v>
      </c>
      <c r="AC327" t="str">
        <v>KNS Industries</v>
      </c>
    </row>
    <row r="328" spans="1:29">
      <c r="A328" t="s">
        <v>1265</v>
      </c>
      <c r="B328" t="s">
        <v>562</v>
      </c>
      <c r="C328" t="s">
        <v>562</v>
      </c>
      <c r="D328" t="s">
        <v>1266</v>
      </c>
      <c r="E328" t="s">
        <v>562</v>
      </c>
      <c r="F328" t="s">
        <v>562</v>
      </c>
      <c r="G328" t="s">
        <v>562</v>
      </c>
      <c r="H328" t="s">
        <v>562</v>
      </c>
      <c r="I328">
        <v>3510</v>
      </c>
      <c r="J328" t="s">
        <v>564</v>
      </c>
      <c r="K328" s="698">
        <v>45957.411805555559</v>
      </c>
      <c r="L328" s="698">
        <v>45957.411805555559</v>
      </c>
      <c r="M328" t="s">
        <v>565</v>
      </c>
      <c r="N328" t="s">
        <v>565</v>
      </c>
      <c r="O328" t="s">
        <v>566</v>
      </c>
      <c r="P328" t="s">
        <v>567</v>
      </c>
      <c r="S328" t="s">
        <v>567</v>
      </c>
      <c r="T328" t="s">
        <v>567</v>
      </c>
      <c r="Z328" t="s">
        <v>568</v>
      </c>
      <c r="AA328" t="s">
        <v>568</v>
      </c>
      <c r="AC328" t="str">
        <v>KOL Holdings</v>
      </c>
    </row>
    <row r="329" spans="1:29">
      <c r="A329" t="s">
        <v>1265</v>
      </c>
      <c r="B329" t="s">
        <v>1267</v>
      </c>
      <c r="C329" t="s">
        <v>562</v>
      </c>
      <c r="D329" t="s">
        <v>1268</v>
      </c>
      <c r="E329" t="s">
        <v>1269</v>
      </c>
      <c r="F329" t="s">
        <v>562</v>
      </c>
      <c r="G329" t="s">
        <v>562</v>
      </c>
      <c r="H329" t="s">
        <v>562</v>
      </c>
      <c r="I329">
        <v>3650</v>
      </c>
      <c r="J329" t="s">
        <v>564</v>
      </c>
      <c r="K329" s="698">
        <v>45957.425694444442</v>
      </c>
      <c r="L329" s="698">
        <v>45957.425694444442</v>
      </c>
      <c r="M329" t="s">
        <v>565</v>
      </c>
      <c r="N329" t="s">
        <v>565</v>
      </c>
      <c r="O329" t="s">
        <v>566</v>
      </c>
      <c r="P329" t="s">
        <v>567</v>
      </c>
      <c r="S329" t="s">
        <v>567</v>
      </c>
      <c r="T329" t="s">
        <v>567</v>
      </c>
      <c r="Z329" t="s">
        <v>568</v>
      </c>
      <c r="AA329" t="s">
        <v>568</v>
      </c>
      <c r="AC329" t="str">
        <v>La Cite Des Rocheuses</v>
      </c>
    </row>
    <row r="330" spans="1:29">
      <c r="A330" t="s">
        <v>1270</v>
      </c>
      <c r="B330" t="s">
        <v>1271</v>
      </c>
      <c r="C330" t="s">
        <v>1272</v>
      </c>
      <c r="D330" t="s">
        <v>562</v>
      </c>
      <c r="E330" t="s">
        <v>1273</v>
      </c>
      <c r="F330" t="s">
        <v>562</v>
      </c>
      <c r="G330" t="s">
        <v>562</v>
      </c>
      <c r="H330" t="s">
        <v>562</v>
      </c>
      <c r="I330">
        <v>4683</v>
      </c>
      <c r="J330" t="s">
        <v>564</v>
      </c>
      <c r="K330" s="698">
        <v>45957.548611111109</v>
      </c>
      <c r="L330" s="698">
        <v>45957.548611111109</v>
      </c>
      <c r="M330" t="s">
        <v>565</v>
      </c>
      <c r="N330" t="s">
        <v>565</v>
      </c>
      <c r="O330" t="s">
        <v>566</v>
      </c>
      <c r="P330" t="s">
        <v>567</v>
      </c>
      <c r="S330" t="s">
        <v>567</v>
      </c>
      <c r="T330" t="s">
        <v>567</v>
      </c>
      <c r="Z330" t="s">
        <v>568</v>
      </c>
      <c r="AA330" t="s">
        <v>568</v>
      </c>
      <c r="AC330" t="str">
        <v>LE Facility Maintenance</v>
      </c>
    </row>
    <row r="331" spans="1:29">
      <c r="A331" t="s">
        <v>1270</v>
      </c>
      <c r="B331" t="s">
        <v>1274</v>
      </c>
      <c r="C331" t="s">
        <v>1275</v>
      </c>
      <c r="D331" t="s">
        <v>562</v>
      </c>
      <c r="E331" t="s">
        <v>1276</v>
      </c>
      <c r="F331" t="s">
        <v>562</v>
      </c>
      <c r="G331" t="s">
        <v>562</v>
      </c>
      <c r="H331" t="s">
        <v>562</v>
      </c>
      <c r="I331">
        <v>4884</v>
      </c>
      <c r="J331" t="s">
        <v>564</v>
      </c>
      <c r="K331" s="698">
        <v>45957.554861111108</v>
      </c>
      <c r="L331" s="698">
        <v>45957.554861111108</v>
      </c>
      <c r="M331" t="s">
        <v>565</v>
      </c>
      <c r="N331" t="s">
        <v>565</v>
      </c>
      <c r="O331" t="s">
        <v>566</v>
      </c>
      <c r="P331" t="s">
        <v>567</v>
      </c>
      <c r="S331" t="s">
        <v>567</v>
      </c>
      <c r="T331" t="s">
        <v>567</v>
      </c>
      <c r="Z331" t="s">
        <v>568</v>
      </c>
      <c r="AA331" t="s">
        <v>568</v>
      </c>
      <c r="AC331" t="str">
        <v>Leadon (Calgary Downtown) Operations LP</v>
      </c>
    </row>
    <row r="332" spans="1:29">
      <c r="A332" t="s">
        <v>1277</v>
      </c>
      <c r="B332" t="s">
        <v>1278</v>
      </c>
      <c r="C332" t="s">
        <v>562</v>
      </c>
      <c r="D332" t="s">
        <v>562</v>
      </c>
      <c r="E332" t="s">
        <v>1279</v>
      </c>
      <c r="F332" t="s">
        <v>562</v>
      </c>
      <c r="G332" t="s">
        <v>562</v>
      </c>
      <c r="H332" t="s">
        <v>562</v>
      </c>
      <c r="I332">
        <v>5024</v>
      </c>
      <c r="J332" t="s">
        <v>564</v>
      </c>
      <c r="K332" s="698">
        <v>45957.559027777781</v>
      </c>
      <c r="L332" s="698">
        <v>45957.559027777781</v>
      </c>
      <c r="M332" t="s">
        <v>565</v>
      </c>
      <c r="N332" t="s">
        <v>565</v>
      </c>
      <c r="O332" t="s">
        <v>566</v>
      </c>
      <c r="P332" t="s">
        <v>567</v>
      </c>
      <c r="S332" t="s">
        <v>567</v>
      </c>
      <c r="T332" t="s">
        <v>567</v>
      </c>
      <c r="Z332" t="s">
        <v>568</v>
      </c>
      <c r="AA332" t="s">
        <v>568</v>
      </c>
      <c r="AC332" t="str">
        <v>Legion 284</v>
      </c>
    </row>
    <row r="333" spans="1:29">
      <c r="A333" t="s">
        <v>1280</v>
      </c>
      <c r="B333" t="s">
        <v>1281</v>
      </c>
      <c r="C333" t="s">
        <v>1282</v>
      </c>
      <c r="D333" t="s">
        <v>1283</v>
      </c>
      <c r="E333" t="s">
        <v>562</v>
      </c>
      <c r="F333" t="s">
        <v>562</v>
      </c>
      <c r="G333" t="s">
        <v>562</v>
      </c>
      <c r="H333" t="s">
        <v>562</v>
      </c>
      <c r="I333">
        <v>3511</v>
      </c>
      <c r="J333" t="s">
        <v>564</v>
      </c>
      <c r="K333" s="698">
        <v>45957.411805555559</v>
      </c>
      <c r="L333" s="698">
        <v>45957.411805555559</v>
      </c>
      <c r="M333" t="s">
        <v>565</v>
      </c>
      <c r="N333" t="s">
        <v>565</v>
      </c>
      <c r="O333" t="s">
        <v>566</v>
      </c>
      <c r="P333" t="s">
        <v>567</v>
      </c>
      <c r="S333" t="s">
        <v>567</v>
      </c>
      <c r="T333" t="s">
        <v>567</v>
      </c>
      <c r="Z333" t="s">
        <v>568</v>
      </c>
      <c r="AA333" t="s">
        <v>568</v>
      </c>
      <c r="AC333" t="str">
        <v>Lignum Interiors Inc.</v>
      </c>
    </row>
    <row r="334" spans="1:29">
      <c r="A334" t="s">
        <v>1280</v>
      </c>
      <c r="B334" t="s">
        <v>562</v>
      </c>
      <c r="C334" t="s">
        <v>562</v>
      </c>
      <c r="D334" t="s">
        <v>1284</v>
      </c>
      <c r="E334" t="s">
        <v>1285</v>
      </c>
      <c r="F334" t="s">
        <v>562</v>
      </c>
      <c r="G334" t="s">
        <v>562</v>
      </c>
      <c r="H334" t="s">
        <v>562</v>
      </c>
      <c r="I334">
        <v>5234</v>
      </c>
      <c r="J334" t="s">
        <v>564</v>
      </c>
      <c r="K334" s="698">
        <v>46000.337500000001</v>
      </c>
      <c r="L334" s="698">
        <v>46000.337500000001</v>
      </c>
      <c r="M334" t="s">
        <v>565</v>
      </c>
      <c r="N334" t="s">
        <v>565</v>
      </c>
      <c r="O334" t="s">
        <v>566</v>
      </c>
      <c r="P334" t="s">
        <v>567</v>
      </c>
      <c r="S334" t="s">
        <v>567</v>
      </c>
      <c r="T334" t="s">
        <v>567</v>
      </c>
      <c r="Z334" t="s">
        <v>826</v>
      </c>
      <c r="AA334" t="s">
        <v>826</v>
      </c>
      <c r="AC334" t="str">
        <v>Little Fast + Fresh</v>
      </c>
    </row>
    <row r="335" spans="1:29">
      <c r="A335" t="s">
        <v>1280</v>
      </c>
      <c r="B335" t="s">
        <v>1286</v>
      </c>
      <c r="C335" t="s">
        <v>562</v>
      </c>
      <c r="D335" t="s">
        <v>1284</v>
      </c>
      <c r="E335" t="s">
        <v>1285</v>
      </c>
      <c r="F335" t="s">
        <v>562</v>
      </c>
      <c r="G335" t="s">
        <v>562</v>
      </c>
      <c r="H335" t="s">
        <v>562</v>
      </c>
      <c r="I335">
        <v>5235</v>
      </c>
      <c r="J335" t="s">
        <v>564</v>
      </c>
      <c r="K335" s="698">
        <v>46000.337500000001</v>
      </c>
      <c r="L335" s="698">
        <v>46000.337500000001</v>
      </c>
      <c r="M335" t="s">
        <v>565</v>
      </c>
      <c r="N335" t="s">
        <v>565</v>
      </c>
      <c r="O335" t="s">
        <v>566</v>
      </c>
      <c r="P335" t="s">
        <v>567</v>
      </c>
      <c r="S335" t="s">
        <v>567</v>
      </c>
      <c r="T335" t="s">
        <v>567</v>
      </c>
      <c r="Z335" t="s">
        <v>826</v>
      </c>
      <c r="AA335" t="s">
        <v>826</v>
      </c>
      <c r="AC335" t="str">
        <v>Lois Teirney</v>
      </c>
    </row>
    <row r="336" spans="1:29">
      <c r="A336" t="s">
        <v>1280</v>
      </c>
      <c r="B336" t="s">
        <v>1287</v>
      </c>
      <c r="C336" t="s">
        <v>562</v>
      </c>
      <c r="D336" t="s">
        <v>1288</v>
      </c>
      <c r="E336" t="s">
        <v>1289</v>
      </c>
      <c r="F336" t="s">
        <v>562</v>
      </c>
      <c r="G336" t="s">
        <v>562</v>
      </c>
      <c r="H336" t="s">
        <v>562</v>
      </c>
      <c r="I336">
        <v>5238</v>
      </c>
      <c r="J336" t="s">
        <v>564</v>
      </c>
      <c r="K336" s="698">
        <v>46009.586111111108</v>
      </c>
      <c r="L336" s="698">
        <v>46009.586111111108</v>
      </c>
      <c r="M336" t="s">
        <v>565</v>
      </c>
      <c r="N336" t="s">
        <v>565</v>
      </c>
      <c r="O336" t="s">
        <v>566</v>
      </c>
      <c r="P336" t="s">
        <v>567</v>
      </c>
      <c r="S336" t="s">
        <v>567</v>
      </c>
      <c r="T336" t="s">
        <v>567</v>
      </c>
      <c r="Z336" t="s">
        <v>826</v>
      </c>
      <c r="AA336" t="s">
        <v>826</v>
      </c>
      <c r="AC336" t="str">
        <v>Louson Investments Ltd.</v>
      </c>
    </row>
    <row r="337" spans="1:29">
      <c r="A337" t="s">
        <v>1280</v>
      </c>
      <c r="B337" t="s">
        <v>1290</v>
      </c>
      <c r="C337" t="s">
        <v>562</v>
      </c>
      <c r="D337" t="s">
        <v>1291</v>
      </c>
      <c r="E337" t="s">
        <v>1292</v>
      </c>
      <c r="F337" t="s">
        <v>562</v>
      </c>
      <c r="G337" t="s">
        <v>562</v>
      </c>
      <c r="H337" t="s">
        <v>562</v>
      </c>
      <c r="I337">
        <v>5239</v>
      </c>
      <c r="J337" t="s">
        <v>564</v>
      </c>
      <c r="K337" s="698">
        <v>46027.574305555558</v>
      </c>
      <c r="L337" s="698">
        <v>46027.574305555558</v>
      </c>
      <c r="M337" t="s">
        <v>565</v>
      </c>
      <c r="N337" t="s">
        <v>565</v>
      </c>
      <c r="O337" t="s">
        <v>566</v>
      </c>
      <c r="P337" t="s">
        <v>567</v>
      </c>
      <c r="S337" t="s">
        <v>567</v>
      </c>
      <c r="T337" t="s">
        <v>567</v>
      </c>
      <c r="Z337" t="s">
        <v>826</v>
      </c>
      <c r="AA337" t="s">
        <v>826</v>
      </c>
      <c r="AC337" t="str">
        <v>Luff Industries</v>
      </c>
    </row>
    <row r="338" spans="1:29">
      <c r="A338" t="s">
        <v>1280</v>
      </c>
      <c r="B338" t="s">
        <v>1287</v>
      </c>
      <c r="C338" t="s">
        <v>562</v>
      </c>
      <c r="D338" t="s">
        <v>1288</v>
      </c>
      <c r="E338" t="s">
        <v>1293</v>
      </c>
      <c r="F338" t="s">
        <v>562</v>
      </c>
      <c r="G338" t="s">
        <v>562</v>
      </c>
      <c r="H338" t="s">
        <v>562</v>
      </c>
      <c r="I338">
        <v>5240</v>
      </c>
      <c r="J338" t="s">
        <v>564</v>
      </c>
      <c r="K338" s="698">
        <v>46028.309027777781</v>
      </c>
      <c r="L338" s="698">
        <v>46028.309027777781</v>
      </c>
      <c r="M338" t="s">
        <v>565</v>
      </c>
      <c r="N338" t="s">
        <v>565</v>
      </c>
      <c r="O338" t="s">
        <v>566</v>
      </c>
      <c r="P338" t="s">
        <v>567</v>
      </c>
      <c r="S338" t="s">
        <v>567</v>
      </c>
      <c r="T338" t="s">
        <v>567</v>
      </c>
      <c r="Z338" t="s">
        <v>826</v>
      </c>
      <c r="AA338" t="s">
        <v>826</v>
      </c>
      <c r="AC338" t="str">
        <v>M3 Development Management Ltd</v>
      </c>
    </row>
    <row r="339" spans="1:29">
      <c r="A339" t="s">
        <v>1280</v>
      </c>
      <c r="B339" t="s">
        <v>1287</v>
      </c>
      <c r="C339" t="s">
        <v>562</v>
      </c>
      <c r="D339" t="s">
        <v>1288</v>
      </c>
      <c r="E339" t="s">
        <v>1293</v>
      </c>
      <c r="F339" t="s">
        <v>562</v>
      </c>
      <c r="G339" t="s">
        <v>562</v>
      </c>
      <c r="H339" t="s">
        <v>562</v>
      </c>
      <c r="I339">
        <v>5241</v>
      </c>
      <c r="J339" t="s">
        <v>564</v>
      </c>
      <c r="K339" s="698">
        <v>46028.30972222222</v>
      </c>
      <c r="L339" s="698">
        <v>46028.30972222222</v>
      </c>
      <c r="M339" t="s">
        <v>565</v>
      </c>
      <c r="N339" t="s">
        <v>565</v>
      </c>
      <c r="O339" t="s">
        <v>566</v>
      </c>
      <c r="P339" t="s">
        <v>567</v>
      </c>
      <c r="S339" t="s">
        <v>567</v>
      </c>
      <c r="T339" t="s">
        <v>567</v>
      </c>
      <c r="Z339" t="s">
        <v>826</v>
      </c>
      <c r="AA339" t="s">
        <v>826</v>
      </c>
      <c r="AC339" t="str">
        <v>MAACO</v>
      </c>
    </row>
    <row r="340" spans="1:29">
      <c r="A340" t="s">
        <v>1294</v>
      </c>
      <c r="B340" t="s">
        <v>1295</v>
      </c>
      <c r="C340" t="s">
        <v>562</v>
      </c>
      <c r="D340" t="s">
        <v>1296</v>
      </c>
      <c r="E340" t="s">
        <v>1297</v>
      </c>
      <c r="F340" t="s">
        <v>562</v>
      </c>
      <c r="G340" t="s">
        <v>562</v>
      </c>
      <c r="H340" t="s">
        <v>562</v>
      </c>
      <c r="I340">
        <v>4960</v>
      </c>
      <c r="J340" t="s">
        <v>564</v>
      </c>
      <c r="K340" s="698">
        <v>45957.556944444441</v>
      </c>
      <c r="L340" s="698">
        <v>45957.556944444441</v>
      </c>
      <c r="M340" t="s">
        <v>565</v>
      </c>
      <c r="N340" t="s">
        <v>565</v>
      </c>
      <c r="O340" t="s">
        <v>566</v>
      </c>
      <c r="P340" t="s">
        <v>567</v>
      </c>
      <c r="S340" t="s">
        <v>567</v>
      </c>
      <c r="T340" t="s">
        <v>567</v>
      </c>
      <c r="Z340" t="s">
        <v>568</v>
      </c>
      <c r="AA340" t="s">
        <v>568</v>
      </c>
      <c r="AC340" t="str">
        <v>Mackie Group</v>
      </c>
    </row>
    <row r="341" spans="1:29">
      <c r="A341" t="s">
        <v>1298</v>
      </c>
      <c r="B341" t="s">
        <v>562</v>
      </c>
      <c r="C341" t="s">
        <v>1299</v>
      </c>
      <c r="D341" t="s">
        <v>1300</v>
      </c>
      <c r="E341" t="s">
        <v>562</v>
      </c>
      <c r="F341" t="s">
        <v>562</v>
      </c>
      <c r="G341" t="s">
        <v>562</v>
      </c>
      <c r="H341" t="s">
        <v>562</v>
      </c>
      <c r="I341">
        <v>3512</v>
      </c>
      <c r="J341" t="s">
        <v>564</v>
      </c>
      <c r="K341" s="698">
        <v>45957.411805555559</v>
      </c>
      <c r="L341" s="698">
        <v>45957.411805555559</v>
      </c>
      <c r="M341" t="s">
        <v>565</v>
      </c>
      <c r="N341" t="s">
        <v>565</v>
      </c>
      <c r="O341" t="s">
        <v>566</v>
      </c>
      <c r="P341" t="s">
        <v>567</v>
      </c>
      <c r="S341" t="s">
        <v>567</v>
      </c>
      <c r="T341" t="s">
        <v>567</v>
      </c>
      <c r="Z341" t="s">
        <v>568</v>
      </c>
      <c r="AA341" t="s">
        <v>568</v>
      </c>
      <c r="AC341" t="str">
        <v>Mainline Equipment</v>
      </c>
    </row>
    <row r="342" spans="1:29">
      <c r="A342" t="s">
        <v>1298</v>
      </c>
      <c r="B342" t="s">
        <v>1301</v>
      </c>
      <c r="C342" t="s">
        <v>1302</v>
      </c>
      <c r="D342" t="s">
        <v>562</v>
      </c>
      <c r="E342" t="s">
        <v>1303</v>
      </c>
      <c r="F342" t="s">
        <v>562</v>
      </c>
      <c r="G342" t="s">
        <v>562</v>
      </c>
      <c r="H342" t="s">
        <v>562</v>
      </c>
      <c r="I342">
        <v>3750</v>
      </c>
      <c r="J342" t="s">
        <v>564</v>
      </c>
      <c r="K342" s="698">
        <v>45957.436111111114</v>
      </c>
      <c r="L342" s="698">
        <v>45957.436111111114</v>
      </c>
      <c r="M342" t="s">
        <v>565</v>
      </c>
      <c r="N342" t="s">
        <v>565</v>
      </c>
      <c r="O342" t="s">
        <v>566</v>
      </c>
      <c r="P342" t="s">
        <v>567</v>
      </c>
      <c r="S342" t="s">
        <v>567</v>
      </c>
      <c r="T342" t="s">
        <v>567</v>
      </c>
      <c r="Z342" t="s">
        <v>568</v>
      </c>
      <c r="AA342" t="s">
        <v>568</v>
      </c>
      <c r="AC342" t="str">
        <v>Malory Obligation</v>
      </c>
    </row>
    <row r="343" spans="1:29">
      <c r="A343" t="s">
        <v>1298</v>
      </c>
      <c r="B343" t="s">
        <v>1304</v>
      </c>
      <c r="C343" t="s">
        <v>1305</v>
      </c>
      <c r="D343" t="s">
        <v>562</v>
      </c>
      <c r="E343" t="s">
        <v>1306</v>
      </c>
      <c r="F343" t="s">
        <v>562</v>
      </c>
      <c r="G343" t="s">
        <v>562</v>
      </c>
      <c r="H343" t="s">
        <v>562</v>
      </c>
      <c r="I343">
        <v>3846</v>
      </c>
      <c r="J343" t="s">
        <v>564</v>
      </c>
      <c r="K343" s="698">
        <v>45957.447222222225</v>
      </c>
      <c r="L343" s="698">
        <v>45957.447222222225</v>
      </c>
      <c r="M343" t="s">
        <v>565</v>
      </c>
      <c r="N343" t="s">
        <v>565</v>
      </c>
      <c r="O343" t="s">
        <v>566</v>
      </c>
      <c r="P343" t="s">
        <v>567</v>
      </c>
      <c r="S343" t="s">
        <v>567</v>
      </c>
      <c r="T343" t="s">
        <v>567</v>
      </c>
      <c r="Z343" t="s">
        <v>568</v>
      </c>
      <c r="AA343" t="s">
        <v>568</v>
      </c>
      <c r="AC343" t="str">
        <v>Manulife Financial</v>
      </c>
    </row>
    <row r="344" spans="1:29">
      <c r="A344" t="s">
        <v>1298</v>
      </c>
      <c r="B344" t="s">
        <v>1307</v>
      </c>
      <c r="C344" t="s">
        <v>1308</v>
      </c>
      <c r="D344" t="s">
        <v>562</v>
      </c>
      <c r="E344" t="s">
        <v>1309</v>
      </c>
      <c r="F344" t="s">
        <v>562</v>
      </c>
      <c r="G344" t="s">
        <v>562</v>
      </c>
      <c r="H344" t="s">
        <v>562</v>
      </c>
      <c r="I344">
        <v>3850</v>
      </c>
      <c r="J344" t="s">
        <v>564</v>
      </c>
      <c r="K344" s="698">
        <v>45957.447222222225</v>
      </c>
      <c r="L344" s="698">
        <v>45957.447222222225</v>
      </c>
      <c r="M344" t="s">
        <v>565</v>
      </c>
      <c r="N344" t="s">
        <v>565</v>
      </c>
      <c r="O344" t="s">
        <v>566</v>
      </c>
      <c r="P344" t="s">
        <v>567</v>
      </c>
      <c r="S344" t="s">
        <v>567</v>
      </c>
      <c r="T344" t="s">
        <v>567</v>
      </c>
      <c r="Z344" t="s">
        <v>568</v>
      </c>
      <c r="AA344" t="s">
        <v>568</v>
      </c>
      <c r="AC344" t="str">
        <v>Maria Montessori Education Centre</v>
      </c>
    </row>
    <row r="345" spans="1:29">
      <c r="A345" t="s">
        <v>1298</v>
      </c>
      <c r="B345" t="s">
        <v>1310</v>
      </c>
      <c r="C345" t="s">
        <v>1311</v>
      </c>
      <c r="D345" t="s">
        <v>562</v>
      </c>
      <c r="E345" t="s">
        <v>1312</v>
      </c>
      <c r="F345" t="s">
        <v>562</v>
      </c>
      <c r="G345" t="s">
        <v>562</v>
      </c>
      <c r="H345" t="s">
        <v>562</v>
      </c>
      <c r="I345">
        <v>3851</v>
      </c>
      <c r="J345" t="s">
        <v>564</v>
      </c>
      <c r="K345" s="698">
        <v>45957.447916666664</v>
      </c>
      <c r="L345" s="698">
        <v>45957.447916666664</v>
      </c>
      <c r="M345" t="s">
        <v>565</v>
      </c>
      <c r="N345" t="s">
        <v>565</v>
      </c>
      <c r="O345" t="s">
        <v>566</v>
      </c>
      <c r="P345" t="s">
        <v>567</v>
      </c>
      <c r="S345" t="s">
        <v>567</v>
      </c>
      <c r="T345" t="s">
        <v>567</v>
      </c>
      <c r="Z345" t="s">
        <v>568</v>
      </c>
      <c r="AA345" t="s">
        <v>568</v>
      </c>
      <c r="AC345" t="str">
        <v>Marilyn &amp; Tom Wickenheiser</v>
      </c>
    </row>
    <row r="346" spans="1:29">
      <c r="A346" t="s">
        <v>1298</v>
      </c>
      <c r="B346" t="s">
        <v>1304</v>
      </c>
      <c r="C346" t="s">
        <v>1313</v>
      </c>
      <c r="D346" t="s">
        <v>562</v>
      </c>
      <c r="E346" t="s">
        <v>1314</v>
      </c>
      <c r="F346" t="s">
        <v>562</v>
      </c>
      <c r="G346" t="s">
        <v>562</v>
      </c>
      <c r="H346" t="s">
        <v>562</v>
      </c>
      <c r="I346">
        <v>3871</v>
      </c>
      <c r="J346" t="s">
        <v>564</v>
      </c>
      <c r="K346" s="698">
        <v>45957.45</v>
      </c>
      <c r="L346" s="698">
        <v>45957.45</v>
      </c>
      <c r="M346" t="s">
        <v>565</v>
      </c>
      <c r="N346" t="s">
        <v>565</v>
      </c>
      <c r="O346" t="s">
        <v>566</v>
      </c>
      <c r="P346" t="s">
        <v>567</v>
      </c>
      <c r="S346" t="s">
        <v>567</v>
      </c>
      <c r="T346" t="s">
        <v>567</v>
      </c>
      <c r="Z346" t="s">
        <v>568</v>
      </c>
      <c r="AA346" t="s">
        <v>568</v>
      </c>
      <c r="AC346" t="str">
        <v>Mario Vetere</v>
      </c>
    </row>
    <row r="347" spans="1:29">
      <c r="A347" t="s">
        <v>1298</v>
      </c>
      <c r="B347" t="s">
        <v>1315</v>
      </c>
      <c r="C347" t="s">
        <v>1316</v>
      </c>
      <c r="D347" t="s">
        <v>562</v>
      </c>
      <c r="E347" t="s">
        <v>1317</v>
      </c>
      <c r="F347" t="s">
        <v>562</v>
      </c>
      <c r="G347" t="s">
        <v>562</v>
      </c>
      <c r="H347" t="s">
        <v>562</v>
      </c>
      <c r="I347">
        <v>4036</v>
      </c>
      <c r="J347" t="s">
        <v>564</v>
      </c>
      <c r="K347" s="698">
        <v>45957.46875</v>
      </c>
      <c r="L347" s="698">
        <v>45957.46875</v>
      </c>
      <c r="M347" t="s">
        <v>565</v>
      </c>
      <c r="N347" t="s">
        <v>565</v>
      </c>
      <c r="O347" t="s">
        <v>566</v>
      </c>
      <c r="P347" t="s">
        <v>567</v>
      </c>
      <c r="S347" t="s">
        <v>567</v>
      </c>
      <c r="T347" t="s">
        <v>567</v>
      </c>
      <c r="Z347" t="s">
        <v>568</v>
      </c>
      <c r="AA347" t="s">
        <v>568</v>
      </c>
      <c r="AC347" t="str">
        <v>Mark Miller</v>
      </c>
    </row>
    <row r="348" spans="1:29">
      <c r="A348" t="s">
        <v>1298</v>
      </c>
      <c r="B348" t="s">
        <v>1318</v>
      </c>
      <c r="C348" t="s">
        <v>1319</v>
      </c>
      <c r="D348" t="s">
        <v>562</v>
      </c>
      <c r="E348" t="s">
        <v>1320</v>
      </c>
      <c r="F348" t="s">
        <v>562</v>
      </c>
      <c r="G348" t="s">
        <v>562</v>
      </c>
      <c r="H348" t="s">
        <v>562</v>
      </c>
      <c r="I348">
        <v>4247</v>
      </c>
      <c r="J348" t="s">
        <v>564</v>
      </c>
      <c r="K348" s="698">
        <v>45957.494444444441</v>
      </c>
      <c r="L348" s="698">
        <v>45957.494444444441</v>
      </c>
      <c r="M348" t="s">
        <v>565</v>
      </c>
      <c r="N348" t="s">
        <v>565</v>
      </c>
      <c r="O348" t="s">
        <v>566</v>
      </c>
      <c r="P348" t="s">
        <v>567</v>
      </c>
      <c r="S348" t="s">
        <v>567</v>
      </c>
      <c r="T348" t="s">
        <v>567</v>
      </c>
      <c r="Z348" t="s">
        <v>568</v>
      </c>
      <c r="AA348" t="s">
        <v>568</v>
      </c>
      <c r="AC348" t="str">
        <v>Marlborough Mall Medical Clinic</v>
      </c>
    </row>
    <row r="349" spans="1:29">
      <c r="A349" t="s">
        <v>1298</v>
      </c>
      <c r="B349" t="s">
        <v>1321</v>
      </c>
      <c r="C349" t="s">
        <v>1322</v>
      </c>
      <c r="D349" t="s">
        <v>562</v>
      </c>
      <c r="E349" t="s">
        <v>1323</v>
      </c>
      <c r="F349" t="s">
        <v>562</v>
      </c>
      <c r="G349" t="s">
        <v>562</v>
      </c>
      <c r="H349" t="s">
        <v>562</v>
      </c>
      <c r="I349">
        <v>4402</v>
      </c>
      <c r="J349" t="s">
        <v>564</v>
      </c>
      <c r="K349" s="698">
        <v>45957.513888888891</v>
      </c>
      <c r="L349" s="698">
        <v>45957.513888888891</v>
      </c>
      <c r="M349" t="s">
        <v>565</v>
      </c>
      <c r="N349" t="s">
        <v>565</v>
      </c>
      <c r="O349" t="s">
        <v>566</v>
      </c>
      <c r="P349" t="s">
        <v>567</v>
      </c>
      <c r="S349" t="s">
        <v>567</v>
      </c>
      <c r="T349" t="s">
        <v>567</v>
      </c>
      <c r="Z349" t="s">
        <v>568</v>
      </c>
      <c r="AA349" t="s">
        <v>568</v>
      </c>
      <c r="AC349" t="str">
        <v>Masterworks Electrical and Contracting</v>
      </c>
    </row>
    <row r="350" spans="1:29">
      <c r="A350" t="s">
        <v>1298</v>
      </c>
      <c r="B350" t="s">
        <v>1324</v>
      </c>
      <c r="C350" t="s">
        <v>1325</v>
      </c>
      <c r="D350" t="s">
        <v>562</v>
      </c>
      <c r="E350" t="s">
        <v>1326</v>
      </c>
      <c r="F350" t="s">
        <v>562</v>
      </c>
      <c r="G350" t="s">
        <v>562</v>
      </c>
      <c r="H350" t="s">
        <v>562</v>
      </c>
      <c r="I350">
        <v>4404</v>
      </c>
      <c r="J350" t="s">
        <v>564</v>
      </c>
      <c r="K350" s="698">
        <v>45957.51458333333</v>
      </c>
      <c r="L350" s="698">
        <v>45957.51458333333</v>
      </c>
      <c r="M350" t="s">
        <v>565</v>
      </c>
      <c r="N350" t="s">
        <v>565</v>
      </c>
      <c r="O350" t="s">
        <v>566</v>
      </c>
      <c r="P350" t="s">
        <v>567</v>
      </c>
      <c r="S350" t="s">
        <v>567</v>
      </c>
      <c r="T350" t="s">
        <v>567</v>
      </c>
      <c r="Z350" t="s">
        <v>568</v>
      </c>
      <c r="AA350" t="s">
        <v>568</v>
      </c>
      <c r="AC350" t="str">
        <v>Matt Dreger</v>
      </c>
    </row>
    <row r="351" spans="1:29">
      <c r="A351" t="s">
        <v>1327</v>
      </c>
      <c r="B351" t="s">
        <v>1328</v>
      </c>
      <c r="C351" t="s">
        <v>1329</v>
      </c>
      <c r="D351" t="s">
        <v>1330</v>
      </c>
      <c r="E351" t="s">
        <v>1331</v>
      </c>
      <c r="F351" t="s">
        <v>562</v>
      </c>
      <c r="G351" t="s">
        <v>562</v>
      </c>
      <c r="H351" t="s">
        <v>562</v>
      </c>
      <c r="I351">
        <v>4064</v>
      </c>
      <c r="J351" t="s">
        <v>564</v>
      </c>
      <c r="K351" s="698">
        <v>45957.472222222219</v>
      </c>
      <c r="L351" s="698">
        <v>45957.472222222219</v>
      </c>
      <c r="M351" t="s">
        <v>565</v>
      </c>
      <c r="N351" t="s">
        <v>565</v>
      </c>
      <c r="O351" t="s">
        <v>566</v>
      </c>
      <c r="P351" t="s">
        <v>567</v>
      </c>
      <c r="S351" t="s">
        <v>567</v>
      </c>
      <c r="T351" t="s">
        <v>567</v>
      </c>
      <c r="Z351" t="s">
        <v>568</v>
      </c>
      <c r="AA351" t="s">
        <v>568</v>
      </c>
      <c r="AC351" t="str">
        <v>Matthew Johnston</v>
      </c>
    </row>
    <row r="352" spans="1:29">
      <c r="A352" t="s">
        <v>1332</v>
      </c>
      <c r="B352" t="s">
        <v>1333</v>
      </c>
      <c r="C352" t="s">
        <v>562</v>
      </c>
      <c r="D352" t="s">
        <v>1334</v>
      </c>
      <c r="E352" t="s">
        <v>1335</v>
      </c>
      <c r="F352" t="s">
        <v>562</v>
      </c>
      <c r="G352" t="s">
        <v>562</v>
      </c>
      <c r="H352" t="s">
        <v>562</v>
      </c>
      <c r="I352">
        <v>4619</v>
      </c>
      <c r="J352" t="s">
        <v>564</v>
      </c>
      <c r="K352" s="698">
        <v>45957.540972222225</v>
      </c>
      <c r="L352" s="698">
        <v>45957.540972222225</v>
      </c>
      <c r="M352" t="s">
        <v>565</v>
      </c>
      <c r="N352" t="s">
        <v>565</v>
      </c>
      <c r="O352" t="s">
        <v>566</v>
      </c>
      <c r="P352" t="s">
        <v>567</v>
      </c>
      <c r="S352" t="s">
        <v>567</v>
      </c>
      <c r="T352" t="s">
        <v>567</v>
      </c>
      <c r="Z352" t="s">
        <v>568</v>
      </c>
      <c r="AA352" t="s">
        <v>568</v>
      </c>
      <c r="AC352" t="str">
        <v>Mayfair Diagnostics</v>
      </c>
    </row>
    <row r="353" spans="1:29">
      <c r="A353" t="s">
        <v>1336</v>
      </c>
      <c r="B353" t="s">
        <v>1274</v>
      </c>
      <c r="C353" t="s">
        <v>1337</v>
      </c>
      <c r="D353" t="s">
        <v>1338</v>
      </c>
      <c r="E353" t="s">
        <v>1339</v>
      </c>
      <c r="F353" t="s">
        <v>562</v>
      </c>
      <c r="G353" t="s">
        <v>562</v>
      </c>
      <c r="H353" t="s">
        <v>562</v>
      </c>
      <c r="I353">
        <v>4401</v>
      </c>
      <c r="J353" t="s">
        <v>564</v>
      </c>
      <c r="K353" s="698">
        <v>45957.513888888891</v>
      </c>
      <c r="L353" s="698">
        <v>45957.513888888891</v>
      </c>
      <c r="M353" t="s">
        <v>565</v>
      </c>
      <c r="N353" t="s">
        <v>565</v>
      </c>
      <c r="O353" t="s">
        <v>566</v>
      </c>
      <c r="P353" t="s">
        <v>567</v>
      </c>
      <c r="S353" t="s">
        <v>567</v>
      </c>
      <c r="T353" t="s">
        <v>567</v>
      </c>
      <c r="Z353" t="s">
        <v>568</v>
      </c>
      <c r="AA353" t="s">
        <v>568</v>
      </c>
      <c r="AC353" t="str">
        <v>MB Studios VBC Canada Ltd</v>
      </c>
    </row>
    <row r="354" spans="1:29">
      <c r="A354" t="s">
        <v>1336</v>
      </c>
      <c r="B354" t="s">
        <v>1274</v>
      </c>
      <c r="C354" t="s">
        <v>1337</v>
      </c>
      <c r="D354" t="s">
        <v>1338</v>
      </c>
      <c r="E354" t="s">
        <v>1340</v>
      </c>
      <c r="F354" t="s">
        <v>562</v>
      </c>
      <c r="G354" t="s">
        <v>562</v>
      </c>
      <c r="H354" t="s">
        <v>562</v>
      </c>
      <c r="I354">
        <v>4428</v>
      </c>
      <c r="J354" t="s">
        <v>564</v>
      </c>
      <c r="K354" s="698">
        <v>45957.517361111109</v>
      </c>
      <c r="L354" s="698">
        <v>45957.517361111109</v>
      </c>
      <c r="M354" t="s">
        <v>565</v>
      </c>
      <c r="N354" t="s">
        <v>565</v>
      </c>
      <c r="O354" t="s">
        <v>566</v>
      </c>
      <c r="P354" t="s">
        <v>567</v>
      </c>
      <c r="S354" t="s">
        <v>567</v>
      </c>
      <c r="T354" t="s">
        <v>567</v>
      </c>
      <c r="Z354" t="s">
        <v>568</v>
      </c>
      <c r="AA354" t="s">
        <v>568</v>
      </c>
      <c r="AC354" t="str">
        <v>McClark Mechanical</v>
      </c>
    </row>
    <row r="355" spans="1:29">
      <c r="A355" t="s">
        <v>1341</v>
      </c>
      <c r="B355" t="s">
        <v>1342</v>
      </c>
      <c r="C355" t="s">
        <v>562</v>
      </c>
      <c r="D355" t="s">
        <v>562</v>
      </c>
      <c r="E355" t="s">
        <v>1343</v>
      </c>
      <c r="F355" t="s">
        <v>562</v>
      </c>
      <c r="G355" t="s">
        <v>562</v>
      </c>
      <c r="H355" t="s">
        <v>562</v>
      </c>
      <c r="I355">
        <v>3640</v>
      </c>
      <c r="J355" t="s">
        <v>564</v>
      </c>
      <c r="K355" s="698">
        <v>45957.424305555556</v>
      </c>
      <c r="L355" s="698">
        <v>45957.424305555556</v>
      </c>
      <c r="M355" t="s">
        <v>565</v>
      </c>
      <c r="N355" t="s">
        <v>565</v>
      </c>
      <c r="O355" t="s">
        <v>566</v>
      </c>
      <c r="P355" t="s">
        <v>567</v>
      </c>
      <c r="S355" t="s">
        <v>567</v>
      </c>
      <c r="T355" t="s">
        <v>567</v>
      </c>
      <c r="Z355" t="s">
        <v>568</v>
      </c>
      <c r="AA355" t="s">
        <v>568</v>
      </c>
      <c r="AC355" t="str">
        <v>McDonald, Connie</v>
      </c>
    </row>
    <row r="356" spans="1:29">
      <c r="A356" t="s">
        <v>1344</v>
      </c>
      <c r="B356" t="s">
        <v>1345</v>
      </c>
      <c r="C356" t="s">
        <v>562</v>
      </c>
      <c r="D356" t="s">
        <v>1346</v>
      </c>
      <c r="E356" t="s">
        <v>1347</v>
      </c>
      <c r="F356" t="s">
        <v>562</v>
      </c>
      <c r="G356" t="s">
        <v>562</v>
      </c>
      <c r="H356" t="s">
        <v>562</v>
      </c>
      <c r="I356">
        <v>5211</v>
      </c>
      <c r="J356" t="s">
        <v>564</v>
      </c>
      <c r="K356" s="698">
        <v>45957.564583333333</v>
      </c>
      <c r="L356" s="698">
        <v>45957.564583333333</v>
      </c>
      <c r="M356" t="s">
        <v>565</v>
      </c>
      <c r="N356" t="s">
        <v>565</v>
      </c>
      <c r="O356" t="s">
        <v>566</v>
      </c>
      <c r="P356" t="s">
        <v>567</v>
      </c>
      <c r="S356" t="s">
        <v>567</v>
      </c>
      <c r="T356" t="s">
        <v>567</v>
      </c>
      <c r="Z356" t="s">
        <v>568</v>
      </c>
      <c r="AA356" t="s">
        <v>568</v>
      </c>
      <c r="AC356" t="str">
        <v>MCM Property Management Ltd.</v>
      </c>
    </row>
    <row r="357" spans="1:29">
      <c r="A357" t="s">
        <v>1344</v>
      </c>
      <c r="B357" t="s">
        <v>1345</v>
      </c>
      <c r="C357" t="s">
        <v>562</v>
      </c>
      <c r="D357" t="s">
        <v>1346</v>
      </c>
      <c r="E357" t="s">
        <v>1347</v>
      </c>
      <c r="F357" t="s">
        <v>562</v>
      </c>
      <c r="G357" t="s">
        <v>562</v>
      </c>
      <c r="H357" t="s">
        <v>562</v>
      </c>
      <c r="I357">
        <v>5212</v>
      </c>
      <c r="J357" t="s">
        <v>564</v>
      </c>
      <c r="K357" s="698">
        <v>45957.564583333333</v>
      </c>
      <c r="L357" s="698">
        <v>45957.564583333333</v>
      </c>
      <c r="M357" t="s">
        <v>565</v>
      </c>
      <c r="N357" t="s">
        <v>565</v>
      </c>
      <c r="O357" t="s">
        <v>566</v>
      </c>
      <c r="P357" t="s">
        <v>567</v>
      </c>
      <c r="S357" t="s">
        <v>567</v>
      </c>
      <c r="T357" t="s">
        <v>567</v>
      </c>
      <c r="Z357" t="s">
        <v>568</v>
      </c>
      <c r="AA357" t="s">
        <v>568</v>
      </c>
      <c r="AC357" t="str">
        <v>Meat And Eat</v>
      </c>
    </row>
    <row r="358" spans="1:29">
      <c r="A358" t="s">
        <v>1344</v>
      </c>
      <c r="B358" t="s">
        <v>1348</v>
      </c>
      <c r="C358" t="s">
        <v>562</v>
      </c>
      <c r="D358" t="s">
        <v>1349</v>
      </c>
      <c r="E358" t="s">
        <v>1350</v>
      </c>
      <c r="F358" t="s">
        <v>562</v>
      </c>
      <c r="G358" t="s">
        <v>562</v>
      </c>
      <c r="H358" t="s">
        <v>562</v>
      </c>
      <c r="I358">
        <v>5216</v>
      </c>
      <c r="J358" t="s">
        <v>564</v>
      </c>
      <c r="K358" s="698">
        <v>45957.564583333333</v>
      </c>
      <c r="L358" s="698">
        <v>45957.564583333333</v>
      </c>
      <c r="M358" t="s">
        <v>565</v>
      </c>
      <c r="N358" t="s">
        <v>565</v>
      </c>
      <c r="O358" t="s">
        <v>566</v>
      </c>
      <c r="P358" t="s">
        <v>567</v>
      </c>
      <c r="S358" t="s">
        <v>567</v>
      </c>
      <c r="T358" t="s">
        <v>567</v>
      </c>
      <c r="Z358" t="s">
        <v>568</v>
      </c>
      <c r="AA358" t="s">
        <v>568</v>
      </c>
      <c r="AC358" t="str">
        <v>Megacad Design &amp; Builder Ltd.</v>
      </c>
    </row>
    <row r="359" spans="1:29">
      <c r="A359" t="s">
        <v>1344</v>
      </c>
      <c r="B359" t="s">
        <v>1351</v>
      </c>
      <c r="C359" t="s">
        <v>562</v>
      </c>
      <c r="D359" t="s">
        <v>1346</v>
      </c>
      <c r="E359" t="s">
        <v>1352</v>
      </c>
      <c r="F359" t="s">
        <v>562</v>
      </c>
      <c r="G359" t="s">
        <v>562</v>
      </c>
      <c r="H359" t="s">
        <v>562</v>
      </c>
      <c r="I359">
        <v>5231</v>
      </c>
      <c r="J359" t="s">
        <v>564</v>
      </c>
      <c r="K359" s="698">
        <v>45992.363194444442</v>
      </c>
      <c r="L359" s="698">
        <v>45992.363194444442</v>
      </c>
      <c r="M359" t="s">
        <v>565</v>
      </c>
      <c r="N359" t="s">
        <v>565</v>
      </c>
      <c r="O359" t="s">
        <v>566</v>
      </c>
      <c r="P359" t="s">
        <v>567</v>
      </c>
      <c r="S359" t="s">
        <v>567</v>
      </c>
      <c r="T359" t="s">
        <v>567</v>
      </c>
      <c r="Z359" t="s">
        <v>826</v>
      </c>
      <c r="AA359" t="s">
        <v>826</v>
      </c>
      <c r="AC359" t="str">
        <v>Memory Express</v>
      </c>
    </row>
    <row r="360" spans="1:29">
      <c r="A360" t="s">
        <v>1353</v>
      </c>
      <c r="B360" t="s">
        <v>1354</v>
      </c>
      <c r="C360" t="s">
        <v>562</v>
      </c>
      <c r="D360" t="s">
        <v>1355</v>
      </c>
      <c r="E360" t="s">
        <v>1356</v>
      </c>
      <c r="F360" t="s">
        <v>562</v>
      </c>
      <c r="G360" t="s">
        <v>562</v>
      </c>
      <c r="H360" t="s">
        <v>562</v>
      </c>
      <c r="I360">
        <v>4865</v>
      </c>
      <c r="J360" t="s">
        <v>564</v>
      </c>
      <c r="K360" s="698">
        <v>45957.554166666669</v>
      </c>
      <c r="L360" s="698">
        <v>45957.554166666669</v>
      </c>
      <c r="M360" t="s">
        <v>565</v>
      </c>
      <c r="N360" t="s">
        <v>565</v>
      </c>
      <c r="O360" t="s">
        <v>566</v>
      </c>
      <c r="P360" t="s">
        <v>567</v>
      </c>
      <c r="S360" t="s">
        <v>567</v>
      </c>
      <c r="T360" t="s">
        <v>567</v>
      </c>
      <c r="Z360" t="s">
        <v>568</v>
      </c>
      <c r="AA360" t="s">
        <v>568</v>
      </c>
      <c r="AC360" t="str">
        <v xml:space="preserve">Mercedes Benz </v>
      </c>
    </row>
    <row r="361" spans="1:29">
      <c r="A361" t="s">
        <v>1357</v>
      </c>
      <c r="B361" t="s">
        <v>1357</v>
      </c>
      <c r="C361" t="s">
        <v>1358</v>
      </c>
      <c r="D361" t="s">
        <v>562</v>
      </c>
      <c r="E361" t="s">
        <v>1359</v>
      </c>
      <c r="F361" t="s">
        <v>562</v>
      </c>
      <c r="G361" t="s">
        <v>562</v>
      </c>
      <c r="H361" t="s">
        <v>562</v>
      </c>
      <c r="I361">
        <v>5195</v>
      </c>
      <c r="J361" t="s">
        <v>564</v>
      </c>
      <c r="K361" s="698">
        <v>45957.563888888886</v>
      </c>
      <c r="L361" s="698">
        <v>45957.563888888886</v>
      </c>
      <c r="M361" t="s">
        <v>565</v>
      </c>
      <c r="N361" t="s">
        <v>565</v>
      </c>
      <c r="O361" t="s">
        <v>566</v>
      </c>
      <c r="P361" t="s">
        <v>567</v>
      </c>
      <c r="S361" t="s">
        <v>567</v>
      </c>
      <c r="T361" t="s">
        <v>567</v>
      </c>
      <c r="Z361" t="s">
        <v>568</v>
      </c>
      <c r="AA361" t="s">
        <v>568</v>
      </c>
      <c r="AC361" t="str">
        <v>Merelie Berard</v>
      </c>
    </row>
    <row r="362" spans="1:29">
      <c r="A362" t="s">
        <v>1360</v>
      </c>
      <c r="B362" t="s">
        <v>1361</v>
      </c>
      <c r="C362" t="s">
        <v>562</v>
      </c>
      <c r="D362" t="s">
        <v>562</v>
      </c>
      <c r="E362" t="s">
        <v>1362</v>
      </c>
      <c r="F362" t="s">
        <v>562</v>
      </c>
      <c r="G362" t="s">
        <v>562</v>
      </c>
      <c r="H362" t="s">
        <v>562</v>
      </c>
      <c r="I362">
        <v>4642</v>
      </c>
      <c r="J362" t="s">
        <v>564</v>
      </c>
      <c r="K362" s="698">
        <v>45957.547222222223</v>
      </c>
      <c r="L362" s="698">
        <v>45957.547222222223</v>
      </c>
      <c r="M362" t="s">
        <v>565</v>
      </c>
      <c r="N362" t="s">
        <v>565</v>
      </c>
      <c r="O362" t="s">
        <v>566</v>
      </c>
      <c r="P362" t="s">
        <v>567</v>
      </c>
      <c r="S362" t="s">
        <v>567</v>
      </c>
      <c r="T362" t="s">
        <v>567</v>
      </c>
      <c r="Z362" t="s">
        <v>568</v>
      </c>
      <c r="AA362" t="s">
        <v>568</v>
      </c>
      <c r="AC362" t="str">
        <v>Mica Group</v>
      </c>
    </row>
    <row r="363" spans="1:29">
      <c r="A363" t="s">
        <v>1363</v>
      </c>
      <c r="B363" t="s">
        <v>1364</v>
      </c>
      <c r="C363" t="s">
        <v>1365</v>
      </c>
      <c r="D363" t="s">
        <v>1366</v>
      </c>
      <c r="E363" t="s">
        <v>1367</v>
      </c>
      <c r="F363" t="s">
        <v>562</v>
      </c>
      <c r="G363" t="s">
        <v>562</v>
      </c>
      <c r="H363" t="s">
        <v>562</v>
      </c>
      <c r="I363">
        <v>3771</v>
      </c>
      <c r="J363" t="s">
        <v>564</v>
      </c>
      <c r="K363" s="698">
        <v>45957.438888888886</v>
      </c>
      <c r="L363" s="698">
        <v>45957.438888888886</v>
      </c>
      <c r="M363" t="s">
        <v>565</v>
      </c>
      <c r="N363" t="s">
        <v>565</v>
      </c>
      <c r="O363" t="s">
        <v>566</v>
      </c>
      <c r="P363" t="s">
        <v>567</v>
      </c>
      <c r="S363" t="s">
        <v>567</v>
      </c>
      <c r="T363" t="s">
        <v>567</v>
      </c>
      <c r="Z363" t="s">
        <v>568</v>
      </c>
      <c r="AA363" t="s">
        <v>568</v>
      </c>
      <c r="AC363" t="str">
        <v>Michael &amp; Laurie O'Neil</v>
      </c>
    </row>
    <row r="364" spans="1:29">
      <c r="A364" t="s">
        <v>1368</v>
      </c>
      <c r="B364" t="s">
        <v>1369</v>
      </c>
      <c r="C364" t="s">
        <v>1370</v>
      </c>
      <c r="D364" t="s">
        <v>562</v>
      </c>
      <c r="E364" t="s">
        <v>1371</v>
      </c>
      <c r="F364" t="s">
        <v>562</v>
      </c>
      <c r="G364" t="s">
        <v>562</v>
      </c>
      <c r="H364" t="s">
        <v>562</v>
      </c>
      <c r="I364">
        <v>3918</v>
      </c>
      <c r="J364" t="s">
        <v>564</v>
      </c>
      <c r="K364" s="698">
        <v>45957.454861111109</v>
      </c>
      <c r="L364" s="698">
        <v>45957.454861111109</v>
      </c>
      <c r="M364" t="s">
        <v>565</v>
      </c>
      <c r="N364" t="s">
        <v>565</v>
      </c>
      <c r="O364" t="s">
        <v>566</v>
      </c>
      <c r="P364" t="s">
        <v>567</v>
      </c>
      <c r="S364" t="s">
        <v>567</v>
      </c>
      <c r="T364" t="s">
        <v>567</v>
      </c>
      <c r="Z364" t="s">
        <v>568</v>
      </c>
      <c r="AA364" t="s">
        <v>568</v>
      </c>
      <c r="AC364" t="str">
        <v>Michael Pawluk Warranty</v>
      </c>
    </row>
    <row r="365" spans="1:29">
      <c r="A365" t="s">
        <v>1368</v>
      </c>
      <c r="B365" t="s">
        <v>1372</v>
      </c>
      <c r="C365" t="s">
        <v>1373</v>
      </c>
      <c r="D365" t="s">
        <v>562</v>
      </c>
      <c r="E365" t="s">
        <v>1374</v>
      </c>
      <c r="F365" t="s">
        <v>562</v>
      </c>
      <c r="G365" t="s">
        <v>562</v>
      </c>
      <c r="H365" t="s">
        <v>562</v>
      </c>
      <c r="I365">
        <v>4099</v>
      </c>
      <c r="J365" t="s">
        <v>564</v>
      </c>
      <c r="K365" s="698">
        <v>45957.476388888892</v>
      </c>
      <c r="L365" s="698">
        <v>45957.476388888892</v>
      </c>
      <c r="M365" t="s">
        <v>565</v>
      </c>
      <c r="N365" t="s">
        <v>565</v>
      </c>
      <c r="O365" t="s">
        <v>566</v>
      </c>
      <c r="P365" t="s">
        <v>567</v>
      </c>
      <c r="S365" t="s">
        <v>567</v>
      </c>
      <c r="T365" t="s">
        <v>567</v>
      </c>
      <c r="Z365" t="s">
        <v>568</v>
      </c>
      <c r="AA365" t="s">
        <v>568</v>
      </c>
      <c r="AC365" t="str">
        <v>Michelle Screpnechuk</v>
      </c>
    </row>
    <row r="366" spans="1:29">
      <c r="A366" t="s">
        <v>1368</v>
      </c>
      <c r="B366" t="s">
        <v>1375</v>
      </c>
      <c r="C366" t="s">
        <v>1376</v>
      </c>
      <c r="D366" t="s">
        <v>562</v>
      </c>
      <c r="E366" t="s">
        <v>1377</v>
      </c>
      <c r="F366" t="s">
        <v>562</v>
      </c>
      <c r="G366" t="s">
        <v>562</v>
      </c>
      <c r="H366" t="s">
        <v>562</v>
      </c>
      <c r="I366">
        <v>4195</v>
      </c>
      <c r="J366" t="s">
        <v>564</v>
      </c>
      <c r="K366" s="698">
        <v>45957.488194444442</v>
      </c>
      <c r="L366" s="698">
        <v>45957.488194444442</v>
      </c>
      <c r="M366" t="s">
        <v>565</v>
      </c>
      <c r="N366" t="s">
        <v>565</v>
      </c>
      <c r="O366" t="s">
        <v>566</v>
      </c>
      <c r="P366" t="s">
        <v>567</v>
      </c>
      <c r="S366" t="s">
        <v>567</v>
      </c>
      <c r="T366" t="s">
        <v>567</v>
      </c>
      <c r="Z366" t="s">
        <v>568</v>
      </c>
      <c r="AA366" t="s">
        <v>568</v>
      </c>
      <c r="AC366" t="str">
        <v>Mike Cottreau</v>
      </c>
    </row>
    <row r="367" spans="1:29">
      <c r="A367" t="s">
        <v>1378</v>
      </c>
      <c r="B367" t="s">
        <v>1379</v>
      </c>
      <c r="C367" t="s">
        <v>1380</v>
      </c>
      <c r="D367" t="s">
        <v>1381</v>
      </c>
      <c r="E367" t="s">
        <v>1382</v>
      </c>
      <c r="F367" t="s">
        <v>562</v>
      </c>
      <c r="G367" t="s">
        <v>562</v>
      </c>
      <c r="H367" t="s">
        <v>562</v>
      </c>
      <c r="I367">
        <v>3890</v>
      </c>
      <c r="J367" t="s">
        <v>564</v>
      </c>
      <c r="K367" s="698">
        <v>45957.451388888891</v>
      </c>
      <c r="L367" s="698">
        <v>45957.451388888891</v>
      </c>
      <c r="M367" t="s">
        <v>565</v>
      </c>
      <c r="N367" t="s">
        <v>565</v>
      </c>
      <c r="O367" t="s">
        <v>566</v>
      </c>
      <c r="P367" t="s">
        <v>567</v>
      </c>
      <c r="S367" t="s">
        <v>567</v>
      </c>
      <c r="T367" t="s">
        <v>567</v>
      </c>
      <c r="Z367" t="s">
        <v>568</v>
      </c>
      <c r="AA367" t="s">
        <v>568</v>
      </c>
      <c r="AC367" t="str">
        <v>Mike Reese</v>
      </c>
    </row>
    <row r="368" spans="1:29">
      <c r="A368" t="s">
        <v>1378</v>
      </c>
      <c r="B368" t="s">
        <v>1379</v>
      </c>
      <c r="C368" t="s">
        <v>1380</v>
      </c>
      <c r="D368" t="s">
        <v>1381</v>
      </c>
      <c r="E368" t="s">
        <v>1383</v>
      </c>
      <c r="F368" t="s">
        <v>562</v>
      </c>
      <c r="G368" t="s">
        <v>562</v>
      </c>
      <c r="H368" t="s">
        <v>562</v>
      </c>
      <c r="I368">
        <v>4172</v>
      </c>
      <c r="J368" t="s">
        <v>564</v>
      </c>
      <c r="K368" s="698">
        <v>45957.48541666667</v>
      </c>
      <c r="L368" s="698">
        <v>45957.48541666667</v>
      </c>
      <c r="M368" t="s">
        <v>565</v>
      </c>
      <c r="N368" t="s">
        <v>565</v>
      </c>
      <c r="O368" t="s">
        <v>566</v>
      </c>
      <c r="P368" t="s">
        <v>567</v>
      </c>
      <c r="S368" t="s">
        <v>567</v>
      </c>
      <c r="T368" t="s">
        <v>567</v>
      </c>
      <c r="Z368" t="s">
        <v>568</v>
      </c>
      <c r="AA368" t="s">
        <v>568</v>
      </c>
      <c r="AC368" t="str">
        <v>Millrise Plaza Ltd.</v>
      </c>
    </row>
    <row r="369" spans="1:29">
      <c r="A369" t="s">
        <v>1378</v>
      </c>
      <c r="B369" t="s">
        <v>1379</v>
      </c>
      <c r="C369" t="s">
        <v>1380</v>
      </c>
      <c r="D369" t="s">
        <v>1381</v>
      </c>
      <c r="E369" t="s">
        <v>1384</v>
      </c>
      <c r="F369" t="s">
        <v>562</v>
      </c>
      <c r="G369" t="s">
        <v>562</v>
      </c>
      <c r="H369" t="s">
        <v>562</v>
      </c>
      <c r="I369">
        <v>4211</v>
      </c>
      <c r="J369" t="s">
        <v>564</v>
      </c>
      <c r="K369" s="698">
        <v>45957.489583333336</v>
      </c>
      <c r="L369" s="698">
        <v>45957.489583333336</v>
      </c>
      <c r="M369" t="s">
        <v>565</v>
      </c>
      <c r="N369" t="s">
        <v>565</v>
      </c>
      <c r="O369" t="s">
        <v>566</v>
      </c>
      <c r="P369" t="s">
        <v>567</v>
      </c>
      <c r="S369" t="s">
        <v>567</v>
      </c>
      <c r="T369" t="s">
        <v>567</v>
      </c>
      <c r="Z369" t="s">
        <v>568</v>
      </c>
      <c r="AA369" t="s">
        <v>568</v>
      </c>
      <c r="AC369" t="str">
        <v>Modern Niagra</v>
      </c>
    </row>
    <row r="370" spans="1:29">
      <c r="A370" t="s">
        <v>1378</v>
      </c>
      <c r="B370" t="s">
        <v>1379</v>
      </c>
      <c r="C370" t="s">
        <v>1380</v>
      </c>
      <c r="D370" t="s">
        <v>1381</v>
      </c>
      <c r="E370" t="s">
        <v>1385</v>
      </c>
      <c r="F370" t="s">
        <v>562</v>
      </c>
      <c r="G370" t="s">
        <v>562</v>
      </c>
      <c r="H370" t="s">
        <v>562</v>
      </c>
      <c r="I370">
        <v>4432</v>
      </c>
      <c r="J370" t="s">
        <v>564</v>
      </c>
      <c r="K370" s="698">
        <v>45957.518055555556</v>
      </c>
      <c r="L370" s="698">
        <v>45957.518055555556</v>
      </c>
      <c r="M370" t="s">
        <v>565</v>
      </c>
      <c r="N370" t="s">
        <v>565</v>
      </c>
      <c r="O370" t="s">
        <v>566</v>
      </c>
      <c r="P370" t="s">
        <v>567</v>
      </c>
      <c r="S370" t="s">
        <v>567</v>
      </c>
      <c r="T370" t="s">
        <v>567</v>
      </c>
      <c r="Z370" t="s">
        <v>568</v>
      </c>
      <c r="AA370" t="s">
        <v>568</v>
      </c>
      <c r="AC370" t="str">
        <v>Modern Plate &amp;  Label Inc</v>
      </c>
    </row>
    <row r="371" spans="1:29">
      <c r="A371" t="s">
        <v>1378</v>
      </c>
      <c r="B371" t="s">
        <v>1379</v>
      </c>
      <c r="C371" t="s">
        <v>1380</v>
      </c>
      <c r="D371" t="s">
        <v>1381</v>
      </c>
      <c r="E371" t="s">
        <v>1386</v>
      </c>
      <c r="F371" t="s">
        <v>562</v>
      </c>
      <c r="G371" t="s">
        <v>562</v>
      </c>
      <c r="H371" t="s">
        <v>562</v>
      </c>
      <c r="I371">
        <v>4452</v>
      </c>
      <c r="J371" t="s">
        <v>564</v>
      </c>
      <c r="K371" s="698">
        <v>45957.520138888889</v>
      </c>
      <c r="L371" s="698">
        <v>45957.520138888889</v>
      </c>
      <c r="M371" t="s">
        <v>565</v>
      </c>
      <c r="N371" t="s">
        <v>565</v>
      </c>
      <c r="O371" t="s">
        <v>566</v>
      </c>
      <c r="P371" t="s">
        <v>567</v>
      </c>
      <c r="S371" t="s">
        <v>567</v>
      </c>
      <c r="T371" t="s">
        <v>567</v>
      </c>
      <c r="Z371" t="s">
        <v>568</v>
      </c>
      <c r="AA371" t="s">
        <v>568</v>
      </c>
      <c r="AC371" t="str">
        <v xml:space="preserve">Monday Management Inc </v>
      </c>
    </row>
    <row r="372" spans="1:29">
      <c r="A372" t="s">
        <v>1387</v>
      </c>
      <c r="B372" t="s">
        <v>1388</v>
      </c>
      <c r="C372" t="s">
        <v>1389</v>
      </c>
      <c r="D372" t="s">
        <v>1390</v>
      </c>
      <c r="E372" t="s">
        <v>1391</v>
      </c>
      <c r="F372" t="s">
        <v>562</v>
      </c>
      <c r="G372" t="s">
        <v>562</v>
      </c>
      <c r="H372" t="s">
        <v>562</v>
      </c>
      <c r="I372">
        <v>3764</v>
      </c>
      <c r="J372" t="s">
        <v>564</v>
      </c>
      <c r="K372" s="698">
        <v>45957.4375</v>
      </c>
      <c r="L372" s="698">
        <v>45957.4375</v>
      </c>
      <c r="M372" t="s">
        <v>565</v>
      </c>
      <c r="N372" t="s">
        <v>565</v>
      </c>
      <c r="O372" t="s">
        <v>566</v>
      </c>
      <c r="P372" t="s">
        <v>567</v>
      </c>
      <c r="S372" t="s">
        <v>567</v>
      </c>
      <c r="T372" t="s">
        <v>567</v>
      </c>
      <c r="Z372" t="s">
        <v>568</v>
      </c>
      <c r="AA372" t="s">
        <v>568</v>
      </c>
      <c r="AC372" t="str">
        <v>Montana Creative Contracting</v>
      </c>
    </row>
    <row r="373" spans="1:29">
      <c r="A373" t="s">
        <v>1387</v>
      </c>
      <c r="B373" t="s">
        <v>1392</v>
      </c>
      <c r="C373" t="s">
        <v>1389</v>
      </c>
      <c r="D373" t="s">
        <v>1390</v>
      </c>
      <c r="E373" t="s">
        <v>1393</v>
      </c>
      <c r="F373" t="s">
        <v>562</v>
      </c>
      <c r="G373" t="s">
        <v>562</v>
      </c>
      <c r="H373" t="s">
        <v>562</v>
      </c>
      <c r="I373">
        <v>4209</v>
      </c>
      <c r="J373" t="s">
        <v>564</v>
      </c>
      <c r="K373" s="698">
        <v>45957.489583333336</v>
      </c>
      <c r="L373" s="698">
        <v>45957.489583333336</v>
      </c>
      <c r="M373" t="s">
        <v>565</v>
      </c>
      <c r="N373" t="s">
        <v>565</v>
      </c>
      <c r="O373" t="s">
        <v>566</v>
      </c>
      <c r="P373" t="s">
        <v>567</v>
      </c>
      <c r="S373" t="s">
        <v>567</v>
      </c>
      <c r="T373" t="s">
        <v>567</v>
      </c>
      <c r="Z373" t="s">
        <v>568</v>
      </c>
      <c r="AA373" t="s">
        <v>568</v>
      </c>
      <c r="AC373" t="str">
        <v>Mount Royal CC 0113505</v>
      </c>
    </row>
    <row r="374" spans="1:29">
      <c r="A374" t="s">
        <v>1394</v>
      </c>
      <c r="B374" t="s">
        <v>1395</v>
      </c>
      <c r="C374" t="s">
        <v>562</v>
      </c>
      <c r="D374" t="s">
        <v>562</v>
      </c>
      <c r="E374" t="s">
        <v>1396</v>
      </c>
      <c r="F374" t="s">
        <v>562</v>
      </c>
      <c r="G374" t="s">
        <v>562</v>
      </c>
      <c r="H374" t="s">
        <v>562</v>
      </c>
      <c r="I374">
        <v>4636</v>
      </c>
      <c r="J374" t="s">
        <v>564</v>
      </c>
      <c r="K374" s="698">
        <v>45957.544444444444</v>
      </c>
      <c r="L374" s="698">
        <v>45957.544444444444</v>
      </c>
      <c r="M374" t="s">
        <v>565</v>
      </c>
      <c r="N374" t="s">
        <v>565</v>
      </c>
      <c r="O374" t="s">
        <v>566</v>
      </c>
      <c r="P374" t="s">
        <v>567</v>
      </c>
      <c r="S374" t="s">
        <v>567</v>
      </c>
      <c r="T374" t="s">
        <v>567</v>
      </c>
      <c r="Z374" t="s">
        <v>568</v>
      </c>
      <c r="AA374" t="s">
        <v>568</v>
      </c>
      <c r="AC374" t="str">
        <v>Move to Move Inc.</v>
      </c>
    </row>
    <row r="375" spans="1:29">
      <c r="A375" t="s">
        <v>1397</v>
      </c>
      <c r="B375" t="s">
        <v>562</v>
      </c>
      <c r="C375" t="s">
        <v>562</v>
      </c>
      <c r="D375" t="s">
        <v>1398</v>
      </c>
      <c r="E375" t="s">
        <v>1399</v>
      </c>
      <c r="F375" t="s">
        <v>562</v>
      </c>
      <c r="G375" t="s">
        <v>562</v>
      </c>
      <c r="H375" t="s">
        <v>562</v>
      </c>
      <c r="I375">
        <v>4053</v>
      </c>
      <c r="J375" t="s">
        <v>564</v>
      </c>
      <c r="K375" s="698">
        <v>45957.470833333333</v>
      </c>
      <c r="L375" s="698">
        <v>45957.470833333333</v>
      </c>
      <c r="M375" t="s">
        <v>565</v>
      </c>
      <c r="N375" t="s">
        <v>565</v>
      </c>
      <c r="O375" t="s">
        <v>566</v>
      </c>
      <c r="P375" t="s">
        <v>567</v>
      </c>
      <c r="S375" t="s">
        <v>567</v>
      </c>
      <c r="T375" t="s">
        <v>567</v>
      </c>
      <c r="Z375" t="s">
        <v>568</v>
      </c>
      <c r="AA375" t="s">
        <v>568</v>
      </c>
      <c r="AC375" t="str">
        <v>Nathan Neustaeter</v>
      </c>
    </row>
    <row r="376" spans="1:29">
      <c r="A376" t="s">
        <v>1397</v>
      </c>
      <c r="B376" t="s">
        <v>1400</v>
      </c>
      <c r="C376" t="s">
        <v>1401</v>
      </c>
      <c r="D376" t="s">
        <v>1402</v>
      </c>
      <c r="E376" t="s">
        <v>1403</v>
      </c>
      <c r="F376" t="s">
        <v>562</v>
      </c>
      <c r="G376" t="s">
        <v>562</v>
      </c>
      <c r="H376" t="s">
        <v>562</v>
      </c>
      <c r="I376">
        <v>4094</v>
      </c>
      <c r="J376" t="s">
        <v>564</v>
      </c>
      <c r="K376" s="698">
        <v>45957.475694444445</v>
      </c>
      <c r="L376" s="698">
        <v>45957.475694444445</v>
      </c>
      <c r="M376" t="s">
        <v>565</v>
      </c>
      <c r="N376" t="s">
        <v>565</v>
      </c>
      <c r="O376" t="s">
        <v>566</v>
      </c>
      <c r="P376" t="s">
        <v>567</v>
      </c>
      <c r="S376" t="s">
        <v>567</v>
      </c>
      <c r="T376" t="s">
        <v>567</v>
      </c>
      <c r="Z376" t="s">
        <v>568</v>
      </c>
      <c r="AA376" t="s">
        <v>568</v>
      </c>
      <c r="AC376" t="str">
        <v>Neil Webber</v>
      </c>
    </row>
    <row r="377" spans="1:29">
      <c r="A377" t="s">
        <v>1404</v>
      </c>
      <c r="B377" t="s">
        <v>562</v>
      </c>
      <c r="C377" t="s">
        <v>562</v>
      </c>
      <c r="D377" t="s">
        <v>1405</v>
      </c>
      <c r="E377" t="s">
        <v>1116</v>
      </c>
      <c r="F377" t="s">
        <v>562</v>
      </c>
      <c r="G377" t="s">
        <v>562</v>
      </c>
      <c r="H377" t="s">
        <v>562</v>
      </c>
      <c r="I377">
        <v>3619</v>
      </c>
      <c r="J377" t="s">
        <v>564</v>
      </c>
      <c r="K377" s="698">
        <v>45957.422222222223</v>
      </c>
      <c r="L377" s="698">
        <v>45957.422222222223</v>
      </c>
      <c r="M377" t="s">
        <v>565</v>
      </c>
      <c r="N377" t="s">
        <v>565</v>
      </c>
      <c r="O377" t="s">
        <v>566</v>
      </c>
      <c r="P377" t="s">
        <v>567</v>
      </c>
      <c r="S377" t="s">
        <v>567</v>
      </c>
      <c r="T377" t="s">
        <v>567</v>
      </c>
      <c r="Z377" t="s">
        <v>568</v>
      </c>
      <c r="AA377" t="s">
        <v>568</v>
      </c>
      <c r="AC377" t="str">
        <v>Neutech Services</v>
      </c>
    </row>
    <row r="378" spans="1:29">
      <c r="A378" t="s">
        <v>1406</v>
      </c>
      <c r="B378" t="s">
        <v>1407</v>
      </c>
      <c r="C378" t="s">
        <v>1408</v>
      </c>
      <c r="D378" t="s">
        <v>562</v>
      </c>
      <c r="E378" t="s">
        <v>1116</v>
      </c>
      <c r="F378" t="s">
        <v>562</v>
      </c>
      <c r="G378" t="s">
        <v>562</v>
      </c>
      <c r="H378" t="s">
        <v>562</v>
      </c>
      <c r="I378">
        <v>4798</v>
      </c>
      <c r="J378" t="s">
        <v>564</v>
      </c>
      <c r="K378" s="698">
        <v>45957.552083333336</v>
      </c>
      <c r="L378" s="698">
        <v>45957.552083333336</v>
      </c>
      <c r="M378" t="s">
        <v>565</v>
      </c>
      <c r="N378" t="s">
        <v>565</v>
      </c>
      <c r="O378" t="s">
        <v>566</v>
      </c>
      <c r="P378" t="s">
        <v>567</v>
      </c>
      <c r="S378" t="s">
        <v>567</v>
      </c>
      <c r="T378" t="s">
        <v>567</v>
      </c>
      <c r="Z378" t="s">
        <v>568</v>
      </c>
      <c r="AA378" t="s">
        <v>568</v>
      </c>
      <c r="AC378" t="str">
        <v>Nilex Inc</v>
      </c>
    </row>
    <row r="379" spans="1:29">
      <c r="A379" t="s">
        <v>1409</v>
      </c>
      <c r="B379" t="s">
        <v>1410</v>
      </c>
      <c r="C379" t="s">
        <v>1411</v>
      </c>
      <c r="D379" t="s">
        <v>1412</v>
      </c>
      <c r="E379" t="s">
        <v>1413</v>
      </c>
      <c r="F379" t="s">
        <v>562</v>
      </c>
      <c r="G379" t="s">
        <v>562</v>
      </c>
      <c r="H379" t="s">
        <v>562</v>
      </c>
      <c r="I379">
        <v>4279</v>
      </c>
      <c r="J379" t="s">
        <v>564</v>
      </c>
      <c r="K379" s="698">
        <v>45957.498611111114</v>
      </c>
      <c r="L379" s="698">
        <v>45957.498611111114</v>
      </c>
      <c r="M379" t="s">
        <v>565</v>
      </c>
      <c r="N379" t="s">
        <v>565</v>
      </c>
      <c r="O379" t="s">
        <v>566</v>
      </c>
      <c r="P379" t="s">
        <v>567</v>
      </c>
      <c r="S379" t="s">
        <v>567</v>
      </c>
      <c r="T379" t="s">
        <v>567</v>
      </c>
      <c r="Z379" t="s">
        <v>568</v>
      </c>
      <c r="AA379" t="s">
        <v>568</v>
      </c>
      <c r="AC379" t="str">
        <v>Niro Developments</v>
      </c>
    </row>
    <row r="380" spans="1:29">
      <c r="A380" t="s">
        <v>1414</v>
      </c>
      <c r="B380" t="s">
        <v>1415</v>
      </c>
      <c r="C380" t="s">
        <v>1416</v>
      </c>
      <c r="D380" t="s">
        <v>562</v>
      </c>
      <c r="E380" t="s">
        <v>1417</v>
      </c>
      <c r="F380" t="s">
        <v>562</v>
      </c>
      <c r="G380" t="s">
        <v>562</v>
      </c>
      <c r="H380" t="s">
        <v>562</v>
      </c>
      <c r="I380">
        <v>4671</v>
      </c>
      <c r="J380" t="s">
        <v>564</v>
      </c>
      <c r="K380" s="698">
        <v>45957.54791666667</v>
      </c>
      <c r="L380" s="698">
        <v>45957.54791666667</v>
      </c>
      <c r="M380" t="s">
        <v>565</v>
      </c>
      <c r="N380" t="s">
        <v>565</v>
      </c>
      <c r="O380" t="s">
        <v>566</v>
      </c>
      <c r="P380" t="s">
        <v>567</v>
      </c>
      <c r="S380" t="s">
        <v>567</v>
      </c>
      <c r="T380" t="s">
        <v>567</v>
      </c>
      <c r="Z380" t="s">
        <v>568</v>
      </c>
      <c r="AA380" t="s">
        <v>568</v>
      </c>
      <c r="AC380" t="str">
        <v>Nonni Property Group</v>
      </c>
    </row>
    <row r="381" spans="1:29">
      <c r="A381" t="s">
        <v>1418</v>
      </c>
      <c r="B381" t="s">
        <v>1419</v>
      </c>
      <c r="C381" t="s">
        <v>1420</v>
      </c>
      <c r="D381" t="s">
        <v>562</v>
      </c>
      <c r="E381" t="s">
        <v>1421</v>
      </c>
      <c r="F381" t="s">
        <v>562</v>
      </c>
      <c r="G381" t="s">
        <v>562</v>
      </c>
      <c r="H381" t="s">
        <v>562</v>
      </c>
      <c r="I381">
        <v>4663</v>
      </c>
      <c r="J381" t="s">
        <v>564</v>
      </c>
      <c r="K381" s="698">
        <v>45957.54791666667</v>
      </c>
      <c r="L381" s="698">
        <v>45957.54791666667</v>
      </c>
      <c r="M381" t="s">
        <v>565</v>
      </c>
      <c r="N381" t="s">
        <v>565</v>
      </c>
      <c r="O381" t="s">
        <v>566</v>
      </c>
      <c r="P381" t="s">
        <v>567</v>
      </c>
      <c r="S381" t="s">
        <v>567</v>
      </c>
      <c r="T381" t="s">
        <v>567</v>
      </c>
      <c r="Z381" t="s">
        <v>568</v>
      </c>
      <c r="AA381" t="s">
        <v>568</v>
      </c>
      <c r="AC381" t="str">
        <v>Northland Asset Management Co</v>
      </c>
    </row>
    <row r="382" spans="1:29">
      <c r="A382" t="s">
        <v>1422</v>
      </c>
      <c r="B382" t="s">
        <v>562</v>
      </c>
      <c r="C382" t="s">
        <v>562</v>
      </c>
      <c r="D382" t="s">
        <v>1423</v>
      </c>
      <c r="E382" t="s">
        <v>1116</v>
      </c>
      <c r="F382" t="s">
        <v>562</v>
      </c>
      <c r="G382" t="s">
        <v>562</v>
      </c>
      <c r="H382" t="s">
        <v>562</v>
      </c>
      <c r="I382">
        <v>4220</v>
      </c>
      <c r="J382" t="s">
        <v>564</v>
      </c>
      <c r="K382" s="698">
        <v>45957.490972222222</v>
      </c>
      <c r="L382" s="698">
        <v>45957.490972222222</v>
      </c>
      <c r="M382" t="s">
        <v>565</v>
      </c>
      <c r="N382" t="s">
        <v>565</v>
      </c>
      <c r="O382" t="s">
        <v>566</v>
      </c>
      <c r="P382" t="s">
        <v>567</v>
      </c>
      <c r="S382" t="s">
        <v>567</v>
      </c>
      <c r="T382" t="s">
        <v>567</v>
      </c>
      <c r="Z382" t="s">
        <v>568</v>
      </c>
      <c r="AA382" t="s">
        <v>568</v>
      </c>
      <c r="AC382" t="str">
        <v>NorthWest Healthcare Properties REIT</v>
      </c>
    </row>
    <row r="383" spans="1:29">
      <c r="A383" t="s">
        <v>1424</v>
      </c>
      <c r="B383" t="s">
        <v>562</v>
      </c>
      <c r="C383" t="s">
        <v>562</v>
      </c>
      <c r="D383" t="s">
        <v>1425</v>
      </c>
      <c r="E383" t="s">
        <v>896</v>
      </c>
      <c r="F383" t="s">
        <v>562</v>
      </c>
      <c r="G383" t="s">
        <v>562</v>
      </c>
      <c r="H383" t="s">
        <v>562</v>
      </c>
      <c r="I383">
        <v>4387</v>
      </c>
      <c r="J383" t="s">
        <v>564</v>
      </c>
      <c r="K383" s="698">
        <v>45957.512499999997</v>
      </c>
      <c r="L383" s="698">
        <v>45957.512499999997</v>
      </c>
      <c r="M383" t="s">
        <v>565</v>
      </c>
      <c r="N383" t="s">
        <v>565</v>
      </c>
      <c r="O383" t="s">
        <v>566</v>
      </c>
      <c r="P383" t="s">
        <v>567</v>
      </c>
      <c r="S383" t="s">
        <v>567</v>
      </c>
      <c r="T383" t="s">
        <v>567</v>
      </c>
      <c r="Z383" t="s">
        <v>568</v>
      </c>
      <c r="AA383" t="s">
        <v>568</v>
      </c>
      <c r="AC383" t="str">
        <v>NOVA Chemicals</v>
      </c>
    </row>
    <row r="384" spans="1:29">
      <c r="A384" t="s">
        <v>1426</v>
      </c>
      <c r="B384" t="s">
        <v>1123</v>
      </c>
      <c r="C384" t="s">
        <v>1427</v>
      </c>
      <c r="D384" t="s">
        <v>1428</v>
      </c>
      <c r="E384" t="s">
        <v>1429</v>
      </c>
      <c r="F384" t="s">
        <v>562</v>
      </c>
      <c r="G384" t="s">
        <v>562</v>
      </c>
      <c r="H384" t="s">
        <v>562</v>
      </c>
      <c r="I384">
        <v>3932</v>
      </c>
      <c r="J384" t="s">
        <v>564</v>
      </c>
      <c r="K384" s="698">
        <v>45957.456250000003</v>
      </c>
      <c r="L384" s="698">
        <v>45957.456250000003</v>
      </c>
      <c r="M384" t="s">
        <v>565</v>
      </c>
      <c r="N384" t="s">
        <v>565</v>
      </c>
      <c r="O384" t="s">
        <v>566</v>
      </c>
      <c r="P384" t="s">
        <v>567</v>
      </c>
      <c r="S384" t="s">
        <v>567</v>
      </c>
      <c r="T384" t="s">
        <v>567</v>
      </c>
      <c r="Z384" t="s">
        <v>568</v>
      </c>
      <c r="AA384" t="s">
        <v>568</v>
      </c>
      <c r="AC384" t="str">
        <v>NOVA Joffre Plant</v>
      </c>
    </row>
    <row r="385" spans="1:29">
      <c r="A385" t="s">
        <v>1426</v>
      </c>
      <c r="B385" t="s">
        <v>1123</v>
      </c>
      <c r="C385" t="s">
        <v>1427</v>
      </c>
      <c r="D385" t="s">
        <v>1428</v>
      </c>
      <c r="E385" t="s">
        <v>1430</v>
      </c>
      <c r="F385" t="s">
        <v>562</v>
      </c>
      <c r="G385" t="s">
        <v>562</v>
      </c>
      <c r="H385" t="s">
        <v>562</v>
      </c>
      <c r="I385">
        <v>4638</v>
      </c>
      <c r="J385" t="s">
        <v>564</v>
      </c>
      <c r="K385" s="698">
        <v>45957.547222222223</v>
      </c>
      <c r="L385" s="698">
        <v>45957.547222222223</v>
      </c>
      <c r="M385" t="s">
        <v>565</v>
      </c>
      <c r="N385" t="s">
        <v>565</v>
      </c>
      <c r="O385" t="s">
        <v>566</v>
      </c>
      <c r="P385" t="s">
        <v>567</v>
      </c>
      <c r="S385" t="s">
        <v>567</v>
      </c>
      <c r="T385" t="s">
        <v>567</v>
      </c>
      <c r="Z385" t="s">
        <v>568</v>
      </c>
      <c r="AA385" t="s">
        <v>568</v>
      </c>
      <c r="AC385" t="str">
        <v>NOVA Research &amp; Technology Co.</v>
      </c>
    </row>
    <row r="386" spans="1:29">
      <c r="A386" t="s">
        <v>1431</v>
      </c>
      <c r="B386" t="s">
        <v>1432</v>
      </c>
      <c r="C386" t="s">
        <v>1433</v>
      </c>
      <c r="D386" t="s">
        <v>562</v>
      </c>
      <c r="E386" t="s">
        <v>1434</v>
      </c>
      <c r="F386" t="s">
        <v>562</v>
      </c>
      <c r="G386" t="s">
        <v>562</v>
      </c>
      <c r="H386" t="s">
        <v>562</v>
      </c>
      <c r="I386">
        <v>4190</v>
      </c>
      <c r="J386" t="s">
        <v>564</v>
      </c>
      <c r="K386" s="698">
        <v>45957.487500000003</v>
      </c>
      <c r="L386" s="698">
        <v>45957.487500000003</v>
      </c>
      <c r="M386" t="s">
        <v>565</v>
      </c>
      <c r="N386" t="s">
        <v>565</v>
      </c>
      <c r="O386" t="s">
        <v>566</v>
      </c>
      <c r="P386" t="s">
        <v>567</v>
      </c>
      <c r="S386" t="s">
        <v>567</v>
      </c>
      <c r="T386" t="s">
        <v>567</v>
      </c>
      <c r="Z386" t="s">
        <v>568</v>
      </c>
      <c r="AA386" t="s">
        <v>568</v>
      </c>
      <c r="AC386" t="str">
        <v>Nuel Gemmill</v>
      </c>
    </row>
    <row r="387" spans="1:29">
      <c r="A387" t="s">
        <v>1435</v>
      </c>
      <c r="B387" t="s">
        <v>1436</v>
      </c>
      <c r="C387" t="s">
        <v>1437</v>
      </c>
      <c r="D387" t="s">
        <v>1438</v>
      </c>
      <c r="E387" t="s">
        <v>1439</v>
      </c>
      <c r="F387" t="s">
        <v>562</v>
      </c>
      <c r="G387" t="s">
        <v>562</v>
      </c>
      <c r="H387" t="s">
        <v>562</v>
      </c>
      <c r="I387">
        <v>3758</v>
      </c>
      <c r="J387" t="s">
        <v>564</v>
      </c>
      <c r="K387" s="698">
        <v>45957.4375</v>
      </c>
      <c r="L387" s="698">
        <v>45957.4375</v>
      </c>
      <c r="M387" t="s">
        <v>565</v>
      </c>
      <c r="N387" t="s">
        <v>565</v>
      </c>
      <c r="O387" t="s">
        <v>566</v>
      </c>
      <c r="P387" t="s">
        <v>567</v>
      </c>
      <c r="S387" t="s">
        <v>567</v>
      </c>
      <c r="T387" t="s">
        <v>567</v>
      </c>
      <c r="Z387" t="s">
        <v>568</v>
      </c>
      <c r="AA387" t="s">
        <v>568</v>
      </c>
      <c r="AC387" t="str">
        <v>Nutrien</v>
      </c>
    </row>
    <row r="388" spans="1:29">
      <c r="A388" t="s">
        <v>1435</v>
      </c>
      <c r="B388" t="s">
        <v>1440</v>
      </c>
      <c r="C388" t="s">
        <v>1441</v>
      </c>
      <c r="D388" t="s">
        <v>1438</v>
      </c>
      <c r="E388" t="s">
        <v>1442</v>
      </c>
      <c r="F388" t="s">
        <v>562</v>
      </c>
      <c r="G388" t="s">
        <v>562</v>
      </c>
      <c r="H388" t="s">
        <v>562</v>
      </c>
      <c r="I388">
        <v>3841</v>
      </c>
      <c r="J388" t="s">
        <v>564</v>
      </c>
      <c r="K388" s="698">
        <v>45957.446527777778</v>
      </c>
      <c r="L388" s="698">
        <v>45957.446527777778</v>
      </c>
      <c r="M388" t="s">
        <v>565</v>
      </c>
      <c r="N388" t="s">
        <v>565</v>
      </c>
      <c r="O388" t="s">
        <v>566</v>
      </c>
      <c r="P388" t="s">
        <v>567</v>
      </c>
      <c r="S388" t="s">
        <v>567</v>
      </c>
      <c r="T388" t="s">
        <v>567</v>
      </c>
      <c r="Z388" t="s">
        <v>568</v>
      </c>
      <c r="AA388" t="s">
        <v>568</v>
      </c>
      <c r="AC388" t="str">
        <v>NWG Assets Ltd</v>
      </c>
    </row>
    <row r="389" spans="1:29">
      <c r="A389" t="s">
        <v>1435</v>
      </c>
      <c r="B389" t="s">
        <v>1443</v>
      </c>
      <c r="C389" t="s">
        <v>1444</v>
      </c>
      <c r="D389" t="s">
        <v>1438</v>
      </c>
      <c r="E389" t="s">
        <v>1445</v>
      </c>
      <c r="F389" t="s">
        <v>562</v>
      </c>
      <c r="G389" t="s">
        <v>562</v>
      </c>
      <c r="H389" t="s">
        <v>562</v>
      </c>
      <c r="I389">
        <v>4193</v>
      </c>
      <c r="J389" t="s">
        <v>564</v>
      </c>
      <c r="K389" s="698">
        <v>45957.487500000003</v>
      </c>
      <c r="L389" s="698">
        <v>45957.487500000003</v>
      </c>
      <c r="M389" t="s">
        <v>565</v>
      </c>
      <c r="N389" t="s">
        <v>565</v>
      </c>
      <c r="O389" t="s">
        <v>566</v>
      </c>
      <c r="P389" t="s">
        <v>567</v>
      </c>
      <c r="S389" t="s">
        <v>567</v>
      </c>
      <c r="T389" t="s">
        <v>567</v>
      </c>
      <c r="Z389" t="s">
        <v>568</v>
      </c>
      <c r="AA389" t="s">
        <v>568</v>
      </c>
      <c r="AC389" t="str">
        <v>O.N.Site Construction Inc</v>
      </c>
    </row>
    <row r="390" spans="1:29">
      <c r="A390" t="s">
        <v>1435</v>
      </c>
      <c r="B390" t="s">
        <v>1436</v>
      </c>
      <c r="C390" t="s">
        <v>1437</v>
      </c>
      <c r="D390" t="s">
        <v>1438</v>
      </c>
      <c r="E390" t="s">
        <v>1446</v>
      </c>
      <c r="F390" t="s">
        <v>562</v>
      </c>
      <c r="G390" t="s">
        <v>562</v>
      </c>
      <c r="H390" t="s">
        <v>562</v>
      </c>
      <c r="I390">
        <v>4230</v>
      </c>
      <c r="J390" t="s">
        <v>564</v>
      </c>
      <c r="K390" s="698">
        <v>45957.492361111108</v>
      </c>
      <c r="L390" s="698">
        <v>45957.492361111108</v>
      </c>
      <c r="M390" t="s">
        <v>565</v>
      </c>
      <c r="N390" t="s">
        <v>565</v>
      </c>
      <c r="O390" t="s">
        <v>566</v>
      </c>
      <c r="P390" t="s">
        <v>567</v>
      </c>
      <c r="S390" t="s">
        <v>567</v>
      </c>
      <c r="T390" t="s">
        <v>567</v>
      </c>
      <c r="Z390" t="s">
        <v>568</v>
      </c>
      <c r="AA390" t="s">
        <v>568</v>
      </c>
      <c r="AC390" t="str">
        <v>Oakmont Consulting Group</v>
      </c>
    </row>
    <row r="391" spans="1:29">
      <c r="A391" t="s">
        <v>1435</v>
      </c>
      <c r="B391" t="s">
        <v>562</v>
      </c>
      <c r="C391" t="s">
        <v>562</v>
      </c>
      <c r="D391" t="s">
        <v>1438</v>
      </c>
      <c r="E391" t="s">
        <v>1264</v>
      </c>
      <c r="F391" t="s">
        <v>562</v>
      </c>
      <c r="G391" t="s">
        <v>562</v>
      </c>
      <c r="H391" t="s">
        <v>562</v>
      </c>
      <c r="I391">
        <v>4431</v>
      </c>
      <c r="J391" t="s">
        <v>564</v>
      </c>
      <c r="K391" s="698">
        <v>45957.518055555556</v>
      </c>
      <c r="L391" s="698">
        <v>45957.518055555556</v>
      </c>
      <c r="M391" t="s">
        <v>565</v>
      </c>
      <c r="N391" t="s">
        <v>565</v>
      </c>
      <c r="O391" t="s">
        <v>566</v>
      </c>
      <c r="P391" t="s">
        <v>567</v>
      </c>
      <c r="S391" t="s">
        <v>567</v>
      </c>
      <c r="T391" t="s">
        <v>567</v>
      </c>
      <c r="Z391" t="s">
        <v>568</v>
      </c>
      <c r="AA391" t="s">
        <v>568</v>
      </c>
      <c r="AC391" t="str">
        <v>Okotoks Square Inc.</v>
      </c>
    </row>
    <row r="392" spans="1:29">
      <c r="A392" t="s">
        <v>1447</v>
      </c>
      <c r="B392" t="s">
        <v>1448</v>
      </c>
      <c r="C392" t="s">
        <v>1449</v>
      </c>
      <c r="D392" t="s">
        <v>562</v>
      </c>
      <c r="E392" t="s">
        <v>1450</v>
      </c>
      <c r="F392" t="s">
        <v>562</v>
      </c>
      <c r="G392" t="s">
        <v>562</v>
      </c>
      <c r="H392" t="s">
        <v>562</v>
      </c>
      <c r="I392">
        <v>4192</v>
      </c>
      <c r="J392" t="s">
        <v>564</v>
      </c>
      <c r="K392" s="698">
        <v>45957.487500000003</v>
      </c>
      <c r="L392" s="698">
        <v>45957.487500000003</v>
      </c>
      <c r="M392" t="s">
        <v>565</v>
      </c>
      <c r="N392" t="s">
        <v>565</v>
      </c>
      <c r="O392" t="s">
        <v>566</v>
      </c>
      <c r="P392" t="s">
        <v>567</v>
      </c>
      <c r="S392" t="s">
        <v>567</v>
      </c>
      <c r="T392" t="s">
        <v>567</v>
      </c>
      <c r="Z392" t="s">
        <v>568</v>
      </c>
      <c r="AA392" t="s">
        <v>568</v>
      </c>
      <c r="AC392" t="str">
        <v>Okotoks Village Inc.</v>
      </c>
    </row>
    <row r="393" spans="1:29">
      <c r="A393" t="s">
        <v>1447</v>
      </c>
      <c r="B393" t="s">
        <v>1451</v>
      </c>
      <c r="C393" t="s">
        <v>562</v>
      </c>
      <c r="D393" t="s">
        <v>562</v>
      </c>
      <c r="E393" t="s">
        <v>1450</v>
      </c>
      <c r="F393" t="s">
        <v>562</v>
      </c>
      <c r="G393" t="s">
        <v>562</v>
      </c>
      <c r="H393" t="s">
        <v>562</v>
      </c>
      <c r="I393">
        <v>4587</v>
      </c>
      <c r="J393" t="s">
        <v>564</v>
      </c>
      <c r="K393" s="698">
        <v>45957.536805555559</v>
      </c>
      <c r="L393" s="698">
        <v>45957.536805555559</v>
      </c>
      <c r="M393" t="s">
        <v>565</v>
      </c>
      <c r="N393" t="s">
        <v>565</v>
      </c>
      <c r="O393" t="s">
        <v>566</v>
      </c>
      <c r="P393" t="s">
        <v>567</v>
      </c>
      <c r="S393" t="s">
        <v>567</v>
      </c>
      <c r="T393" t="s">
        <v>567</v>
      </c>
      <c r="Z393" t="s">
        <v>568</v>
      </c>
      <c r="AA393" t="s">
        <v>568</v>
      </c>
      <c r="AC393" t="str">
        <v>Oldrich Berger</v>
      </c>
    </row>
    <row r="394" spans="1:29">
      <c r="A394" t="s">
        <v>1447</v>
      </c>
      <c r="B394" t="s">
        <v>1452</v>
      </c>
      <c r="C394" t="s">
        <v>1453</v>
      </c>
      <c r="D394" t="s">
        <v>562</v>
      </c>
      <c r="E394" t="s">
        <v>1454</v>
      </c>
      <c r="F394" t="s">
        <v>562</v>
      </c>
      <c r="G394" t="s">
        <v>562</v>
      </c>
      <c r="H394" t="s">
        <v>562</v>
      </c>
      <c r="I394">
        <v>4880</v>
      </c>
      <c r="J394" t="s">
        <v>564</v>
      </c>
      <c r="K394" s="698">
        <v>45957.554861111108</v>
      </c>
      <c r="L394" s="698">
        <v>45957.554861111108</v>
      </c>
      <c r="M394" t="s">
        <v>565</v>
      </c>
      <c r="N394" t="s">
        <v>565</v>
      </c>
      <c r="O394" t="s">
        <v>566</v>
      </c>
      <c r="P394" t="s">
        <v>567</v>
      </c>
      <c r="S394" t="s">
        <v>567</v>
      </c>
      <c r="T394" t="s">
        <v>567</v>
      </c>
      <c r="Z394" t="s">
        <v>568</v>
      </c>
      <c r="AA394" t="s">
        <v>568</v>
      </c>
      <c r="AC394" t="str">
        <v>Olena Olafson</v>
      </c>
    </row>
    <row r="395" spans="1:29">
      <c r="A395" t="s">
        <v>1455</v>
      </c>
      <c r="B395" t="s">
        <v>562</v>
      </c>
      <c r="C395" t="s">
        <v>562</v>
      </c>
      <c r="D395" t="s">
        <v>1456</v>
      </c>
      <c r="E395" t="s">
        <v>1457</v>
      </c>
      <c r="F395" t="s">
        <v>562</v>
      </c>
      <c r="G395" t="s">
        <v>562</v>
      </c>
      <c r="H395" t="s">
        <v>562</v>
      </c>
      <c r="I395">
        <v>4383</v>
      </c>
      <c r="J395" t="s">
        <v>564</v>
      </c>
      <c r="K395" s="698">
        <v>45957.511805555558</v>
      </c>
      <c r="L395" s="698">
        <v>45957.511805555558</v>
      </c>
      <c r="M395" t="s">
        <v>565</v>
      </c>
      <c r="N395" t="s">
        <v>565</v>
      </c>
      <c r="O395" t="s">
        <v>566</v>
      </c>
      <c r="P395" t="s">
        <v>567</v>
      </c>
      <c r="S395" t="s">
        <v>567</v>
      </c>
      <c r="T395" t="s">
        <v>567</v>
      </c>
      <c r="Z395" t="s">
        <v>568</v>
      </c>
      <c r="AA395" t="s">
        <v>568</v>
      </c>
      <c r="AC395" t="str">
        <v>Omega Properties</v>
      </c>
    </row>
    <row r="396" spans="1:29">
      <c r="A396" t="s">
        <v>1455</v>
      </c>
      <c r="B396" t="s">
        <v>562</v>
      </c>
      <c r="C396" t="s">
        <v>562</v>
      </c>
      <c r="D396" t="s">
        <v>1456</v>
      </c>
      <c r="E396" t="s">
        <v>1458</v>
      </c>
      <c r="F396" t="s">
        <v>562</v>
      </c>
      <c r="G396" t="s">
        <v>562</v>
      </c>
      <c r="H396" t="s">
        <v>562</v>
      </c>
      <c r="I396">
        <v>5046</v>
      </c>
      <c r="J396" t="s">
        <v>564</v>
      </c>
      <c r="K396" s="698">
        <v>45957.55972222222</v>
      </c>
      <c r="L396" s="698">
        <v>45957.55972222222</v>
      </c>
      <c r="M396" t="s">
        <v>565</v>
      </c>
      <c r="N396" t="s">
        <v>565</v>
      </c>
      <c r="O396" t="s">
        <v>566</v>
      </c>
      <c r="P396" t="s">
        <v>567</v>
      </c>
      <c r="S396" t="s">
        <v>567</v>
      </c>
      <c r="T396" t="s">
        <v>567</v>
      </c>
      <c r="Z396" t="s">
        <v>568</v>
      </c>
      <c r="AA396" t="s">
        <v>568</v>
      </c>
      <c r="AC396" t="str">
        <v>On The Mark Renovations</v>
      </c>
    </row>
    <row r="397" spans="1:29">
      <c r="A397" t="s">
        <v>1459</v>
      </c>
      <c r="B397" t="s">
        <v>562</v>
      </c>
      <c r="C397" t="s">
        <v>1460</v>
      </c>
      <c r="D397" t="s">
        <v>1461</v>
      </c>
      <c r="E397" t="s">
        <v>562</v>
      </c>
      <c r="F397" t="s">
        <v>562</v>
      </c>
      <c r="G397" t="s">
        <v>562</v>
      </c>
      <c r="H397" t="s">
        <v>562</v>
      </c>
      <c r="I397">
        <v>3513</v>
      </c>
      <c r="J397" t="s">
        <v>564</v>
      </c>
      <c r="K397" s="698">
        <v>45957.411805555559</v>
      </c>
      <c r="L397" s="698">
        <v>45957.411805555559</v>
      </c>
      <c r="M397" t="s">
        <v>565</v>
      </c>
      <c r="N397" t="s">
        <v>565</v>
      </c>
      <c r="O397" t="s">
        <v>566</v>
      </c>
      <c r="P397" t="s">
        <v>567</v>
      </c>
      <c r="S397" t="s">
        <v>567</v>
      </c>
      <c r="T397" t="s">
        <v>567</v>
      </c>
      <c r="Z397" t="s">
        <v>568</v>
      </c>
      <c r="AA397" t="s">
        <v>568</v>
      </c>
      <c r="AC397" t="str">
        <v>One Properties Skyline Limited Partnership by its General Partners One Properties Skyline GP</v>
      </c>
    </row>
    <row r="398" spans="1:29">
      <c r="A398" t="s">
        <v>1462</v>
      </c>
      <c r="B398" t="s">
        <v>562</v>
      </c>
      <c r="C398" t="s">
        <v>1463</v>
      </c>
      <c r="D398" t="s">
        <v>1464</v>
      </c>
      <c r="E398" t="s">
        <v>562</v>
      </c>
      <c r="F398" t="s">
        <v>562</v>
      </c>
      <c r="G398" t="s">
        <v>562</v>
      </c>
      <c r="H398" t="s">
        <v>562</v>
      </c>
      <c r="I398">
        <v>3514</v>
      </c>
      <c r="J398" t="s">
        <v>564</v>
      </c>
      <c r="K398" s="698">
        <v>45957.411805555559</v>
      </c>
      <c r="L398" s="698">
        <v>45957.411805555559</v>
      </c>
      <c r="M398" t="s">
        <v>565</v>
      </c>
      <c r="N398" t="s">
        <v>565</v>
      </c>
      <c r="O398" t="s">
        <v>566</v>
      </c>
      <c r="P398" t="s">
        <v>567</v>
      </c>
      <c r="S398" t="s">
        <v>567</v>
      </c>
      <c r="T398" t="s">
        <v>567</v>
      </c>
      <c r="Z398" t="s">
        <v>568</v>
      </c>
      <c r="AA398" t="s">
        <v>568</v>
      </c>
      <c r="AC398" t="str">
        <v>OPB (Centre 10) Inc. c/o Epic Investment Services (Alberta) Inc.</v>
      </c>
    </row>
    <row r="399" spans="1:29">
      <c r="A399" t="s">
        <v>1465</v>
      </c>
      <c r="B399" t="s">
        <v>1466</v>
      </c>
      <c r="C399" t="s">
        <v>1467</v>
      </c>
      <c r="D399" t="s">
        <v>1468</v>
      </c>
      <c r="E399" t="s">
        <v>1469</v>
      </c>
      <c r="F399" t="s">
        <v>562</v>
      </c>
      <c r="G399" t="s">
        <v>562</v>
      </c>
      <c r="H399" t="s">
        <v>562</v>
      </c>
      <c r="I399">
        <v>4271</v>
      </c>
      <c r="J399" t="s">
        <v>564</v>
      </c>
      <c r="K399" s="698">
        <v>45957.497916666667</v>
      </c>
      <c r="L399" s="698">
        <v>45957.497916666667</v>
      </c>
      <c r="M399" t="s">
        <v>565</v>
      </c>
      <c r="N399" t="s">
        <v>565</v>
      </c>
      <c r="O399" t="s">
        <v>566</v>
      </c>
      <c r="P399" t="s">
        <v>567</v>
      </c>
      <c r="S399" t="s">
        <v>567</v>
      </c>
      <c r="T399" t="s">
        <v>567</v>
      </c>
      <c r="Z399" t="s">
        <v>568</v>
      </c>
      <c r="AA399" t="s">
        <v>568</v>
      </c>
      <c r="AC399" t="str">
        <v>OPS Microcheck</v>
      </c>
    </row>
    <row r="400" spans="1:29">
      <c r="A400" t="s">
        <v>1470</v>
      </c>
      <c r="B400" t="s">
        <v>562</v>
      </c>
      <c r="C400" t="s">
        <v>1471</v>
      </c>
      <c r="D400" t="s">
        <v>1472</v>
      </c>
      <c r="E400" t="s">
        <v>562</v>
      </c>
      <c r="F400" t="s">
        <v>562</v>
      </c>
      <c r="G400" t="s">
        <v>562</v>
      </c>
      <c r="H400" t="s">
        <v>562</v>
      </c>
      <c r="I400">
        <v>3515</v>
      </c>
      <c r="J400" t="s">
        <v>564</v>
      </c>
      <c r="K400" s="698">
        <v>45957.411805555559</v>
      </c>
      <c r="L400" s="698">
        <v>45957.411805555559</v>
      </c>
      <c r="M400" t="s">
        <v>565</v>
      </c>
      <c r="N400" t="s">
        <v>565</v>
      </c>
      <c r="O400" t="s">
        <v>566</v>
      </c>
      <c r="P400" t="s">
        <v>567</v>
      </c>
      <c r="S400" t="s">
        <v>567</v>
      </c>
      <c r="T400" t="s">
        <v>567</v>
      </c>
      <c r="Z400" t="s">
        <v>568</v>
      </c>
      <c r="AA400" t="s">
        <v>568</v>
      </c>
      <c r="AC400" t="str">
        <v>OPUS Corp</v>
      </c>
    </row>
    <row r="401" spans="1:29">
      <c r="A401" t="s">
        <v>1473</v>
      </c>
      <c r="B401" t="s">
        <v>562</v>
      </c>
      <c r="C401" t="s">
        <v>1474</v>
      </c>
      <c r="D401" t="s">
        <v>1475</v>
      </c>
      <c r="E401" t="s">
        <v>1476</v>
      </c>
      <c r="F401" t="s">
        <v>562</v>
      </c>
      <c r="G401" t="s">
        <v>562</v>
      </c>
      <c r="H401" t="s">
        <v>562</v>
      </c>
      <c r="I401">
        <v>3816</v>
      </c>
      <c r="J401" t="s">
        <v>564</v>
      </c>
      <c r="K401" s="698">
        <v>45957.443749999999</v>
      </c>
      <c r="L401" s="698">
        <v>45957.443749999999</v>
      </c>
      <c r="M401" t="s">
        <v>565</v>
      </c>
      <c r="N401" t="s">
        <v>565</v>
      </c>
      <c r="O401" t="s">
        <v>566</v>
      </c>
      <c r="P401" t="s">
        <v>567</v>
      </c>
      <c r="S401" t="s">
        <v>567</v>
      </c>
      <c r="T401" t="s">
        <v>567</v>
      </c>
      <c r="Z401" t="s">
        <v>568</v>
      </c>
      <c r="AA401" t="s">
        <v>568</v>
      </c>
      <c r="AC401" t="str">
        <v>OWO Management</v>
      </c>
    </row>
    <row r="402" spans="1:29">
      <c r="A402" t="s">
        <v>1473</v>
      </c>
      <c r="B402" t="s">
        <v>1477</v>
      </c>
      <c r="C402" t="s">
        <v>562</v>
      </c>
      <c r="D402" t="s">
        <v>1475</v>
      </c>
      <c r="E402" t="s">
        <v>1478</v>
      </c>
      <c r="F402" t="s">
        <v>562</v>
      </c>
      <c r="G402" t="s">
        <v>562</v>
      </c>
      <c r="H402" t="s">
        <v>562</v>
      </c>
      <c r="I402">
        <v>4058</v>
      </c>
      <c r="J402" t="s">
        <v>564</v>
      </c>
      <c r="K402" s="698">
        <v>45957.47152777778</v>
      </c>
      <c r="L402" s="698">
        <v>45957.47152777778</v>
      </c>
      <c r="M402" t="s">
        <v>565</v>
      </c>
      <c r="N402" t="s">
        <v>565</v>
      </c>
      <c r="O402" t="s">
        <v>566</v>
      </c>
      <c r="P402" t="s">
        <v>567</v>
      </c>
      <c r="S402" t="s">
        <v>567</v>
      </c>
      <c r="T402" t="s">
        <v>567</v>
      </c>
      <c r="Z402" t="s">
        <v>568</v>
      </c>
      <c r="AA402" t="s">
        <v>568</v>
      </c>
      <c r="AC402" t="str">
        <v>Palladium Properties</v>
      </c>
    </row>
    <row r="403" spans="1:29">
      <c r="A403" t="s">
        <v>1473</v>
      </c>
      <c r="B403" t="s">
        <v>562</v>
      </c>
      <c r="C403" t="s">
        <v>562</v>
      </c>
      <c r="D403" t="s">
        <v>1475</v>
      </c>
      <c r="E403" t="s">
        <v>1479</v>
      </c>
      <c r="F403" t="s">
        <v>562</v>
      </c>
      <c r="G403" t="s">
        <v>562</v>
      </c>
      <c r="H403" t="s">
        <v>562</v>
      </c>
      <c r="I403">
        <v>4095</v>
      </c>
      <c r="J403" t="s">
        <v>564</v>
      </c>
      <c r="K403" s="698">
        <v>45957.475694444445</v>
      </c>
      <c r="L403" s="698">
        <v>45957.475694444445</v>
      </c>
      <c r="M403" t="s">
        <v>565</v>
      </c>
      <c r="N403" t="s">
        <v>565</v>
      </c>
      <c r="O403" t="s">
        <v>566</v>
      </c>
      <c r="P403" t="s">
        <v>567</v>
      </c>
      <c r="S403" t="s">
        <v>567</v>
      </c>
      <c r="T403" t="s">
        <v>567</v>
      </c>
      <c r="Z403" t="s">
        <v>568</v>
      </c>
      <c r="AA403" t="s">
        <v>568</v>
      </c>
      <c r="AC403" t="str">
        <v>Pan Am Management Services Inc</v>
      </c>
    </row>
    <row r="404" spans="1:29">
      <c r="A404" t="s">
        <v>1473</v>
      </c>
      <c r="B404" t="s">
        <v>562</v>
      </c>
      <c r="C404" t="s">
        <v>562</v>
      </c>
      <c r="D404" t="s">
        <v>1475</v>
      </c>
      <c r="E404" t="s">
        <v>1480</v>
      </c>
      <c r="F404" t="s">
        <v>562</v>
      </c>
      <c r="G404" t="s">
        <v>562</v>
      </c>
      <c r="H404" t="s">
        <v>562</v>
      </c>
      <c r="I404">
        <v>4234</v>
      </c>
      <c r="J404" t="s">
        <v>564</v>
      </c>
      <c r="K404" s="698">
        <v>45957.493055555555</v>
      </c>
      <c r="L404" s="698">
        <v>45957.493055555555</v>
      </c>
      <c r="M404" t="s">
        <v>565</v>
      </c>
      <c r="N404" t="s">
        <v>565</v>
      </c>
      <c r="O404" t="s">
        <v>566</v>
      </c>
      <c r="P404" t="s">
        <v>567</v>
      </c>
      <c r="S404" t="s">
        <v>567</v>
      </c>
      <c r="T404" t="s">
        <v>567</v>
      </c>
      <c r="Z404" t="s">
        <v>568</v>
      </c>
      <c r="AA404" t="s">
        <v>568</v>
      </c>
      <c r="AC404" t="str">
        <v>Paradise Halal Meat</v>
      </c>
    </row>
    <row r="405" spans="1:29">
      <c r="A405" t="s">
        <v>1473</v>
      </c>
      <c r="B405" t="s">
        <v>562</v>
      </c>
      <c r="C405" t="s">
        <v>562</v>
      </c>
      <c r="D405" t="s">
        <v>1475</v>
      </c>
      <c r="E405" t="s">
        <v>1481</v>
      </c>
      <c r="F405" t="s">
        <v>562</v>
      </c>
      <c r="G405" t="s">
        <v>562</v>
      </c>
      <c r="H405" t="s">
        <v>562</v>
      </c>
      <c r="I405">
        <v>4416</v>
      </c>
      <c r="J405" t="s">
        <v>564</v>
      </c>
      <c r="K405" s="698">
        <v>45957.515972222223</v>
      </c>
      <c r="L405" s="698">
        <v>45957.515972222223</v>
      </c>
      <c r="M405" t="s">
        <v>565</v>
      </c>
      <c r="N405" t="s">
        <v>565</v>
      </c>
      <c r="O405" t="s">
        <v>566</v>
      </c>
      <c r="P405" t="s">
        <v>567</v>
      </c>
      <c r="S405" t="s">
        <v>567</v>
      </c>
      <c r="T405" t="s">
        <v>567</v>
      </c>
      <c r="Z405" t="s">
        <v>568</v>
      </c>
      <c r="AA405" t="s">
        <v>568</v>
      </c>
      <c r="AC405" t="str">
        <v>Paragon Mechanical Ltd.</v>
      </c>
    </row>
    <row r="406" spans="1:29">
      <c r="A406" t="s">
        <v>1473</v>
      </c>
      <c r="B406" t="s">
        <v>562</v>
      </c>
      <c r="C406" t="s">
        <v>562</v>
      </c>
      <c r="D406" t="s">
        <v>1475</v>
      </c>
      <c r="E406" t="s">
        <v>776</v>
      </c>
      <c r="F406" t="s">
        <v>562</v>
      </c>
      <c r="G406" t="s">
        <v>562</v>
      </c>
      <c r="H406" t="s">
        <v>562</v>
      </c>
      <c r="I406">
        <v>4426</v>
      </c>
      <c r="J406" t="s">
        <v>564</v>
      </c>
      <c r="K406" s="698">
        <v>45957.517361111109</v>
      </c>
      <c r="L406" s="698">
        <v>45957.517361111109</v>
      </c>
      <c r="M406" t="s">
        <v>565</v>
      </c>
      <c r="N406" t="s">
        <v>565</v>
      </c>
      <c r="O406" t="s">
        <v>566</v>
      </c>
      <c r="P406" t="s">
        <v>567</v>
      </c>
      <c r="S406" t="s">
        <v>567</v>
      </c>
      <c r="T406" t="s">
        <v>567</v>
      </c>
      <c r="Z406" t="s">
        <v>568</v>
      </c>
      <c r="AA406" t="s">
        <v>568</v>
      </c>
      <c r="AC406" t="str">
        <v>Paramount Real Estate Corporation</v>
      </c>
    </row>
    <row r="407" spans="1:29">
      <c r="A407" t="s">
        <v>1473</v>
      </c>
      <c r="B407" t="s">
        <v>562</v>
      </c>
      <c r="C407" t="s">
        <v>562</v>
      </c>
      <c r="D407" t="s">
        <v>1475</v>
      </c>
      <c r="E407" t="s">
        <v>1482</v>
      </c>
      <c r="F407" t="s">
        <v>562</v>
      </c>
      <c r="G407" t="s">
        <v>562</v>
      </c>
      <c r="H407" t="s">
        <v>562</v>
      </c>
      <c r="I407">
        <v>4501</v>
      </c>
      <c r="J407" t="s">
        <v>564</v>
      </c>
      <c r="K407" s="698">
        <v>45957.526388888888</v>
      </c>
      <c r="L407" s="698">
        <v>45957.526388888888</v>
      </c>
      <c r="M407" t="s">
        <v>565</v>
      </c>
      <c r="N407" t="s">
        <v>565</v>
      </c>
      <c r="O407" t="s">
        <v>566</v>
      </c>
      <c r="P407" t="s">
        <v>567</v>
      </c>
      <c r="S407" t="s">
        <v>567</v>
      </c>
      <c r="T407" t="s">
        <v>567</v>
      </c>
      <c r="Z407" t="s">
        <v>568</v>
      </c>
      <c r="AA407" t="s">
        <v>568</v>
      </c>
      <c r="AC407" t="str">
        <v>Parkland Community Association</v>
      </c>
    </row>
    <row r="408" spans="1:29">
      <c r="A408" t="s">
        <v>1473</v>
      </c>
      <c r="B408" t="s">
        <v>562</v>
      </c>
      <c r="C408" t="s">
        <v>562</v>
      </c>
      <c r="D408" t="s">
        <v>1475</v>
      </c>
      <c r="E408" t="s">
        <v>1483</v>
      </c>
      <c r="F408" t="s">
        <v>562</v>
      </c>
      <c r="G408" t="s">
        <v>562</v>
      </c>
      <c r="H408" t="s">
        <v>562</v>
      </c>
      <c r="I408">
        <v>4615</v>
      </c>
      <c r="J408" t="s">
        <v>564</v>
      </c>
      <c r="K408" s="698">
        <v>45957.540277777778</v>
      </c>
      <c r="L408" s="698">
        <v>45957.540277777778</v>
      </c>
      <c r="M408" t="s">
        <v>565</v>
      </c>
      <c r="N408" t="s">
        <v>565</v>
      </c>
      <c r="O408" t="s">
        <v>566</v>
      </c>
      <c r="P408" t="s">
        <v>567</v>
      </c>
      <c r="S408" t="s">
        <v>567</v>
      </c>
      <c r="T408" t="s">
        <v>567</v>
      </c>
      <c r="Z408" t="s">
        <v>568</v>
      </c>
      <c r="AA408" t="s">
        <v>568</v>
      </c>
      <c r="AC408" t="str">
        <v>Peddie Roofing &amp; Waterproofing Ltd.</v>
      </c>
    </row>
    <row r="409" spans="1:29">
      <c r="A409" t="s">
        <v>1473</v>
      </c>
      <c r="B409" t="s">
        <v>562</v>
      </c>
      <c r="C409" t="s">
        <v>562</v>
      </c>
      <c r="D409" t="s">
        <v>1475</v>
      </c>
      <c r="E409" t="s">
        <v>1484</v>
      </c>
      <c r="F409" t="s">
        <v>562</v>
      </c>
      <c r="G409" t="s">
        <v>562</v>
      </c>
      <c r="H409" t="s">
        <v>562</v>
      </c>
      <c r="I409">
        <v>5123</v>
      </c>
      <c r="J409" t="s">
        <v>564</v>
      </c>
      <c r="K409" s="698">
        <v>45957.561805555553</v>
      </c>
      <c r="L409" s="698">
        <v>45957.561805555553</v>
      </c>
      <c r="M409" t="s">
        <v>565</v>
      </c>
      <c r="N409" t="s">
        <v>565</v>
      </c>
      <c r="O409" t="s">
        <v>566</v>
      </c>
      <c r="P409" t="s">
        <v>567</v>
      </c>
      <c r="S409" t="s">
        <v>567</v>
      </c>
      <c r="T409" t="s">
        <v>567</v>
      </c>
      <c r="Z409" t="s">
        <v>568</v>
      </c>
      <c r="AA409" t="s">
        <v>568</v>
      </c>
      <c r="AC409" t="str">
        <v>PenAlta Group</v>
      </c>
    </row>
    <row r="410" spans="1:29">
      <c r="A410" t="s">
        <v>1473</v>
      </c>
      <c r="B410" t="s">
        <v>562</v>
      </c>
      <c r="C410" t="s">
        <v>562</v>
      </c>
      <c r="D410" t="s">
        <v>1475</v>
      </c>
      <c r="E410" t="s">
        <v>1485</v>
      </c>
      <c r="F410" t="s">
        <v>562</v>
      </c>
      <c r="G410" t="s">
        <v>562</v>
      </c>
      <c r="H410" t="s">
        <v>562</v>
      </c>
      <c r="I410">
        <v>5171</v>
      </c>
      <c r="J410" t="s">
        <v>564</v>
      </c>
      <c r="K410" s="698">
        <v>45957.563194444447</v>
      </c>
      <c r="L410" s="698">
        <v>45957.563194444447</v>
      </c>
      <c r="M410" t="s">
        <v>565</v>
      </c>
      <c r="N410" t="s">
        <v>565</v>
      </c>
      <c r="O410" t="s">
        <v>566</v>
      </c>
      <c r="P410" t="s">
        <v>567</v>
      </c>
      <c r="S410" t="s">
        <v>567</v>
      </c>
      <c r="T410" t="s">
        <v>567</v>
      </c>
      <c r="Z410" t="s">
        <v>568</v>
      </c>
      <c r="AA410" t="s">
        <v>568</v>
      </c>
      <c r="AC410" t="str">
        <v>Persimmon Contracting</v>
      </c>
    </row>
    <row r="411" spans="1:29">
      <c r="A411" t="s">
        <v>1486</v>
      </c>
      <c r="B411" t="s">
        <v>1487</v>
      </c>
      <c r="C411" t="s">
        <v>1488</v>
      </c>
      <c r="D411" t="s">
        <v>1489</v>
      </c>
      <c r="E411" t="s">
        <v>1490</v>
      </c>
      <c r="F411" t="s">
        <v>562</v>
      </c>
      <c r="G411" t="s">
        <v>562</v>
      </c>
      <c r="H411" t="s">
        <v>562</v>
      </c>
      <c r="I411">
        <v>3579</v>
      </c>
      <c r="J411" t="s">
        <v>564</v>
      </c>
      <c r="K411" s="698">
        <v>45957.418055555558</v>
      </c>
      <c r="L411" s="698">
        <v>45957.418055555558</v>
      </c>
      <c r="M411" t="s">
        <v>565</v>
      </c>
      <c r="N411" t="s">
        <v>565</v>
      </c>
      <c r="O411" t="s">
        <v>566</v>
      </c>
      <c r="P411" t="s">
        <v>567</v>
      </c>
      <c r="S411" t="s">
        <v>567</v>
      </c>
      <c r="T411" t="s">
        <v>567</v>
      </c>
      <c r="Z411" t="s">
        <v>568</v>
      </c>
      <c r="AA411" t="s">
        <v>568</v>
      </c>
      <c r="AC411" t="str">
        <v>Petersen Contracting Inc.</v>
      </c>
    </row>
    <row r="412" spans="1:29">
      <c r="A412" t="s">
        <v>1486</v>
      </c>
      <c r="B412" t="s">
        <v>1491</v>
      </c>
      <c r="C412" t="s">
        <v>1492</v>
      </c>
      <c r="D412" t="s">
        <v>562</v>
      </c>
      <c r="E412" t="s">
        <v>1493</v>
      </c>
      <c r="F412" t="s">
        <v>562</v>
      </c>
      <c r="G412" t="s">
        <v>562</v>
      </c>
      <c r="H412" t="s">
        <v>562</v>
      </c>
      <c r="I412">
        <v>3580</v>
      </c>
      <c r="J412" t="s">
        <v>564</v>
      </c>
      <c r="K412" s="698">
        <v>45957.418055555558</v>
      </c>
      <c r="L412" s="698">
        <v>45957.418055555558</v>
      </c>
      <c r="M412" t="s">
        <v>565</v>
      </c>
      <c r="N412" t="s">
        <v>565</v>
      </c>
      <c r="O412" t="s">
        <v>566</v>
      </c>
      <c r="P412" t="s">
        <v>567</v>
      </c>
      <c r="S412" t="s">
        <v>567</v>
      </c>
      <c r="T412" t="s">
        <v>567</v>
      </c>
      <c r="Z412" t="s">
        <v>568</v>
      </c>
      <c r="AA412" t="s">
        <v>568</v>
      </c>
      <c r="AC412" t="str">
        <v>Phoenix Mechanical</v>
      </c>
    </row>
    <row r="413" spans="1:29">
      <c r="A413" t="s">
        <v>1486</v>
      </c>
      <c r="B413" t="s">
        <v>1494</v>
      </c>
      <c r="C413" t="s">
        <v>1495</v>
      </c>
      <c r="D413" t="s">
        <v>562</v>
      </c>
      <c r="E413" t="s">
        <v>1496</v>
      </c>
      <c r="F413" t="s">
        <v>562</v>
      </c>
      <c r="G413" t="s">
        <v>562</v>
      </c>
      <c r="H413" t="s">
        <v>562</v>
      </c>
      <c r="I413">
        <v>3595</v>
      </c>
      <c r="J413" t="s">
        <v>564</v>
      </c>
      <c r="K413" s="698">
        <v>45957.419444444444</v>
      </c>
      <c r="L413" s="698">
        <v>45957.419444444444</v>
      </c>
      <c r="M413" t="s">
        <v>565</v>
      </c>
      <c r="N413" t="s">
        <v>565</v>
      </c>
      <c r="O413" t="s">
        <v>566</v>
      </c>
      <c r="P413" t="s">
        <v>567</v>
      </c>
      <c r="S413" t="s">
        <v>567</v>
      </c>
      <c r="T413" t="s">
        <v>567</v>
      </c>
      <c r="Z413" t="s">
        <v>568</v>
      </c>
      <c r="AA413" t="s">
        <v>568</v>
      </c>
      <c r="AC413" t="str">
        <v>Pinchin Ltd</v>
      </c>
    </row>
    <row r="414" spans="1:29">
      <c r="A414" t="s">
        <v>1486</v>
      </c>
      <c r="B414" t="s">
        <v>1497</v>
      </c>
      <c r="C414" t="s">
        <v>1498</v>
      </c>
      <c r="D414" t="s">
        <v>562</v>
      </c>
      <c r="E414" t="s">
        <v>1499</v>
      </c>
      <c r="F414" t="s">
        <v>562</v>
      </c>
      <c r="G414" t="s">
        <v>562</v>
      </c>
      <c r="H414" t="s">
        <v>562</v>
      </c>
      <c r="I414">
        <v>3597</v>
      </c>
      <c r="J414" t="s">
        <v>564</v>
      </c>
      <c r="K414" s="698">
        <v>45957.420138888891</v>
      </c>
      <c r="L414" s="698">
        <v>45957.420138888891</v>
      </c>
      <c r="M414" t="s">
        <v>565</v>
      </c>
      <c r="N414" t="s">
        <v>565</v>
      </c>
      <c r="O414" t="s">
        <v>566</v>
      </c>
      <c r="P414" t="s">
        <v>567</v>
      </c>
      <c r="S414" t="s">
        <v>567</v>
      </c>
      <c r="T414" t="s">
        <v>567</v>
      </c>
      <c r="Z414" t="s">
        <v>568</v>
      </c>
      <c r="AA414" t="s">
        <v>568</v>
      </c>
      <c r="AC414" t="str">
        <v>Pioneer Air Ltd</v>
      </c>
    </row>
    <row r="415" spans="1:29">
      <c r="A415" t="s">
        <v>1486</v>
      </c>
      <c r="B415" t="s">
        <v>1497</v>
      </c>
      <c r="C415" t="s">
        <v>1498</v>
      </c>
      <c r="D415" t="s">
        <v>562</v>
      </c>
      <c r="E415" t="s">
        <v>1500</v>
      </c>
      <c r="F415" t="s">
        <v>562</v>
      </c>
      <c r="G415" t="s">
        <v>562</v>
      </c>
      <c r="H415" t="s">
        <v>562</v>
      </c>
      <c r="I415">
        <v>3599</v>
      </c>
      <c r="J415" t="s">
        <v>564</v>
      </c>
      <c r="K415" s="698">
        <v>45957.420138888891</v>
      </c>
      <c r="L415" s="698">
        <v>45957.420138888891</v>
      </c>
      <c r="M415" t="s">
        <v>565</v>
      </c>
      <c r="N415" t="s">
        <v>565</v>
      </c>
      <c r="O415" t="s">
        <v>566</v>
      </c>
      <c r="P415" t="s">
        <v>567</v>
      </c>
      <c r="S415" t="s">
        <v>567</v>
      </c>
      <c r="T415" t="s">
        <v>567</v>
      </c>
      <c r="Z415" t="s">
        <v>568</v>
      </c>
      <c r="AA415" t="s">
        <v>568</v>
      </c>
      <c r="AC415" t="str">
        <v>Pizza 73</v>
      </c>
    </row>
    <row r="416" spans="1:29">
      <c r="A416" t="s">
        <v>1486</v>
      </c>
      <c r="B416" t="s">
        <v>1494</v>
      </c>
      <c r="C416" t="s">
        <v>1501</v>
      </c>
      <c r="D416" t="s">
        <v>562</v>
      </c>
      <c r="E416" t="s">
        <v>1502</v>
      </c>
      <c r="F416" t="s">
        <v>562</v>
      </c>
      <c r="G416" t="s">
        <v>562</v>
      </c>
      <c r="H416" t="s">
        <v>562</v>
      </c>
      <c r="I416">
        <v>3600</v>
      </c>
      <c r="J416" t="s">
        <v>564</v>
      </c>
      <c r="K416" s="698">
        <v>45957.420138888891</v>
      </c>
      <c r="L416" s="698">
        <v>45957.420138888891</v>
      </c>
      <c r="M416" t="s">
        <v>565</v>
      </c>
      <c r="N416" t="s">
        <v>565</v>
      </c>
      <c r="O416" t="s">
        <v>566</v>
      </c>
      <c r="P416" t="s">
        <v>567</v>
      </c>
      <c r="S416" t="s">
        <v>567</v>
      </c>
      <c r="T416" t="s">
        <v>567</v>
      </c>
      <c r="Z416" t="s">
        <v>568</v>
      </c>
      <c r="AA416" t="s">
        <v>568</v>
      </c>
      <c r="AC416" t="str">
        <v>Platinum Property Management Group</v>
      </c>
    </row>
    <row r="417" spans="1:29">
      <c r="A417" t="s">
        <v>1486</v>
      </c>
      <c r="B417" t="s">
        <v>1497</v>
      </c>
      <c r="C417" t="s">
        <v>1498</v>
      </c>
      <c r="D417" t="s">
        <v>562</v>
      </c>
      <c r="E417" t="s">
        <v>1503</v>
      </c>
      <c r="F417" t="s">
        <v>562</v>
      </c>
      <c r="G417" t="s">
        <v>562</v>
      </c>
      <c r="H417" t="s">
        <v>562</v>
      </c>
      <c r="I417">
        <v>3602</v>
      </c>
      <c r="J417" t="s">
        <v>564</v>
      </c>
      <c r="K417" s="698">
        <v>45957.420138888891</v>
      </c>
      <c r="L417" s="698">
        <v>45957.420138888891</v>
      </c>
      <c r="M417" t="s">
        <v>565</v>
      </c>
      <c r="N417" t="s">
        <v>565</v>
      </c>
      <c r="O417" t="s">
        <v>566</v>
      </c>
      <c r="P417" t="s">
        <v>567</v>
      </c>
      <c r="S417" t="s">
        <v>567</v>
      </c>
      <c r="T417" t="s">
        <v>567</v>
      </c>
      <c r="Z417" t="s">
        <v>568</v>
      </c>
      <c r="AA417" t="s">
        <v>568</v>
      </c>
      <c r="AC417" t="str">
        <v>Platinum Roofing.ca Ltd</v>
      </c>
    </row>
    <row r="418" spans="1:29">
      <c r="A418" t="s">
        <v>1486</v>
      </c>
      <c r="B418" t="s">
        <v>1494</v>
      </c>
      <c r="C418" t="s">
        <v>1504</v>
      </c>
      <c r="D418" t="s">
        <v>562</v>
      </c>
      <c r="E418" t="s">
        <v>1505</v>
      </c>
      <c r="F418" t="s">
        <v>562</v>
      </c>
      <c r="G418" t="s">
        <v>562</v>
      </c>
      <c r="H418" t="s">
        <v>562</v>
      </c>
      <c r="I418">
        <v>3603</v>
      </c>
      <c r="J418" t="s">
        <v>564</v>
      </c>
      <c r="K418" s="698">
        <v>45957.420138888891</v>
      </c>
      <c r="L418" s="698">
        <v>45957.420138888891</v>
      </c>
      <c r="M418" t="s">
        <v>565</v>
      </c>
      <c r="N418" t="s">
        <v>565</v>
      </c>
      <c r="O418" t="s">
        <v>566</v>
      </c>
      <c r="P418" t="s">
        <v>567</v>
      </c>
      <c r="S418" t="s">
        <v>567</v>
      </c>
      <c r="T418" t="s">
        <v>567</v>
      </c>
      <c r="Z418" t="s">
        <v>568</v>
      </c>
      <c r="AA418" t="s">
        <v>568</v>
      </c>
      <c r="AC418" t="str">
        <v>Point Source Inc.</v>
      </c>
    </row>
    <row r="419" spans="1:29">
      <c r="A419" t="s">
        <v>1486</v>
      </c>
      <c r="B419" t="s">
        <v>1497</v>
      </c>
      <c r="C419" t="s">
        <v>1498</v>
      </c>
      <c r="D419" t="s">
        <v>562</v>
      </c>
      <c r="E419" t="s">
        <v>1506</v>
      </c>
      <c r="F419" t="s">
        <v>562</v>
      </c>
      <c r="G419" t="s">
        <v>562</v>
      </c>
      <c r="H419" t="s">
        <v>562</v>
      </c>
      <c r="I419">
        <v>3604</v>
      </c>
      <c r="J419" t="s">
        <v>564</v>
      </c>
      <c r="K419" s="698">
        <v>45957.42083333333</v>
      </c>
      <c r="L419" s="698">
        <v>45957.42083333333</v>
      </c>
      <c r="M419" t="s">
        <v>565</v>
      </c>
      <c r="N419" t="s">
        <v>565</v>
      </c>
      <c r="O419" t="s">
        <v>566</v>
      </c>
      <c r="P419" t="s">
        <v>567</v>
      </c>
      <c r="S419" t="s">
        <v>567</v>
      </c>
      <c r="T419" t="s">
        <v>567</v>
      </c>
      <c r="Z419" t="s">
        <v>568</v>
      </c>
      <c r="AA419" t="s">
        <v>568</v>
      </c>
      <c r="AC419" t="str">
        <v>Prairie West Landscapes Inc</v>
      </c>
    </row>
    <row r="420" spans="1:29">
      <c r="A420" t="s">
        <v>1486</v>
      </c>
      <c r="B420" t="s">
        <v>1494</v>
      </c>
      <c r="C420" t="s">
        <v>1501</v>
      </c>
      <c r="D420" t="s">
        <v>562</v>
      </c>
      <c r="E420" t="s">
        <v>1507</v>
      </c>
      <c r="F420" t="s">
        <v>562</v>
      </c>
      <c r="G420" t="s">
        <v>562</v>
      </c>
      <c r="H420" t="s">
        <v>562</v>
      </c>
      <c r="I420">
        <v>3605</v>
      </c>
      <c r="J420" t="s">
        <v>564</v>
      </c>
      <c r="K420" s="698">
        <v>45957.42083333333</v>
      </c>
      <c r="L420" s="698">
        <v>45957.42083333333</v>
      </c>
      <c r="M420" t="s">
        <v>565</v>
      </c>
      <c r="N420" t="s">
        <v>565</v>
      </c>
      <c r="O420" t="s">
        <v>566</v>
      </c>
      <c r="P420" t="s">
        <v>567</v>
      </c>
      <c r="S420" t="s">
        <v>567</v>
      </c>
      <c r="T420" t="s">
        <v>567</v>
      </c>
      <c r="Z420" t="s">
        <v>568</v>
      </c>
      <c r="AA420" t="s">
        <v>568</v>
      </c>
      <c r="AC420" t="str">
        <v>Primaris Management Inc-Marlborough Mall Holdings Inc</v>
      </c>
    </row>
    <row r="421" spans="1:29">
      <c r="A421" t="s">
        <v>1486</v>
      </c>
      <c r="B421" t="s">
        <v>1497</v>
      </c>
      <c r="C421" t="s">
        <v>1498</v>
      </c>
      <c r="D421" t="s">
        <v>562</v>
      </c>
      <c r="E421" t="s">
        <v>1508</v>
      </c>
      <c r="F421" t="s">
        <v>562</v>
      </c>
      <c r="G421" t="s">
        <v>562</v>
      </c>
      <c r="H421" t="s">
        <v>562</v>
      </c>
      <c r="I421">
        <v>3607</v>
      </c>
      <c r="J421" t="s">
        <v>564</v>
      </c>
      <c r="K421" s="698">
        <v>45957.42083333333</v>
      </c>
      <c r="L421" s="698">
        <v>45957.42083333333</v>
      </c>
      <c r="M421" t="s">
        <v>565</v>
      </c>
      <c r="N421" t="s">
        <v>565</v>
      </c>
      <c r="O421" t="s">
        <v>566</v>
      </c>
      <c r="P421" t="s">
        <v>567</v>
      </c>
      <c r="S421" t="s">
        <v>567</v>
      </c>
      <c r="T421" t="s">
        <v>567</v>
      </c>
      <c r="Z421" t="s">
        <v>568</v>
      </c>
      <c r="AA421" t="s">
        <v>568</v>
      </c>
      <c r="AC421" t="str">
        <v>Prime Solutions</v>
      </c>
    </row>
    <row r="422" spans="1:29">
      <c r="A422" t="s">
        <v>1486</v>
      </c>
      <c r="B422" t="s">
        <v>1497</v>
      </c>
      <c r="C422" t="s">
        <v>1498</v>
      </c>
      <c r="D422" t="s">
        <v>562</v>
      </c>
      <c r="E422" t="s">
        <v>1509</v>
      </c>
      <c r="F422" t="s">
        <v>562</v>
      </c>
      <c r="G422" t="s">
        <v>562</v>
      </c>
      <c r="H422" t="s">
        <v>562</v>
      </c>
      <c r="I422">
        <v>3608</v>
      </c>
      <c r="J422" t="s">
        <v>564</v>
      </c>
      <c r="K422" s="698">
        <v>45957.42083333333</v>
      </c>
      <c r="L422" s="698">
        <v>45957.42083333333</v>
      </c>
      <c r="M422" t="s">
        <v>565</v>
      </c>
      <c r="N422" t="s">
        <v>565</v>
      </c>
      <c r="O422" t="s">
        <v>566</v>
      </c>
      <c r="P422" t="s">
        <v>567</v>
      </c>
      <c r="S422" t="s">
        <v>567</v>
      </c>
      <c r="T422" t="s">
        <v>567</v>
      </c>
      <c r="Z422" t="s">
        <v>568</v>
      </c>
      <c r="AA422" t="s">
        <v>568</v>
      </c>
      <c r="AC422" t="str">
        <v>Princeton Hall &amp; Parkade</v>
      </c>
    </row>
    <row r="423" spans="1:29">
      <c r="A423" t="s">
        <v>1486</v>
      </c>
      <c r="B423" t="s">
        <v>1494</v>
      </c>
      <c r="C423" t="s">
        <v>1501</v>
      </c>
      <c r="D423" t="s">
        <v>562</v>
      </c>
      <c r="E423" t="s">
        <v>1510</v>
      </c>
      <c r="F423" t="s">
        <v>562</v>
      </c>
      <c r="G423" t="s">
        <v>562</v>
      </c>
      <c r="H423" t="s">
        <v>562</v>
      </c>
      <c r="I423">
        <v>3609</v>
      </c>
      <c r="J423" t="s">
        <v>564</v>
      </c>
      <c r="K423" s="698">
        <v>45957.42083333333</v>
      </c>
      <c r="L423" s="698">
        <v>45957.42083333333</v>
      </c>
      <c r="M423" t="s">
        <v>565</v>
      </c>
      <c r="N423" t="s">
        <v>565</v>
      </c>
      <c r="O423" t="s">
        <v>566</v>
      </c>
      <c r="P423" t="s">
        <v>567</v>
      </c>
      <c r="S423" t="s">
        <v>567</v>
      </c>
      <c r="T423" t="s">
        <v>567</v>
      </c>
      <c r="Z423" t="s">
        <v>568</v>
      </c>
      <c r="AA423" t="s">
        <v>568</v>
      </c>
      <c r="AC423" t="str">
        <v>Pro-Can Construction Management</v>
      </c>
    </row>
    <row r="424" spans="1:29">
      <c r="A424" t="s">
        <v>1486</v>
      </c>
      <c r="B424" t="s">
        <v>1494</v>
      </c>
      <c r="C424" t="s">
        <v>1504</v>
      </c>
      <c r="D424" t="s">
        <v>562</v>
      </c>
      <c r="E424" t="s">
        <v>1511</v>
      </c>
      <c r="F424" t="s">
        <v>562</v>
      </c>
      <c r="G424" t="s">
        <v>562</v>
      </c>
      <c r="H424" t="s">
        <v>562</v>
      </c>
      <c r="I424">
        <v>3610</v>
      </c>
      <c r="J424" t="s">
        <v>564</v>
      </c>
      <c r="K424" s="698">
        <v>45957.42083333333</v>
      </c>
      <c r="L424" s="698">
        <v>45957.42083333333</v>
      </c>
      <c r="M424" t="s">
        <v>565</v>
      </c>
      <c r="N424" t="s">
        <v>565</v>
      </c>
      <c r="O424" t="s">
        <v>566</v>
      </c>
      <c r="P424" t="s">
        <v>567</v>
      </c>
      <c r="S424" t="s">
        <v>567</v>
      </c>
      <c r="T424" t="s">
        <v>567</v>
      </c>
      <c r="Z424" t="s">
        <v>568</v>
      </c>
      <c r="AA424" t="s">
        <v>568</v>
      </c>
      <c r="AC424" t="str">
        <v>Progressive Leasing &amp; Auto Sales Ltd</v>
      </c>
    </row>
    <row r="425" spans="1:29">
      <c r="A425" t="s">
        <v>1486</v>
      </c>
      <c r="B425" t="s">
        <v>1497</v>
      </c>
      <c r="C425" t="s">
        <v>1498</v>
      </c>
      <c r="D425" t="s">
        <v>562</v>
      </c>
      <c r="E425" t="s">
        <v>1512</v>
      </c>
      <c r="F425" t="s">
        <v>562</v>
      </c>
      <c r="G425" t="s">
        <v>562</v>
      </c>
      <c r="H425" t="s">
        <v>562</v>
      </c>
      <c r="I425">
        <v>3612</v>
      </c>
      <c r="J425" t="s">
        <v>564</v>
      </c>
      <c r="K425" s="698">
        <v>45957.421527777777</v>
      </c>
      <c r="L425" s="698">
        <v>45957.421527777777</v>
      </c>
      <c r="M425" t="s">
        <v>565</v>
      </c>
      <c r="N425" t="s">
        <v>565</v>
      </c>
      <c r="O425" t="s">
        <v>566</v>
      </c>
      <c r="P425" t="s">
        <v>567</v>
      </c>
      <c r="S425" t="s">
        <v>567</v>
      </c>
      <c r="T425" t="s">
        <v>567</v>
      </c>
      <c r="Z425" t="s">
        <v>568</v>
      </c>
      <c r="AA425" t="s">
        <v>568</v>
      </c>
      <c r="AC425" t="str">
        <v>Propell</v>
      </c>
    </row>
    <row r="426" spans="1:29">
      <c r="A426" t="s">
        <v>1486</v>
      </c>
      <c r="B426" t="s">
        <v>1494</v>
      </c>
      <c r="C426" t="s">
        <v>1501</v>
      </c>
      <c r="D426" t="s">
        <v>562</v>
      </c>
      <c r="E426" t="s">
        <v>1513</v>
      </c>
      <c r="F426" t="s">
        <v>562</v>
      </c>
      <c r="G426" t="s">
        <v>562</v>
      </c>
      <c r="H426" t="s">
        <v>562</v>
      </c>
      <c r="I426">
        <v>3613</v>
      </c>
      <c r="J426" t="s">
        <v>564</v>
      </c>
      <c r="K426" s="698">
        <v>45957.421527777777</v>
      </c>
      <c r="L426" s="698">
        <v>45957.421527777777</v>
      </c>
      <c r="M426" t="s">
        <v>565</v>
      </c>
      <c r="N426" t="s">
        <v>565</v>
      </c>
      <c r="O426" t="s">
        <v>566</v>
      </c>
      <c r="P426" t="s">
        <v>567</v>
      </c>
      <c r="S426" t="s">
        <v>567</v>
      </c>
      <c r="T426" t="s">
        <v>567</v>
      </c>
      <c r="Z426" t="s">
        <v>568</v>
      </c>
      <c r="AA426" t="s">
        <v>568</v>
      </c>
      <c r="AC426" t="str">
        <v>Ramada Plaza &amp; Conference Centre</v>
      </c>
    </row>
    <row r="427" spans="1:29">
      <c r="A427" t="s">
        <v>1486</v>
      </c>
      <c r="B427" t="s">
        <v>1494</v>
      </c>
      <c r="C427" t="s">
        <v>1495</v>
      </c>
      <c r="D427" t="s">
        <v>562</v>
      </c>
      <c r="E427" t="s">
        <v>1514</v>
      </c>
      <c r="F427" t="s">
        <v>562</v>
      </c>
      <c r="G427" t="s">
        <v>562</v>
      </c>
      <c r="H427" t="s">
        <v>562</v>
      </c>
      <c r="I427">
        <v>3614</v>
      </c>
      <c r="J427" t="s">
        <v>564</v>
      </c>
      <c r="K427" s="698">
        <v>45957.421527777777</v>
      </c>
      <c r="L427" s="698">
        <v>45957.421527777777</v>
      </c>
      <c r="M427" t="s">
        <v>565</v>
      </c>
      <c r="N427" t="s">
        <v>565</v>
      </c>
      <c r="O427" t="s">
        <v>566</v>
      </c>
      <c r="P427" t="s">
        <v>567</v>
      </c>
      <c r="S427" t="s">
        <v>567</v>
      </c>
      <c r="T427" t="s">
        <v>567</v>
      </c>
      <c r="Z427" t="s">
        <v>568</v>
      </c>
      <c r="AA427" t="s">
        <v>568</v>
      </c>
      <c r="AC427" t="str">
        <v>Rayner Construction Services</v>
      </c>
    </row>
    <row r="428" spans="1:29">
      <c r="A428" t="s">
        <v>1486</v>
      </c>
      <c r="B428" t="s">
        <v>1494</v>
      </c>
      <c r="C428" t="s">
        <v>1495</v>
      </c>
      <c r="D428" t="s">
        <v>562</v>
      </c>
      <c r="E428" t="s">
        <v>1515</v>
      </c>
      <c r="F428" t="s">
        <v>562</v>
      </c>
      <c r="G428" t="s">
        <v>562</v>
      </c>
      <c r="H428" t="s">
        <v>562</v>
      </c>
      <c r="I428">
        <v>3615</v>
      </c>
      <c r="J428" t="s">
        <v>564</v>
      </c>
      <c r="K428" s="698">
        <v>45957.421527777777</v>
      </c>
      <c r="L428" s="698">
        <v>45957.421527777777</v>
      </c>
      <c r="M428" t="s">
        <v>565</v>
      </c>
      <c r="N428" t="s">
        <v>565</v>
      </c>
      <c r="O428" t="s">
        <v>566</v>
      </c>
      <c r="P428" t="s">
        <v>567</v>
      </c>
      <c r="S428" t="s">
        <v>567</v>
      </c>
      <c r="T428" t="s">
        <v>567</v>
      </c>
      <c r="Z428" t="s">
        <v>568</v>
      </c>
      <c r="AA428" t="s">
        <v>568</v>
      </c>
      <c r="AC428" t="str">
        <v>RCACI</v>
      </c>
    </row>
    <row r="429" spans="1:29">
      <c r="A429" t="s">
        <v>1486</v>
      </c>
      <c r="B429" t="s">
        <v>1497</v>
      </c>
      <c r="C429" t="s">
        <v>1498</v>
      </c>
      <c r="D429" t="s">
        <v>562</v>
      </c>
      <c r="E429" t="s">
        <v>1516</v>
      </c>
      <c r="F429" t="s">
        <v>562</v>
      </c>
      <c r="G429" t="s">
        <v>562</v>
      </c>
      <c r="H429" t="s">
        <v>562</v>
      </c>
      <c r="I429">
        <v>3657</v>
      </c>
      <c r="J429" t="s">
        <v>564</v>
      </c>
      <c r="K429" s="698">
        <v>45957.426388888889</v>
      </c>
      <c r="L429" s="698">
        <v>45957.426388888889</v>
      </c>
      <c r="M429" t="s">
        <v>565</v>
      </c>
      <c r="N429" t="s">
        <v>565</v>
      </c>
      <c r="O429" t="s">
        <v>566</v>
      </c>
      <c r="P429" t="s">
        <v>567</v>
      </c>
      <c r="S429" t="s">
        <v>567</v>
      </c>
      <c r="T429" t="s">
        <v>567</v>
      </c>
      <c r="Z429" t="s">
        <v>568</v>
      </c>
      <c r="AA429" t="s">
        <v>568</v>
      </c>
      <c r="AC429" t="str">
        <v>Read Jones Christoffersen Ltd.</v>
      </c>
    </row>
    <row r="430" spans="1:29">
      <c r="A430" t="s">
        <v>1486</v>
      </c>
      <c r="B430" t="s">
        <v>1494</v>
      </c>
      <c r="C430" t="s">
        <v>1504</v>
      </c>
      <c r="D430" t="s">
        <v>562</v>
      </c>
      <c r="E430" t="s">
        <v>1517</v>
      </c>
      <c r="F430" t="s">
        <v>562</v>
      </c>
      <c r="G430" t="s">
        <v>562</v>
      </c>
      <c r="H430" t="s">
        <v>562</v>
      </c>
      <c r="I430">
        <v>3662</v>
      </c>
      <c r="J430" t="s">
        <v>564</v>
      </c>
      <c r="K430" s="698">
        <v>45957.427083333336</v>
      </c>
      <c r="L430" s="698">
        <v>45957.427083333336</v>
      </c>
      <c r="M430" t="s">
        <v>565</v>
      </c>
      <c r="N430" t="s">
        <v>565</v>
      </c>
      <c r="O430" t="s">
        <v>566</v>
      </c>
      <c r="P430" t="s">
        <v>567</v>
      </c>
      <c r="S430" t="s">
        <v>567</v>
      </c>
      <c r="T430" t="s">
        <v>567</v>
      </c>
      <c r="Z430" t="s">
        <v>568</v>
      </c>
      <c r="AA430" t="s">
        <v>568</v>
      </c>
      <c r="AC430" t="str">
        <v>Realstream Income Properties LP (Towerlane)</v>
      </c>
    </row>
    <row r="431" spans="1:29">
      <c r="A431" t="s">
        <v>1486</v>
      </c>
      <c r="B431" t="s">
        <v>1494</v>
      </c>
      <c r="C431" t="s">
        <v>1501</v>
      </c>
      <c r="D431" t="s">
        <v>562</v>
      </c>
      <c r="E431" t="s">
        <v>1518</v>
      </c>
      <c r="F431" t="s">
        <v>562</v>
      </c>
      <c r="G431" t="s">
        <v>562</v>
      </c>
      <c r="H431" t="s">
        <v>562</v>
      </c>
      <c r="I431">
        <v>3663</v>
      </c>
      <c r="J431" t="s">
        <v>564</v>
      </c>
      <c r="K431" s="698">
        <v>45957.427083333336</v>
      </c>
      <c r="L431" s="698">
        <v>45957.427083333336</v>
      </c>
      <c r="M431" t="s">
        <v>565</v>
      </c>
      <c r="N431" t="s">
        <v>565</v>
      </c>
      <c r="O431" t="s">
        <v>566</v>
      </c>
      <c r="P431" t="s">
        <v>567</v>
      </c>
      <c r="S431" t="s">
        <v>567</v>
      </c>
      <c r="T431" t="s">
        <v>567</v>
      </c>
      <c r="Z431" t="s">
        <v>568</v>
      </c>
      <c r="AA431" t="s">
        <v>568</v>
      </c>
      <c r="AC431" t="str">
        <v>Rebecca Spinner</v>
      </c>
    </row>
    <row r="432" spans="1:29">
      <c r="A432" t="s">
        <v>1486</v>
      </c>
      <c r="B432" t="s">
        <v>1497</v>
      </c>
      <c r="C432" t="s">
        <v>1498</v>
      </c>
      <c r="D432" t="s">
        <v>562</v>
      </c>
      <c r="E432" t="s">
        <v>1519</v>
      </c>
      <c r="F432" t="s">
        <v>562</v>
      </c>
      <c r="G432" t="s">
        <v>562</v>
      </c>
      <c r="H432" t="s">
        <v>562</v>
      </c>
      <c r="I432">
        <v>3686</v>
      </c>
      <c r="J432" t="s">
        <v>564</v>
      </c>
      <c r="K432" s="698">
        <v>45957.429166666669</v>
      </c>
      <c r="L432" s="698">
        <v>45957.429166666669</v>
      </c>
      <c r="M432" t="s">
        <v>565</v>
      </c>
      <c r="N432" t="s">
        <v>565</v>
      </c>
      <c r="O432" t="s">
        <v>566</v>
      </c>
      <c r="P432" t="s">
        <v>567</v>
      </c>
      <c r="S432" t="s">
        <v>567</v>
      </c>
      <c r="T432" t="s">
        <v>567</v>
      </c>
      <c r="Z432" t="s">
        <v>568</v>
      </c>
      <c r="AA432" t="s">
        <v>568</v>
      </c>
      <c r="AC432" t="str">
        <v>Red Lobster</v>
      </c>
    </row>
    <row r="433" spans="1:29">
      <c r="A433" t="s">
        <v>1486</v>
      </c>
      <c r="B433" t="s">
        <v>1494</v>
      </c>
      <c r="C433" t="s">
        <v>1501</v>
      </c>
      <c r="D433" t="s">
        <v>562</v>
      </c>
      <c r="E433" t="s">
        <v>1520</v>
      </c>
      <c r="F433" t="s">
        <v>562</v>
      </c>
      <c r="G433" t="s">
        <v>562</v>
      </c>
      <c r="H433" t="s">
        <v>562</v>
      </c>
      <c r="I433">
        <v>3687</v>
      </c>
      <c r="J433" t="s">
        <v>564</v>
      </c>
      <c r="K433" s="698">
        <v>45957.429861111108</v>
      </c>
      <c r="L433" s="698">
        <v>45957.429861111108</v>
      </c>
      <c r="M433" t="s">
        <v>565</v>
      </c>
      <c r="N433" t="s">
        <v>565</v>
      </c>
      <c r="O433" t="s">
        <v>566</v>
      </c>
      <c r="P433" t="s">
        <v>567</v>
      </c>
      <c r="S433" t="s">
        <v>567</v>
      </c>
      <c r="T433" t="s">
        <v>567</v>
      </c>
      <c r="Z433" t="s">
        <v>568</v>
      </c>
      <c r="AA433" t="s">
        <v>568</v>
      </c>
      <c r="AC433" t="str">
        <v>Red Lobster Northgate</v>
      </c>
    </row>
    <row r="434" spans="1:29">
      <c r="A434" t="s">
        <v>1486</v>
      </c>
      <c r="B434" t="s">
        <v>1521</v>
      </c>
      <c r="C434" t="s">
        <v>1522</v>
      </c>
      <c r="D434" t="s">
        <v>562</v>
      </c>
      <c r="E434" t="s">
        <v>1523</v>
      </c>
      <c r="F434" t="s">
        <v>562</v>
      </c>
      <c r="G434" t="s">
        <v>562</v>
      </c>
      <c r="H434" t="s">
        <v>562</v>
      </c>
      <c r="I434">
        <v>3709</v>
      </c>
      <c r="J434" t="s">
        <v>564</v>
      </c>
      <c r="K434" s="698">
        <v>45957.431944444441</v>
      </c>
      <c r="L434" s="698">
        <v>45957.431944444441</v>
      </c>
      <c r="M434" t="s">
        <v>565</v>
      </c>
      <c r="N434" t="s">
        <v>565</v>
      </c>
      <c r="O434" t="s">
        <v>566</v>
      </c>
      <c r="P434" t="s">
        <v>567</v>
      </c>
      <c r="S434" t="s">
        <v>567</v>
      </c>
      <c r="T434" t="s">
        <v>567</v>
      </c>
      <c r="Z434" t="s">
        <v>568</v>
      </c>
      <c r="AA434" t="s">
        <v>568</v>
      </c>
      <c r="AC434" t="str">
        <v>Reggin Technical Services</v>
      </c>
    </row>
    <row r="435" spans="1:29">
      <c r="A435" t="s">
        <v>1486</v>
      </c>
      <c r="B435" t="s">
        <v>1494</v>
      </c>
      <c r="C435" t="s">
        <v>1501</v>
      </c>
      <c r="D435" t="s">
        <v>562</v>
      </c>
      <c r="E435" t="s">
        <v>1524</v>
      </c>
      <c r="F435" t="s">
        <v>562</v>
      </c>
      <c r="G435" t="s">
        <v>562</v>
      </c>
      <c r="H435" t="s">
        <v>562</v>
      </c>
      <c r="I435">
        <v>3732</v>
      </c>
      <c r="J435" t="s">
        <v>564</v>
      </c>
      <c r="K435" s="698">
        <v>45957.43472222222</v>
      </c>
      <c r="L435" s="698">
        <v>45957.43472222222</v>
      </c>
      <c r="M435" t="s">
        <v>565</v>
      </c>
      <c r="N435" t="s">
        <v>565</v>
      </c>
      <c r="O435" t="s">
        <v>566</v>
      </c>
      <c r="P435" t="s">
        <v>567</v>
      </c>
      <c r="S435" t="s">
        <v>567</v>
      </c>
      <c r="T435" t="s">
        <v>567</v>
      </c>
      <c r="Z435" t="s">
        <v>568</v>
      </c>
      <c r="AA435" t="s">
        <v>568</v>
      </c>
      <c r="AC435" t="str">
        <v>Rennel Barrie</v>
      </c>
    </row>
    <row r="436" spans="1:29">
      <c r="A436" t="s">
        <v>1486</v>
      </c>
      <c r="B436" t="s">
        <v>1525</v>
      </c>
      <c r="C436" t="s">
        <v>1526</v>
      </c>
      <c r="D436" t="s">
        <v>562</v>
      </c>
      <c r="E436" t="s">
        <v>1527</v>
      </c>
      <c r="F436" t="s">
        <v>562</v>
      </c>
      <c r="G436" t="s">
        <v>562</v>
      </c>
      <c r="H436" t="s">
        <v>562</v>
      </c>
      <c r="I436">
        <v>3740</v>
      </c>
      <c r="J436" t="s">
        <v>564</v>
      </c>
      <c r="K436" s="698">
        <v>45957.435416666667</v>
      </c>
      <c r="L436" s="698">
        <v>45957.435416666667</v>
      </c>
      <c r="M436" t="s">
        <v>565</v>
      </c>
      <c r="N436" t="s">
        <v>565</v>
      </c>
      <c r="O436" t="s">
        <v>566</v>
      </c>
      <c r="P436" t="s">
        <v>567</v>
      </c>
      <c r="S436" t="s">
        <v>567</v>
      </c>
      <c r="T436" t="s">
        <v>567</v>
      </c>
      <c r="Z436" t="s">
        <v>568</v>
      </c>
      <c r="AA436" t="s">
        <v>568</v>
      </c>
      <c r="AC436" t="str">
        <v>Riverview Mechanical</v>
      </c>
    </row>
    <row r="437" spans="1:29">
      <c r="A437" t="s">
        <v>1486</v>
      </c>
      <c r="B437" t="s">
        <v>1528</v>
      </c>
      <c r="C437" t="s">
        <v>1529</v>
      </c>
      <c r="D437" t="s">
        <v>562</v>
      </c>
      <c r="E437" t="s">
        <v>1530</v>
      </c>
      <c r="F437" t="s">
        <v>562</v>
      </c>
      <c r="G437" t="s">
        <v>562</v>
      </c>
      <c r="H437" t="s">
        <v>562</v>
      </c>
      <c r="I437">
        <v>3741</v>
      </c>
      <c r="J437" t="s">
        <v>564</v>
      </c>
      <c r="K437" s="698">
        <v>45957.435416666667</v>
      </c>
      <c r="L437" s="698">
        <v>45957.435416666667</v>
      </c>
      <c r="M437" t="s">
        <v>565</v>
      </c>
      <c r="N437" t="s">
        <v>565</v>
      </c>
      <c r="O437" t="s">
        <v>566</v>
      </c>
      <c r="P437" t="s">
        <v>567</v>
      </c>
      <c r="S437" t="s">
        <v>567</v>
      </c>
      <c r="T437" t="s">
        <v>567</v>
      </c>
      <c r="Z437" t="s">
        <v>568</v>
      </c>
      <c r="AA437" t="s">
        <v>568</v>
      </c>
      <c r="AC437" t="str">
        <v>RJ Auto &amp; Diesel</v>
      </c>
    </row>
    <row r="438" spans="1:29">
      <c r="A438" t="s">
        <v>1486</v>
      </c>
      <c r="B438" t="s">
        <v>1528</v>
      </c>
      <c r="C438" t="s">
        <v>1531</v>
      </c>
      <c r="D438" t="s">
        <v>562</v>
      </c>
      <c r="E438" t="s">
        <v>1532</v>
      </c>
      <c r="F438" t="s">
        <v>562</v>
      </c>
      <c r="G438" t="s">
        <v>562</v>
      </c>
      <c r="H438" t="s">
        <v>562</v>
      </c>
      <c r="I438">
        <v>3742</v>
      </c>
      <c r="J438" t="s">
        <v>564</v>
      </c>
      <c r="K438" s="698">
        <v>45957.435416666667</v>
      </c>
      <c r="L438" s="698">
        <v>45957.435416666667</v>
      </c>
      <c r="M438" t="s">
        <v>565</v>
      </c>
      <c r="N438" t="s">
        <v>565</v>
      </c>
      <c r="O438" t="s">
        <v>566</v>
      </c>
      <c r="P438" t="s">
        <v>567</v>
      </c>
      <c r="S438" t="s">
        <v>567</v>
      </c>
      <c r="T438" t="s">
        <v>567</v>
      </c>
      <c r="Z438" t="s">
        <v>568</v>
      </c>
      <c r="AA438" t="s">
        <v>568</v>
      </c>
      <c r="AC438" t="str">
        <v>Rob Parsih</v>
      </c>
    </row>
    <row r="439" spans="1:29">
      <c r="A439" t="s">
        <v>1486</v>
      </c>
      <c r="B439" t="s">
        <v>1494</v>
      </c>
      <c r="C439" t="s">
        <v>1495</v>
      </c>
      <c r="D439" t="s">
        <v>562</v>
      </c>
      <c r="E439" t="s">
        <v>1533</v>
      </c>
      <c r="F439" t="s">
        <v>562</v>
      </c>
      <c r="G439" t="s">
        <v>562</v>
      </c>
      <c r="H439" t="s">
        <v>562</v>
      </c>
      <c r="I439">
        <v>3745</v>
      </c>
      <c r="J439" t="s">
        <v>564</v>
      </c>
      <c r="K439" s="698">
        <v>45957.435416666667</v>
      </c>
      <c r="L439" s="698">
        <v>45957.435416666667</v>
      </c>
      <c r="M439" t="s">
        <v>565</v>
      </c>
      <c r="N439" t="s">
        <v>565</v>
      </c>
      <c r="O439" t="s">
        <v>566</v>
      </c>
      <c r="P439" t="s">
        <v>567</v>
      </c>
      <c r="S439" t="s">
        <v>567</v>
      </c>
      <c r="T439" t="s">
        <v>567</v>
      </c>
      <c r="Z439" t="s">
        <v>568</v>
      </c>
      <c r="AA439" t="s">
        <v>568</v>
      </c>
      <c r="AC439" t="str">
        <v>Robert Beran</v>
      </c>
    </row>
    <row r="440" spans="1:29">
      <c r="A440" t="s">
        <v>1486</v>
      </c>
      <c r="B440" t="s">
        <v>1528</v>
      </c>
      <c r="C440" t="s">
        <v>1534</v>
      </c>
      <c r="D440" t="s">
        <v>562</v>
      </c>
      <c r="E440" t="s">
        <v>1535</v>
      </c>
      <c r="F440" t="s">
        <v>562</v>
      </c>
      <c r="G440" t="s">
        <v>562</v>
      </c>
      <c r="H440" t="s">
        <v>562</v>
      </c>
      <c r="I440">
        <v>3748</v>
      </c>
      <c r="J440" t="s">
        <v>564</v>
      </c>
      <c r="K440" s="698">
        <v>45957.436111111114</v>
      </c>
      <c r="L440" s="698">
        <v>45957.436111111114</v>
      </c>
      <c r="M440" t="s">
        <v>565</v>
      </c>
      <c r="N440" t="s">
        <v>565</v>
      </c>
      <c r="O440" t="s">
        <v>566</v>
      </c>
      <c r="P440" t="s">
        <v>567</v>
      </c>
      <c r="S440" t="s">
        <v>567</v>
      </c>
      <c r="T440" t="s">
        <v>567</v>
      </c>
      <c r="Z440" t="s">
        <v>568</v>
      </c>
      <c r="AA440" t="s">
        <v>568</v>
      </c>
      <c r="AC440" t="str">
        <v>Robert Borwnless</v>
      </c>
    </row>
    <row r="441" spans="1:29">
      <c r="A441" t="s">
        <v>1486</v>
      </c>
      <c r="B441" t="s">
        <v>1494</v>
      </c>
      <c r="C441" t="s">
        <v>1536</v>
      </c>
      <c r="D441" t="s">
        <v>562</v>
      </c>
      <c r="E441" t="s">
        <v>1537</v>
      </c>
      <c r="F441" t="s">
        <v>562</v>
      </c>
      <c r="G441" t="s">
        <v>562</v>
      </c>
      <c r="H441" t="s">
        <v>562</v>
      </c>
      <c r="I441">
        <v>3757</v>
      </c>
      <c r="J441" t="s">
        <v>564</v>
      </c>
      <c r="K441" s="698">
        <v>45957.436805555553</v>
      </c>
      <c r="L441" s="698">
        <v>45957.436805555553</v>
      </c>
      <c r="M441" t="s">
        <v>565</v>
      </c>
      <c r="N441" t="s">
        <v>565</v>
      </c>
      <c r="O441" t="s">
        <v>566</v>
      </c>
      <c r="P441" t="s">
        <v>567</v>
      </c>
      <c r="S441" t="s">
        <v>567</v>
      </c>
      <c r="T441" t="s">
        <v>567</v>
      </c>
      <c r="Z441" t="s">
        <v>568</v>
      </c>
      <c r="AA441" t="s">
        <v>568</v>
      </c>
      <c r="AC441" t="str">
        <v>Robert Ross</v>
      </c>
    </row>
    <row r="442" spans="1:29">
      <c r="A442" t="s">
        <v>1486</v>
      </c>
      <c r="B442" t="s">
        <v>1538</v>
      </c>
      <c r="C442" t="s">
        <v>1539</v>
      </c>
      <c r="D442" t="s">
        <v>562</v>
      </c>
      <c r="E442" t="s">
        <v>1540</v>
      </c>
      <c r="F442" t="s">
        <v>562</v>
      </c>
      <c r="G442" t="s">
        <v>562</v>
      </c>
      <c r="H442" t="s">
        <v>562</v>
      </c>
      <c r="I442">
        <v>3759</v>
      </c>
      <c r="J442" t="s">
        <v>564</v>
      </c>
      <c r="K442" s="698">
        <v>45957.4375</v>
      </c>
      <c r="L442" s="698">
        <v>45957.4375</v>
      </c>
      <c r="M442" t="s">
        <v>565</v>
      </c>
      <c r="N442" t="s">
        <v>565</v>
      </c>
      <c r="O442" t="s">
        <v>566</v>
      </c>
      <c r="P442" t="s">
        <v>567</v>
      </c>
      <c r="S442" t="s">
        <v>567</v>
      </c>
      <c r="T442" t="s">
        <v>567</v>
      </c>
      <c r="Z442" t="s">
        <v>568</v>
      </c>
      <c r="AA442" t="s">
        <v>568</v>
      </c>
      <c r="AC442" t="str">
        <v>Rocky Mountain Solar Corp</v>
      </c>
    </row>
    <row r="443" spans="1:29">
      <c r="A443" t="s">
        <v>1486</v>
      </c>
      <c r="B443" t="s">
        <v>1541</v>
      </c>
      <c r="C443" t="s">
        <v>1542</v>
      </c>
      <c r="D443" t="s">
        <v>562</v>
      </c>
      <c r="E443" t="s">
        <v>1543</v>
      </c>
      <c r="F443" t="s">
        <v>562</v>
      </c>
      <c r="G443" t="s">
        <v>562</v>
      </c>
      <c r="H443" t="s">
        <v>562</v>
      </c>
      <c r="I443">
        <v>3761</v>
      </c>
      <c r="J443" t="s">
        <v>564</v>
      </c>
      <c r="K443" s="698">
        <v>45957.4375</v>
      </c>
      <c r="L443" s="698">
        <v>45957.4375</v>
      </c>
      <c r="M443" t="s">
        <v>565</v>
      </c>
      <c r="N443" t="s">
        <v>565</v>
      </c>
      <c r="O443" t="s">
        <v>566</v>
      </c>
      <c r="P443" t="s">
        <v>567</v>
      </c>
      <c r="S443" t="s">
        <v>567</v>
      </c>
      <c r="T443" t="s">
        <v>567</v>
      </c>
      <c r="Z443" t="s">
        <v>568</v>
      </c>
      <c r="AA443" t="s">
        <v>568</v>
      </c>
      <c r="AC443" t="str">
        <v>Rocky View School Division No. 41</v>
      </c>
    </row>
    <row r="444" spans="1:29">
      <c r="A444" t="s">
        <v>1486</v>
      </c>
      <c r="B444" t="s">
        <v>1541</v>
      </c>
      <c r="C444" t="s">
        <v>1544</v>
      </c>
      <c r="D444" t="s">
        <v>562</v>
      </c>
      <c r="E444" t="s">
        <v>1545</v>
      </c>
      <c r="F444" t="s">
        <v>562</v>
      </c>
      <c r="G444" t="s">
        <v>562</v>
      </c>
      <c r="H444" t="s">
        <v>562</v>
      </c>
      <c r="I444">
        <v>3766</v>
      </c>
      <c r="J444" t="s">
        <v>564</v>
      </c>
      <c r="K444" s="698">
        <v>45957.438194444447</v>
      </c>
      <c r="L444" s="698">
        <v>45957.438194444447</v>
      </c>
      <c r="M444" t="s">
        <v>565</v>
      </c>
      <c r="N444" t="s">
        <v>565</v>
      </c>
      <c r="O444" t="s">
        <v>566</v>
      </c>
      <c r="P444" t="s">
        <v>567</v>
      </c>
      <c r="S444" t="s">
        <v>567</v>
      </c>
      <c r="T444" t="s">
        <v>567</v>
      </c>
      <c r="Z444" t="s">
        <v>568</v>
      </c>
      <c r="AA444" t="s">
        <v>568</v>
      </c>
      <c r="AC444" t="str">
        <v>Ron Adam</v>
      </c>
    </row>
    <row r="445" spans="1:29">
      <c r="A445" t="s">
        <v>1486</v>
      </c>
      <c r="B445" t="s">
        <v>1528</v>
      </c>
      <c r="C445" t="s">
        <v>1526</v>
      </c>
      <c r="D445" t="s">
        <v>562</v>
      </c>
      <c r="E445" t="s">
        <v>1546</v>
      </c>
      <c r="F445" t="s">
        <v>562</v>
      </c>
      <c r="G445" t="s">
        <v>562</v>
      </c>
      <c r="H445" t="s">
        <v>562</v>
      </c>
      <c r="I445">
        <v>3767</v>
      </c>
      <c r="J445" t="s">
        <v>564</v>
      </c>
      <c r="K445" s="698">
        <v>45957.438194444447</v>
      </c>
      <c r="L445" s="698">
        <v>45957.438194444447</v>
      </c>
      <c r="M445" t="s">
        <v>565</v>
      </c>
      <c r="N445" t="s">
        <v>565</v>
      </c>
      <c r="O445" t="s">
        <v>566</v>
      </c>
      <c r="P445" t="s">
        <v>567</v>
      </c>
      <c r="S445" t="s">
        <v>567</v>
      </c>
      <c r="T445" t="s">
        <v>567</v>
      </c>
      <c r="Z445" t="s">
        <v>568</v>
      </c>
      <c r="AA445" t="s">
        <v>568</v>
      </c>
      <c r="AC445" t="str">
        <v>Ron Kurczaba</v>
      </c>
    </row>
    <row r="446" spans="1:29">
      <c r="A446" t="s">
        <v>1486</v>
      </c>
      <c r="B446" t="s">
        <v>1547</v>
      </c>
      <c r="C446" t="s">
        <v>1495</v>
      </c>
      <c r="D446" t="s">
        <v>562</v>
      </c>
      <c r="E446" t="s">
        <v>1548</v>
      </c>
      <c r="F446" t="s">
        <v>562</v>
      </c>
      <c r="G446" t="s">
        <v>562</v>
      </c>
      <c r="H446" t="s">
        <v>562</v>
      </c>
      <c r="I446">
        <v>3768</v>
      </c>
      <c r="J446" t="s">
        <v>564</v>
      </c>
      <c r="K446" s="698">
        <v>45957.438194444447</v>
      </c>
      <c r="L446" s="698">
        <v>45957.438194444447</v>
      </c>
      <c r="M446" t="s">
        <v>565</v>
      </c>
      <c r="N446" t="s">
        <v>565</v>
      </c>
      <c r="O446" t="s">
        <v>566</v>
      </c>
      <c r="P446" t="s">
        <v>567</v>
      </c>
      <c r="S446" t="s">
        <v>567</v>
      </c>
      <c r="T446" t="s">
        <v>567</v>
      </c>
      <c r="Z446" t="s">
        <v>568</v>
      </c>
      <c r="AA446" t="s">
        <v>568</v>
      </c>
      <c r="AC446" t="str">
        <v>Ronmor Block Ltd.</v>
      </c>
    </row>
    <row r="447" spans="1:29">
      <c r="A447" t="s">
        <v>1486</v>
      </c>
      <c r="B447" t="s">
        <v>1494</v>
      </c>
      <c r="C447" t="s">
        <v>1549</v>
      </c>
      <c r="D447" t="s">
        <v>562</v>
      </c>
      <c r="E447" t="s">
        <v>1550</v>
      </c>
      <c r="F447" t="s">
        <v>562</v>
      </c>
      <c r="G447" t="s">
        <v>562</v>
      </c>
      <c r="H447" t="s">
        <v>562</v>
      </c>
      <c r="I447">
        <v>3769</v>
      </c>
      <c r="J447" t="s">
        <v>564</v>
      </c>
      <c r="K447" s="698">
        <v>45957.438194444447</v>
      </c>
      <c r="L447" s="698">
        <v>45957.438194444447</v>
      </c>
      <c r="M447" t="s">
        <v>565</v>
      </c>
      <c r="N447" t="s">
        <v>565</v>
      </c>
      <c r="O447" t="s">
        <v>566</v>
      </c>
      <c r="P447" t="s">
        <v>567</v>
      </c>
      <c r="S447" t="s">
        <v>567</v>
      </c>
      <c r="T447" t="s">
        <v>567</v>
      </c>
      <c r="Z447" t="s">
        <v>568</v>
      </c>
      <c r="AA447" t="s">
        <v>568</v>
      </c>
      <c r="AC447" t="str">
        <v>Ronmor Holdings Inc.</v>
      </c>
    </row>
    <row r="448" spans="1:29">
      <c r="A448" t="s">
        <v>1486</v>
      </c>
      <c r="B448" t="s">
        <v>1494</v>
      </c>
      <c r="C448" t="s">
        <v>1501</v>
      </c>
      <c r="D448" t="s">
        <v>562</v>
      </c>
      <c r="E448" t="s">
        <v>1551</v>
      </c>
      <c r="F448" t="s">
        <v>562</v>
      </c>
      <c r="G448" t="s">
        <v>562</v>
      </c>
      <c r="H448" t="s">
        <v>562</v>
      </c>
      <c r="I448">
        <v>3778</v>
      </c>
      <c r="J448" t="s">
        <v>564</v>
      </c>
      <c r="K448" s="698">
        <v>45957.439583333333</v>
      </c>
      <c r="L448" s="698">
        <v>45957.439583333333</v>
      </c>
      <c r="M448" t="s">
        <v>565</v>
      </c>
      <c r="N448" t="s">
        <v>565</v>
      </c>
      <c r="O448" t="s">
        <v>566</v>
      </c>
      <c r="P448" t="s">
        <v>567</v>
      </c>
      <c r="S448" t="s">
        <v>567</v>
      </c>
      <c r="T448" t="s">
        <v>567</v>
      </c>
      <c r="Z448" t="s">
        <v>568</v>
      </c>
      <c r="AA448" t="s">
        <v>568</v>
      </c>
      <c r="AC448" t="str">
        <v>Roof Check</v>
      </c>
    </row>
    <row r="449" spans="1:29">
      <c r="A449" t="s">
        <v>1486</v>
      </c>
      <c r="B449" t="s">
        <v>1552</v>
      </c>
      <c r="C449" t="s">
        <v>1553</v>
      </c>
      <c r="D449" t="s">
        <v>562</v>
      </c>
      <c r="E449" t="s">
        <v>1554</v>
      </c>
      <c r="F449" t="s">
        <v>562</v>
      </c>
      <c r="G449" t="s">
        <v>562</v>
      </c>
      <c r="H449" t="s">
        <v>562</v>
      </c>
      <c r="I449">
        <v>3783</v>
      </c>
      <c r="J449" t="s">
        <v>564</v>
      </c>
      <c r="K449" s="698">
        <v>45957.44027777778</v>
      </c>
      <c r="L449" s="698">
        <v>45957.44027777778</v>
      </c>
      <c r="M449" t="s">
        <v>565</v>
      </c>
      <c r="N449" t="s">
        <v>565</v>
      </c>
      <c r="O449" t="s">
        <v>566</v>
      </c>
      <c r="P449" t="s">
        <v>567</v>
      </c>
      <c r="S449" t="s">
        <v>567</v>
      </c>
      <c r="T449" t="s">
        <v>567</v>
      </c>
      <c r="Z449" t="s">
        <v>568</v>
      </c>
      <c r="AA449" t="s">
        <v>568</v>
      </c>
      <c r="AC449" t="str">
        <v>Royal Canadian Legion #284</v>
      </c>
    </row>
    <row r="450" spans="1:29">
      <c r="A450" t="s">
        <v>1486</v>
      </c>
      <c r="B450" t="s">
        <v>1541</v>
      </c>
      <c r="C450" t="s">
        <v>1544</v>
      </c>
      <c r="D450" t="s">
        <v>562</v>
      </c>
      <c r="E450" t="s">
        <v>1555</v>
      </c>
      <c r="F450" t="s">
        <v>562</v>
      </c>
      <c r="G450" t="s">
        <v>562</v>
      </c>
      <c r="H450" t="s">
        <v>562</v>
      </c>
      <c r="I450">
        <v>3784</v>
      </c>
      <c r="J450" t="s">
        <v>564</v>
      </c>
      <c r="K450" s="698">
        <v>45957.44027777778</v>
      </c>
      <c r="L450" s="698">
        <v>45957.44027777778</v>
      </c>
      <c r="M450" t="s">
        <v>565</v>
      </c>
      <c r="N450" t="s">
        <v>565</v>
      </c>
      <c r="O450" t="s">
        <v>566</v>
      </c>
      <c r="P450" t="s">
        <v>567</v>
      </c>
      <c r="S450" t="s">
        <v>567</v>
      </c>
      <c r="T450" t="s">
        <v>567</v>
      </c>
      <c r="Z450" t="s">
        <v>568</v>
      </c>
      <c r="AA450" t="s">
        <v>568</v>
      </c>
      <c r="AC450" t="str">
        <v xml:space="preserve">Russpet Construction Ltd </v>
      </c>
    </row>
    <row r="451" spans="1:29">
      <c r="A451" t="s">
        <v>1486</v>
      </c>
      <c r="B451" t="s">
        <v>1556</v>
      </c>
      <c r="C451" t="s">
        <v>1553</v>
      </c>
      <c r="D451" t="s">
        <v>562</v>
      </c>
      <c r="E451" t="s">
        <v>1557</v>
      </c>
      <c r="F451" t="s">
        <v>562</v>
      </c>
      <c r="G451" t="s">
        <v>562</v>
      </c>
      <c r="H451" t="s">
        <v>562</v>
      </c>
      <c r="I451">
        <v>3787</v>
      </c>
      <c r="J451" t="s">
        <v>564</v>
      </c>
      <c r="K451" s="698">
        <v>45957.44027777778</v>
      </c>
      <c r="L451" s="698">
        <v>45957.44027777778</v>
      </c>
      <c r="M451" t="s">
        <v>565</v>
      </c>
      <c r="N451" t="s">
        <v>565</v>
      </c>
      <c r="O451" t="s">
        <v>566</v>
      </c>
      <c r="P451" t="s">
        <v>567</v>
      </c>
      <c r="S451" t="s">
        <v>567</v>
      </c>
      <c r="T451" t="s">
        <v>567</v>
      </c>
      <c r="Z451" t="s">
        <v>568</v>
      </c>
      <c r="AA451" t="s">
        <v>568</v>
      </c>
      <c r="AC451" t="str">
        <v>Rydon Construction Inc.</v>
      </c>
    </row>
    <row r="452" spans="1:29">
      <c r="A452" t="s">
        <v>1486</v>
      </c>
      <c r="B452" t="s">
        <v>1491</v>
      </c>
      <c r="C452" t="s">
        <v>1492</v>
      </c>
      <c r="D452" t="s">
        <v>562</v>
      </c>
      <c r="E452" t="s">
        <v>1558</v>
      </c>
      <c r="F452" t="s">
        <v>562</v>
      </c>
      <c r="G452" t="s">
        <v>562</v>
      </c>
      <c r="H452" t="s">
        <v>562</v>
      </c>
      <c r="I452">
        <v>3788</v>
      </c>
      <c r="J452" t="s">
        <v>564</v>
      </c>
      <c r="K452" s="698">
        <v>45957.44027777778</v>
      </c>
      <c r="L452" s="698">
        <v>45957.44027777778</v>
      </c>
      <c r="M452" t="s">
        <v>565</v>
      </c>
      <c r="N452" t="s">
        <v>565</v>
      </c>
      <c r="O452" t="s">
        <v>566</v>
      </c>
      <c r="P452" t="s">
        <v>567</v>
      </c>
      <c r="S452" t="s">
        <v>567</v>
      </c>
      <c r="T452" t="s">
        <v>567</v>
      </c>
      <c r="Z452" t="s">
        <v>568</v>
      </c>
      <c r="AA452" t="s">
        <v>568</v>
      </c>
      <c r="AC452" t="str">
        <v>Salim, Jivraj</v>
      </c>
    </row>
    <row r="453" spans="1:29">
      <c r="A453" t="s">
        <v>1486</v>
      </c>
      <c r="B453" t="s">
        <v>1494</v>
      </c>
      <c r="C453" t="s">
        <v>1495</v>
      </c>
      <c r="D453" t="s">
        <v>562</v>
      </c>
      <c r="E453" t="s">
        <v>1559</v>
      </c>
      <c r="F453" t="s">
        <v>562</v>
      </c>
      <c r="G453" t="s">
        <v>562</v>
      </c>
      <c r="H453" t="s">
        <v>562</v>
      </c>
      <c r="I453">
        <v>3789</v>
      </c>
      <c r="J453" t="s">
        <v>564</v>
      </c>
      <c r="K453" s="698">
        <v>45957.44027777778</v>
      </c>
      <c r="L453" s="698">
        <v>45957.44027777778</v>
      </c>
      <c r="M453" t="s">
        <v>565</v>
      </c>
      <c r="N453" t="s">
        <v>565</v>
      </c>
      <c r="O453" t="s">
        <v>566</v>
      </c>
      <c r="P453" t="s">
        <v>567</v>
      </c>
      <c r="S453" t="s">
        <v>567</v>
      </c>
      <c r="T453" t="s">
        <v>567</v>
      </c>
      <c r="Z453" t="s">
        <v>568</v>
      </c>
      <c r="AA453" t="s">
        <v>568</v>
      </c>
      <c r="AC453" t="str">
        <v>Sameer Suleman</v>
      </c>
    </row>
    <row r="454" spans="1:29">
      <c r="A454" t="s">
        <v>1486</v>
      </c>
      <c r="B454" t="s">
        <v>1491</v>
      </c>
      <c r="C454" t="s">
        <v>1560</v>
      </c>
      <c r="D454" t="s">
        <v>562</v>
      </c>
      <c r="E454" t="s">
        <v>1561</v>
      </c>
      <c r="F454" t="s">
        <v>562</v>
      </c>
      <c r="G454" t="s">
        <v>562</v>
      </c>
      <c r="H454" t="s">
        <v>562</v>
      </c>
      <c r="I454">
        <v>3790</v>
      </c>
      <c r="J454" t="s">
        <v>564</v>
      </c>
      <c r="K454" s="698">
        <v>45957.44027777778</v>
      </c>
      <c r="L454" s="698">
        <v>45957.44027777778</v>
      </c>
      <c r="M454" t="s">
        <v>565</v>
      </c>
      <c r="N454" t="s">
        <v>565</v>
      </c>
      <c r="O454" t="s">
        <v>566</v>
      </c>
      <c r="P454" t="s">
        <v>567</v>
      </c>
      <c r="S454" t="s">
        <v>567</v>
      </c>
      <c r="T454" t="s">
        <v>567</v>
      </c>
      <c r="Z454" t="s">
        <v>568</v>
      </c>
      <c r="AA454" t="s">
        <v>568</v>
      </c>
      <c r="AC454" t="str">
        <v>SBL Contractors Ltd.</v>
      </c>
    </row>
    <row r="455" spans="1:29">
      <c r="A455" t="s">
        <v>1486</v>
      </c>
      <c r="B455" t="s">
        <v>1538</v>
      </c>
      <c r="C455" t="s">
        <v>1539</v>
      </c>
      <c r="D455" t="s">
        <v>562</v>
      </c>
      <c r="E455" t="s">
        <v>1562</v>
      </c>
      <c r="F455" t="s">
        <v>562</v>
      </c>
      <c r="G455" t="s">
        <v>562</v>
      </c>
      <c r="H455" t="s">
        <v>562</v>
      </c>
      <c r="I455">
        <v>3791</v>
      </c>
      <c r="J455" t="s">
        <v>564</v>
      </c>
      <c r="K455" s="698">
        <v>45957.440972222219</v>
      </c>
      <c r="L455" s="698">
        <v>45957.440972222219</v>
      </c>
      <c r="M455" t="s">
        <v>565</v>
      </c>
      <c r="N455" t="s">
        <v>565</v>
      </c>
      <c r="O455" t="s">
        <v>566</v>
      </c>
      <c r="P455" t="s">
        <v>567</v>
      </c>
      <c r="S455" t="s">
        <v>567</v>
      </c>
      <c r="T455" t="s">
        <v>567</v>
      </c>
      <c r="Z455" t="s">
        <v>568</v>
      </c>
      <c r="AA455" t="s">
        <v>568</v>
      </c>
      <c r="AC455" t="str">
        <v>Scotia Centre Limited</v>
      </c>
    </row>
    <row r="456" spans="1:29">
      <c r="A456" t="s">
        <v>1486</v>
      </c>
      <c r="B456" t="s">
        <v>1528</v>
      </c>
      <c r="C456" t="s">
        <v>1563</v>
      </c>
      <c r="D456" t="s">
        <v>562</v>
      </c>
      <c r="E456" t="s">
        <v>1564</v>
      </c>
      <c r="F456" t="s">
        <v>562</v>
      </c>
      <c r="G456" t="s">
        <v>562</v>
      </c>
      <c r="H456" t="s">
        <v>562</v>
      </c>
      <c r="I456">
        <v>3792</v>
      </c>
      <c r="J456" t="s">
        <v>564</v>
      </c>
      <c r="K456" s="698">
        <v>45957.440972222219</v>
      </c>
      <c r="L456" s="698">
        <v>45957.440972222219</v>
      </c>
      <c r="M456" t="s">
        <v>565</v>
      </c>
      <c r="N456" t="s">
        <v>565</v>
      </c>
      <c r="O456" t="s">
        <v>566</v>
      </c>
      <c r="P456" t="s">
        <v>567</v>
      </c>
      <c r="S456" t="s">
        <v>567</v>
      </c>
      <c r="T456" t="s">
        <v>567</v>
      </c>
      <c r="Z456" t="s">
        <v>568</v>
      </c>
      <c r="AA456" t="s">
        <v>568</v>
      </c>
      <c r="AC456" t="str">
        <v>Scott Hill Investments Inc</v>
      </c>
    </row>
    <row r="457" spans="1:29">
      <c r="A457" t="s">
        <v>1486</v>
      </c>
      <c r="B457" t="s">
        <v>1528</v>
      </c>
      <c r="C457" t="s">
        <v>1526</v>
      </c>
      <c r="D457" t="s">
        <v>562</v>
      </c>
      <c r="E457" t="s">
        <v>1565</v>
      </c>
      <c r="F457" t="s">
        <v>562</v>
      </c>
      <c r="G457" t="s">
        <v>562</v>
      </c>
      <c r="H457" t="s">
        <v>562</v>
      </c>
      <c r="I457">
        <v>3793</v>
      </c>
      <c r="J457" t="s">
        <v>564</v>
      </c>
      <c r="K457" s="698">
        <v>45957.440972222219</v>
      </c>
      <c r="L457" s="698">
        <v>45957.440972222219</v>
      </c>
      <c r="M457" t="s">
        <v>565</v>
      </c>
      <c r="N457" t="s">
        <v>565</v>
      </c>
      <c r="O457" t="s">
        <v>566</v>
      </c>
      <c r="P457" t="s">
        <v>567</v>
      </c>
      <c r="S457" t="s">
        <v>567</v>
      </c>
      <c r="T457" t="s">
        <v>567</v>
      </c>
      <c r="Z457" t="s">
        <v>568</v>
      </c>
      <c r="AA457" t="s">
        <v>568</v>
      </c>
      <c r="AC457" t="str">
        <v>Scottsville Hanger</v>
      </c>
    </row>
    <row r="458" spans="1:29">
      <c r="A458" t="s">
        <v>1486</v>
      </c>
      <c r="B458" t="s">
        <v>1528</v>
      </c>
      <c r="C458" t="s">
        <v>1563</v>
      </c>
      <c r="D458" t="s">
        <v>562</v>
      </c>
      <c r="E458" t="s">
        <v>1566</v>
      </c>
      <c r="F458" t="s">
        <v>562</v>
      </c>
      <c r="G458" t="s">
        <v>562</v>
      </c>
      <c r="H458" t="s">
        <v>562</v>
      </c>
      <c r="I458">
        <v>3794</v>
      </c>
      <c r="J458" t="s">
        <v>564</v>
      </c>
      <c r="K458" s="698">
        <v>45957.440972222219</v>
      </c>
      <c r="L458" s="698">
        <v>45957.440972222219</v>
      </c>
      <c r="M458" t="s">
        <v>565</v>
      </c>
      <c r="N458" t="s">
        <v>565</v>
      </c>
      <c r="O458" t="s">
        <v>566</v>
      </c>
      <c r="P458" t="s">
        <v>567</v>
      </c>
      <c r="S458" t="s">
        <v>567</v>
      </c>
      <c r="T458" t="s">
        <v>567</v>
      </c>
      <c r="Z458" t="s">
        <v>568</v>
      </c>
      <c r="AA458" t="s">
        <v>568</v>
      </c>
      <c r="AC458" t="str">
        <v>Scouts Canada</v>
      </c>
    </row>
    <row r="459" spans="1:29">
      <c r="A459" t="s">
        <v>1486</v>
      </c>
      <c r="B459" t="s">
        <v>1567</v>
      </c>
      <c r="C459" t="s">
        <v>1568</v>
      </c>
      <c r="D459" t="s">
        <v>562</v>
      </c>
      <c r="E459" t="s">
        <v>1569</v>
      </c>
      <c r="F459" t="s">
        <v>562</v>
      </c>
      <c r="G459" t="s">
        <v>562</v>
      </c>
      <c r="H459" t="s">
        <v>562</v>
      </c>
      <c r="I459">
        <v>3795</v>
      </c>
      <c r="J459" t="s">
        <v>564</v>
      </c>
      <c r="K459" s="698">
        <v>45957.440972222219</v>
      </c>
      <c r="L459" s="698">
        <v>45957.440972222219</v>
      </c>
      <c r="M459" t="s">
        <v>565</v>
      </c>
      <c r="N459" t="s">
        <v>565</v>
      </c>
      <c r="O459" t="s">
        <v>566</v>
      </c>
      <c r="P459" t="s">
        <v>567</v>
      </c>
      <c r="S459" t="s">
        <v>567</v>
      </c>
      <c r="T459" t="s">
        <v>567</v>
      </c>
      <c r="Z459" t="s">
        <v>568</v>
      </c>
      <c r="AA459" t="s">
        <v>568</v>
      </c>
      <c r="AC459" t="str">
        <v>Sensa Lighting</v>
      </c>
    </row>
    <row r="460" spans="1:29">
      <c r="A460" t="s">
        <v>1486</v>
      </c>
      <c r="B460" t="s">
        <v>1547</v>
      </c>
      <c r="C460" t="s">
        <v>1495</v>
      </c>
      <c r="D460" t="s">
        <v>562</v>
      </c>
      <c r="E460" t="s">
        <v>1570</v>
      </c>
      <c r="F460" t="s">
        <v>562</v>
      </c>
      <c r="G460" t="s">
        <v>562</v>
      </c>
      <c r="H460" t="s">
        <v>562</v>
      </c>
      <c r="I460">
        <v>3796</v>
      </c>
      <c r="J460" t="s">
        <v>564</v>
      </c>
      <c r="K460" s="698">
        <v>45957.440972222219</v>
      </c>
      <c r="L460" s="698">
        <v>45957.440972222219</v>
      </c>
      <c r="M460" t="s">
        <v>565</v>
      </c>
      <c r="N460" t="s">
        <v>565</v>
      </c>
      <c r="O460" t="s">
        <v>566</v>
      </c>
      <c r="P460" t="s">
        <v>567</v>
      </c>
      <c r="S460" t="s">
        <v>567</v>
      </c>
      <c r="T460" t="s">
        <v>567</v>
      </c>
      <c r="Z460" t="s">
        <v>568</v>
      </c>
      <c r="AA460" t="s">
        <v>568</v>
      </c>
      <c r="AC460" t="str">
        <v>Sense Electric Ltd</v>
      </c>
    </row>
    <row r="461" spans="1:29">
      <c r="A461" t="s">
        <v>1486</v>
      </c>
      <c r="B461" t="s">
        <v>1541</v>
      </c>
      <c r="C461" t="s">
        <v>1542</v>
      </c>
      <c r="D461" t="s">
        <v>562</v>
      </c>
      <c r="E461" t="s">
        <v>1571</v>
      </c>
      <c r="F461" t="s">
        <v>562</v>
      </c>
      <c r="G461" t="s">
        <v>562</v>
      </c>
      <c r="H461" t="s">
        <v>562</v>
      </c>
      <c r="I461">
        <v>3797</v>
      </c>
      <c r="J461" t="s">
        <v>564</v>
      </c>
      <c r="K461" s="698">
        <v>45957.441666666666</v>
      </c>
      <c r="L461" s="698">
        <v>45957.441666666666</v>
      </c>
      <c r="M461" t="s">
        <v>565</v>
      </c>
      <c r="N461" t="s">
        <v>565</v>
      </c>
      <c r="O461" t="s">
        <v>566</v>
      </c>
      <c r="P461" t="s">
        <v>567</v>
      </c>
      <c r="S461" t="s">
        <v>567</v>
      </c>
      <c r="T461" t="s">
        <v>567</v>
      </c>
      <c r="Z461" t="s">
        <v>568</v>
      </c>
      <c r="AA461" t="s">
        <v>568</v>
      </c>
      <c r="AC461" t="str">
        <v>Sentinel Roofing Ltd</v>
      </c>
    </row>
    <row r="462" spans="1:29">
      <c r="A462" t="s">
        <v>1486</v>
      </c>
      <c r="B462" t="s">
        <v>1572</v>
      </c>
      <c r="C462" t="s">
        <v>1573</v>
      </c>
      <c r="D462" t="s">
        <v>562</v>
      </c>
      <c r="E462" t="s">
        <v>1574</v>
      </c>
      <c r="F462" t="s">
        <v>562</v>
      </c>
      <c r="G462" t="s">
        <v>562</v>
      </c>
      <c r="H462" t="s">
        <v>562</v>
      </c>
      <c r="I462">
        <v>3798</v>
      </c>
      <c r="J462" t="s">
        <v>564</v>
      </c>
      <c r="K462" s="698">
        <v>45957.441666666666</v>
      </c>
      <c r="L462" s="698">
        <v>45957.441666666666</v>
      </c>
      <c r="M462" t="s">
        <v>565</v>
      </c>
      <c r="N462" t="s">
        <v>565</v>
      </c>
      <c r="O462" t="s">
        <v>566</v>
      </c>
      <c r="P462" t="s">
        <v>567</v>
      </c>
      <c r="S462" t="s">
        <v>567</v>
      </c>
      <c r="T462" t="s">
        <v>567</v>
      </c>
      <c r="Z462" t="s">
        <v>568</v>
      </c>
      <c r="AA462" t="s">
        <v>568</v>
      </c>
      <c r="AC462" t="str">
        <v>Sheena Williams</v>
      </c>
    </row>
    <row r="463" spans="1:29">
      <c r="A463" t="s">
        <v>1486</v>
      </c>
      <c r="B463" t="s">
        <v>1572</v>
      </c>
      <c r="C463" t="s">
        <v>1573</v>
      </c>
      <c r="D463" t="s">
        <v>562</v>
      </c>
      <c r="E463" t="s">
        <v>1575</v>
      </c>
      <c r="F463" t="s">
        <v>562</v>
      </c>
      <c r="G463" t="s">
        <v>562</v>
      </c>
      <c r="H463" t="s">
        <v>562</v>
      </c>
      <c r="I463">
        <v>3799</v>
      </c>
      <c r="J463" t="s">
        <v>564</v>
      </c>
      <c r="K463" s="698">
        <v>45957.441666666666</v>
      </c>
      <c r="L463" s="698">
        <v>45957.441666666666</v>
      </c>
      <c r="M463" t="s">
        <v>565</v>
      </c>
      <c r="N463" t="s">
        <v>565</v>
      </c>
      <c r="O463" t="s">
        <v>566</v>
      </c>
      <c r="P463" t="s">
        <v>567</v>
      </c>
      <c r="S463" t="s">
        <v>567</v>
      </c>
      <c r="T463" t="s">
        <v>567</v>
      </c>
      <c r="Z463" t="s">
        <v>568</v>
      </c>
      <c r="AA463" t="s">
        <v>568</v>
      </c>
      <c r="AC463" t="str">
        <v>Shippers Supply ULC</v>
      </c>
    </row>
    <row r="464" spans="1:29">
      <c r="A464" t="s">
        <v>1486</v>
      </c>
      <c r="B464" t="s">
        <v>1576</v>
      </c>
      <c r="C464" t="s">
        <v>1577</v>
      </c>
      <c r="D464" t="s">
        <v>562</v>
      </c>
      <c r="E464" t="s">
        <v>1578</v>
      </c>
      <c r="F464" t="s">
        <v>562</v>
      </c>
      <c r="G464" t="s">
        <v>562</v>
      </c>
      <c r="H464" t="s">
        <v>562</v>
      </c>
      <c r="I464">
        <v>3800</v>
      </c>
      <c r="J464" t="s">
        <v>564</v>
      </c>
      <c r="K464" s="698">
        <v>45957.441666666666</v>
      </c>
      <c r="L464" s="698">
        <v>45957.441666666666</v>
      </c>
      <c r="M464" t="s">
        <v>565</v>
      </c>
      <c r="N464" t="s">
        <v>565</v>
      </c>
      <c r="O464" t="s">
        <v>566</v>
      </c>
      <c r="P464" t="s">
        <v>567</v>
      </c>
      <c r="S464" t="s">
        <v>567</v>
      </c>
      <c r="T464" t="s">
        <v>567</v>
      </c>
      <c r="Z464" t="s">
        <v>568</v>
      </c>
      <c r="AA464" t="s">
        <v>568</v>
      </c>
      <c r="AC464" t="str">
        <v>Shirley Fryer</v>
      </c>
    </row>
    <row r="465" spans="1:29">
      <c r="A465" t="s">
        <v>1486</v>
      </c>
      <c r="B465" t="s">
        <v>1528</v>
      </c>
      <c r="C465" t="s">
        <v>1526</v>
      </c>
      <c r="D465" t="s">
        <v>562</v>
      </c>
      <c r="E465" t="s">
        <v>1579</v>
      </c>
      <c r="F465" t="s">
        <v>562</v>
      </c>
      <c r="G465" t="s">
        <v>562</v>
      </c>
      <c r="H465" t="s">
        <v>562</v>
      </c>
      <c r="I465">
        <v>3801</v>
      </c>
      <c r="J465" t="s">
        <v>564</v>
      </c>
      <c r="K465" s="698">
        <v>45957.441666666666</v>
      </c>
      <c r="L465" s="698">
        <v>45957.441666666666</v>
      </c>
      <c r="M465" t="s">
        <v>565</v>
      </c>
      <c r="N465" t="s">
        <v>565</v>
      </c>
      <c r="O465" t="s">
        <v>566</v>
      </c>
      <c r="P465" t="s">
        <v>567</v>
      </c>
      <c r="S465" t="s">
        <v>567</v>
      </c>
      <c r="T465" t="s">
        <v>567</v>
      </c>
      <c r="Z465" t="s">
        <v>568</v>
      </c>
      <c r="AA465" t="s">
        <v>568</v>
      </c>
      <c r="AC465" t="str">
        <v>Showpass</v>
      </c>
    </row>
    <row r="466" spans="1:29">
      <c r="A466" t="s">
        <v>1486</v>
      </c>
      <c r="B466" t="s">
        <v>1528</v>
      </c>
      <c r="C466" t="s">
        <v>1526</v>
      </c>
      <c r="D466" t="s">
        <v>562</v>
      </c>
      <c r="E466" t="s">
        <v>1580</v>
      </c>
      <c r="F466" t="s">
        <v>562</v>
      </c>
      <c r="G466" t="s">
        <v>562</v>
      </c>
      <c r="H466" t="s">
        <v>562</v>
      </c>
      <c r="I466">
        <v>3802</v>
      </c>
      <c r="J466" t="s">
        <v>564</v>
      </c>
      <c r="K466" s="698">
        <v>45957.442361111112</v>
      </c>
      <c r="L466" s="698">
        <v>45957.442361111112</v>
      </c>
      <c r="M466" t="s">
        <v>565</v>
      </c>
      <c r="N466" t="s">
        <v>565</v>
      </c>
      <c r="O466" t="s">
        <v>566</v>
      </c>
      <c r="P466" t="s">
        <v>567</v>
      </c>
      <c r="S466" t="s">
        <v>567</v>
      </c>
      <c r="T466" t="s">
        <v>567</v>
      </c>
      <c r="Z466" t="s">
        <v>568</v>
      </c>
      <c r="AA466" t="s">
        <v>568</v>
      </c>
      <c r="AC466" t="str">
        <v>Signal Driving School</v>
      </c>
    </row>
    <row r="467" spans="1:29">
      <c r="A467" t="s">
        <v>1486</v>
      </c>
      <c r="B467" t="s">
        <v>1528</v>
      </c>
      <c r="C467" t="s">
        <v>1492</v>
      </c>
      <c r="D467" t="s">
        <v>562</v>
      </c>
      <c r="E467" t="s">
        <v>1581</v>
      </c>
      <c r="F467" t="s">
        <v>562</v>
      </c>
      <c r="G467" t="s">
        <v>562</v>
      </c>
      <c r="H467" t="s">
        <v>562</v>
      </c>
      <c r="I467">
        <v>3803</v>
      </c>
      <c r="J467" t="s">
        <v>564</v>
      </c>
      <c r="K467" s="698">
        <v>45957.442361111112</v>
      </c>
      <c r="L467" s="698">
        <v>45957.442361111112</v>
      </c>
      <c r="M467" t="s">
        <v>565</v>
      </c>
      <c r="N467" t="s">
        <v>565</v>
      </c>
      <c r="O467" t="s">
        <v>566</v>
      </c>
      <c r="P467" t="s">
        <v>567</v>
      </c>
      <c r="S467" t="s">
        <v>567</v>
      </c>
      <c r="T467" t="s">
        <v>567</v>
      </c>
      <c r="Z467" t="s">
        <v>568</v>
      </c>
      <c r="AA467" t="s">
        <v>568</v>
      </c>
      <c r="AC467" t="str">
        <v>Silver Birch Hotels &amp; Resorts</v>
      </c>
    </row>
    <row r="468" spans="1:29">
      <c r="A468" t="s">
        <v>1486</v>
      </c>
      <c r="B468" t="s">
        <v>1528</v>
      </c>
      <c r="C468" t="s">
        <v>1582</v>
      </c>
      <c r="D468" t="s">
        <v>562</v>
      </c>
      <c r="E468" t="s">
        <v>1583</v>
      </c>
      <c r="F468" t="s">
        <v>562</v>
      </c>
      <c r="G468" t="s">
        <v>562</v>
      </c>
      <c r="H468" t="s">
        <v>562</v>
      </c>
      <c r="I468">
        <v>3804</v>
      </c>
      <c r="J468" t="s">
        <v>564</v>
      </c>
      <c r="K468" s="698">
        <v>45957.442361111112</v>
      </c>
      <c r="L468" s="698">
        <v>45957.442361111112</v>
      </c>
      <c r="M468" t="s">
        <v>565</v>
      </c>
      <c r="N468" t="s">
        <v>565</v>
      </c>
      <c r="O468" t="s">
        <v>566</v>
      </c>
      <c r="P468" t="s">
        <v>567</v>
      </c>
      <c r="S468" t="s">
        <v>567</v>
      </c>
      <c r="T468" t="s">
        <v>567</v>
      </c>
      <c r="Z468" t="s">
        <v>568</v>
      </c>
      <c r="AA468" t="s">
        <v>568</v>
      </c>
      <c r="AC468" t="str">
        <v>Silverado Shopping Centre Ltd</v>
      </c>
    </row>
    <row r="469" spans="1:29">
      <c r="A469" t="s">
        <v>1486</v>
      </c>
      <c r="B469" t="s">
        <v>1541</v>
      </c>
      <c r="C469" t="s">
        <v>1542</v>
      </c>
      <c r="D469" t="s">
        <v>562</v>
      </c>
      <c r="E469" t="s">
        <v>1584</v>
      </c>
      <c r="F469" t="s">
        <v>562</v>
      </c>
      <c r="G469" t="s">
        <v>562</v>
      </c>
      <c r="H469" t="s">
        <v>562</v>
      </c>
      <c r="I469">
        <v>3805</v>
      </c>
      <c r="J469" t="s">
        <v>564</v>
      </c>
      <c r="K469" s="698">
        <v>45957.442361111112</v>
      </c>
      <c r="L469" s="698">
        <v>45957.442361111112</v>
      </c>
      <c r="M469" t="s">
        <v>565</v>
      </c>
      <c r="N469" t="s">
        <v>565</v>
      </c>
      <c r="O469" t="s">
        <v>566</v>
      </c>
      <c r="P469" t="s">
        <v>567</v>
      </c>
      <c r="S469" t="s">
        <v>567</v>
      </c>
      <c r="T469" t="s">
        <v>567</v>
      </c>
      <c r="Z469" t="s">
        <v>568</v>
      </c>
      <c r="AA469" t="s">
        <v>568</v>
      </c>
      <c r="AC469" t="str">
        <v>Slyvia Mills</v>
      </c>
    </row>
    <row r="470" spans="1:29">
      <c r="A470" t="s">
        <v>1486</v>
      </c>
      <c r="B470" t="s">
        <v>1547</v>
      </c>
      <c r="C470" t="s">
        <v>1495</v>
      </c>
      <c r="D470" t="s">
        <v>562</v>
      </c>
      <c r="E470" t="s">
        <v>1585</v>
      </c>
      <c r="F470" t="s">
        <v>562</v>
      </c>
      <c r="G470" t="s">
        <v>562</v>
      </c>
      <c r="H470" t="s">
        <v>562</v>
      </c>
      <c r="I470">
        <v>3808</v>
      </c>
      <c r="J470" t="s">
        <v>564</v>
      </c>
      <c r="K470" s="698">
        <v>45957.442361111112</v>
      </c>
      <c r="L470" s="698">
        <v>45957.442361111112</v>
      </c>
      <c r="M470" t="s">
        <v>565</v>
      </c>
      <c r="N470" t="s">
        <v>565</v>
      </c>
      <c r="O470" t="s">
        <v>566</v>
      </c>
      <c r="P470" t="s">
        <v>567</v>
      </c>
      <c r="S470" t="s">
        <v>567</v>
      </c>
      <c r="T470" t="s">
        <v>567</v>
      </c>
      <c r="Z470" t="s">
        <v>568</v>
      </c>
      <c r="AA470" t="s">
        <v>568</v>
      </c>
      <c r="AC470" t="str">
        <v>Smoca Home</v>
      </c>
    </row>
    <row r="471" spans="1:29">
      <c r="A471" t="s">
        <v>1486</v>
      </c>
      <c r="B471" t="s">
        <v>1541</v>
      </c>
      <c r="C471" t="s">
        <v>1542</v>
      </c>
      <c r="D471" t="s">
        <v>562</v>
      </c>
      <c r="E471" t="s">
        <v>1586</v>
      </c>
      <c r="F471" t="s">
        <v>562</v>
      </c>
      <c r="G471" t="s">
        <v>562</v>
      </c>
      <c r="H471" t="s">
        <v>562</v>
      </c>
      <c r="I471">
        <v>3809</v>
      </c>
      <c r="J471" t="s">
        <v>564</v>
      </c>
      <c r="K471" s="698">
        <v>45957.443055555559</v>
      </c>
      <c r="L471" s="698">
        <v>45957.443055555559</v>
      </c>
      <c r="M471" t="s">
        <v>565</v>
      </c>
      <c r="N471" t="s">
        <v>565</v>
      </c>
      <c r="O471" t="s">
        <v>566</v>
      </c>
      <c r="P471" t="s">
        <v>567</v>
      </c>
      <c r="S471" t="s">
        <v>567</v>
      </c>
      <c r="T471" t="s">
        <v>567</v>
      </c>
      <c r="Z471" t="s">
        <v>568</v>
      </c>
      <c r="AA471" t="s">
        <v>568</v>
      </c>
      <c r="AC471" t="str">
        <v>SNA Construction Ltd.</v>
      </c>
    </row>
    <row r="472" spans="1:29">
      <c r="A472" t="s">
        <v>1486</v>
      </c>
      <c r="B472" t="s">
        <v>1572</v>
      </c>
      <c r="C472" t="s">
        <v>1573</v>
      </c>
      <c r="D472" t="s">
        <v>562</v>
      </c>
      <c r="E472" t="s">
        <v>1587</v>
      </c>
      <c r="F472" t="s">
        <v>562</v>
      </c>
      <c r="G472" t="s">
        <v>562</v>
      </c>
      <c r="H472" t="s">
        <v>562</v>
      </c>
      <c r="I472">
        <v>3810</v>
      </c>
      <c r="J472" t="s">
        <v>564</v>
      </c>
      <c r="K472" s="698">
        <v>45957.443055555559</v>
      </c>
      <c r="L472" s="698">
        <v>45957.443055555559</v>
      </c>
      <c r="M472" t="s">
        <v>565</v>
      </c>
      <c r="N472" t="s">
        <v>565</v>
      </c>
      <c r="O472" t="s">
        <v>566</v>
      </c>
      <c r="P472" t="s">
        <v>567</v>
      </c>
      <c r="S472" t="s">
        <v>567</v>
      </c>
      <c r="T472" t="s">
        <v>567</v>
      </c>
      <c r="Z472" t="s">
        <v>568</v>
      </c>
      <c r="AA472" t="s">
        <v>568</v>
      </c>
      <c r="AC472" t="str">
        <v>Sohaib Uthmani</v>
      </c>
    </row>
    <row r="473" spans="1:29">
      <c r="A473" t="s">
        <v>1486</v>
      </c>
      <c r="B473" t="s">
        <v>1541</v>
      </c>
      <c r="C473" t="s">
        <v>1542</v>
      </c>
      <c r="D473" t="s">
        <v>562</v>
      </c>
      <c r="E473" t="s">
        <v>1588</v>
      </c>
      <c r="F473" t="s">
        <v>562</v>
      </c>
      <c r="G473" t="s">
        <v>562</v>
      </c>
      <c r="H473" t="s">
        <v>562</v>
      </c>
      <c r="I473">
        <v>3811</v>
      </c>
      <c r="J473" t="s">
        <v>564</v>
      </c>
      <c r="K473" s="698">
        <v>45957.443055555559</v>
      </c>
      <c r="L473" s="698">
        <v>45957.443055555559</v>
      </c>
      <c r="M473" t="s">
        <v>565</v>
      </c>
      <c r="N473" t="s">
        <v>565</v>
      </c>
      <c r="O473" t="s">
        <v>566</v>
      </c>
      <c r="P473" t="s">
        <v>567</v>
      </c>
      <c r="S473" t="s">
        <v>567</v>
      </c>
      <c r="T473" t="s">
        <v>567</v>
      </c>
      <c r="Z473" t="s">
        <v>568</v>
      </c>
      <c r="AA473" t="s">
        <v>568</v>
      </c>
      <c r="AC473" t="str">
        <v>Soka Gakkai International</v>
      </c>
    </row>
    <row r="474" spans="1:29">
      <c r="A474" t="s">
        <v>1486</v>
      </c>
      <c r="B474" t="s">
        <v>1556</v>
      </c>
      <c r="C474" t="s">
        <v>1553</v>
      </c>
      <c r="D474" t="s">
        <v>562</v>
      </c>
      <c r="E474" t="s">
        <v>1589</v>
      </c>
      <c r="F474" t="s">
        <v>562</v>
      </c>
      <c r="G474" t="s">
        <v>562</v>
      </c>
      <c r="H474" t="s">
        <v>562</v>
      </c>
      <c r="I474">
        <v>3812</v>
      </c>
      <c r="J474" t="s">
        <v>564</v>
      </c>
      <c r="K474" s="698">
        <v>45957.443055555559</v>
      </c>
      <c r="L474" s="698">
        <v>45957.443055555559</v>
      </c>
      <c r="M474" t="s">
        <v>565</v>
      </c>
      <c r="N474" t="s">
        <v>565</v>
      </c>
      <c r="O474" t="s">
        <v>566</v>
      </c>
      <c r="P474" t="s">
        <v>567</v>
      </c>
      <c r="S474" t="s">
        <v>567</v>
      </c>
      <c r="T474" t="s">
        <v>567</v>
      </c>
      <c r="Z474" t="s">
        <v>568</v>
      </c>
      <c r="AA474" t="s">
        <v>568</v>
      </c>
      <c r="AC474" t="str">
        <v>Solid Solutions Contracting and Renovations</v>
      </c>
    </row>
    <row r="475" spans="1:29">
      <c r="A475" t="s">
        <v>1486</v>
      </c>
      <c r="B475" t="s">
        <v>1572</v>
      </c>
      <c r="C475" t="s">
        <v>1553</v>
      </c>
      <c r="D475" t="s">
        <v>562</v>
      </c>
      <c r="E475" t="s">
        <v>1590</v>
      </c>
      <c r="F475" t="s">
        <v>562</v>
      </c>
      <c r="G475" t="s">
        <v>562</v>
      </c>
      <c r="H475" t="s">
        <v>562</v>
      </c>
      <c r="I475">
        <v>3813</v>
      </c>
      <c r="J475" t="s">
        <v>564</v>
      </c>
      <c r="K475" s="698">
        <v>45957.443055555559</v>
      </c>
      <c r="L475" s="698">
        <v>45957.443055555559</v>
      </c>
      <c r="M475" t="s">
        <v>565</v>
      </c>
      <c r="N475" t="s">
        <v>565</v>
      </c>
      <c r="O475" t="s">
        <v>566</v>
      </c>
      <c r="P475" t="s">
        <v>567</v>
      </c>
      <c r="S475" t="s">
        <v>567</v>
      </c>
      <c r="T475" t="s">
        <v>567</v>
      </c>
      <c r="Z475" t="s">
        <v>568</v>
      </c>
      <c r="AA475" t="s">
        <v>568</v>
      </c>
      <c r="AC475" t="str">
        <v>Soundtex Interiors Ltd.</v>
      </c>
    </row>
    <row r="476" spans="1:29">
      <c r="A476" t="s">
        <v>1486</v>
      </c>
      <c r="B476" t="s">
        <v>1497</v>
      </c>
      <c r="C476" t="s">
        <v>1498</v>
      </c>
      <c r="D476" t="s">
        <v>562</v>
      </c>
      <c r="E476" t="s">
        <v>1591</v>
      </c>
      <c r="F476" t="s">
        <v>562</v>
      </c>
      <c r="G476" t="s">
        <v>562</v>
      </c>
      <c r="H476" t="s">
        <v>562</v>
      </c>
      <c r="I476">
        <v>3820</v>
      </c>
      <c r="J476" t="s">
        <v>564</v>
      </c>
      <c r="K476" s="698">
        <v>45957.443749999999</v>
      </c>
      <c r="L476" s="698">
        <v>45957.443749999999</v>
      </c>
      <c r="M476" t="s">
        <v>565</v>
      </c>
      <c r="N476" t="s">
        <v>565</v>
      </c>
      <c r="O476" t="s">
        <v>566</v>
      </c>
      <c r="P476" t="s">
        <v>567</v>
      </c>
      <c r="S476" t="s">
        <v>567</v>
      </c>
      <c r="T476" t="s">
        <v>567</v>
      </c>
      <c r="Z476" t="s">
        <v>568</v>
      </c>
      <c r="AA476" t="s">
        <v>568</v>
      </c>
      <c r="AC476" t="str">
        <v>Source Holdings</v>
      </c>
    </row>
    <row r="477" spans="1:29">
      <c r="A477" t="s">
        <v>1486</v>
      </c>
      <c r="B477" t="s">
        <v>1497</v>
      </c>
      <c r="C477" t="s">
        <v>1498</v>
      </c>
      <c r="D477" t="s">
        <v>562</v>
      </c>
      <c r="E477" t="s">
        <v>1592</v>
      </c>
      <c r="F477" t="s">
        <v>562</v>
      </c>
      <c r="G477" t="s">
        <v>562</v>
      </c>
      <c r="H477" t="s">
        <v>562</v>
      </c>
      <c r="I477">
        <v>3824</v>
      </c>
      <c r="J477" t="s">
        <v>564</v>
      </c>
      <c r="K477" s="698">
        <v>45957.444444444445</v>
      </c>
      <c r="L477" s="698">
        <v>45957.444444444445</v>
      </c>
      <c r="M477" t="s">
        <v>565</v>
      </c>
      <c r="N477" t="s">
        <v>565</v>
      </c>
      <c r="O477" t="s">
        <v>566</v>
      </c>
      <c r="P477" t="s">
        <v>567</v>
      </c>
      <c r="S477" t="s">
        <v>567</v>
      </c>
      <c r="T477" t="s">
        <v>567</v>
      </c>
      <c r="Z477" t="s">
        <v>568</v>
      </c>
      <c r="AA477" t="s">
        <v>568</v>
      </c>
      <c r="AC477" t="str">
        <v>Southampton-Trane</v>
      </c>
    </row>
    <row r="478" spans="1:29">
      <c r="A478" t="s">
        <v>1486</v>
      </c>
      <c r="B478" t="s">
        <v>1497</v>
      </c>
      <c r="C478" t="s">
        <v>1498</v>
      </c>
      <c r="D478" t="s">
        <v>562</v>
      </c>
      <c r="E478" t="s">
        <v>1593</v>
      </c>
      <c r="F478" t="s">
        <v>562</v>
      </c>
      <c r="G478" t="s">
        <v>562</v>
      </c>
      <c r="H478" t="s">
        <v>562</v>
      </c>
      <c r="I478">
        <v>3825</v>
      </c>
      <c r="J478" t="s">
        <v>564</v>
      </c>
      <c r="K478" s="698">
        <v>45957.444444444445</v>
      </c>
      <c r="L478" s="698">
        <v>45957.444444444445</v>
      </c>
      <c r="M478" t="s">
        <v>565</v>
      </c>
      <c r="N478" t="s">
        <v>565</v>
      </c>
      <c r="O478" t="s">
        <v>566</v>
      </c>
      <c r="P478" t="s">
        <v>567</v>
      </c>
      <c r="S478" t="s">
        <v>567</v>
      </c>
      <c r="T478" t="s">
        <v>567</v>
      </c>
      <c r="Z478" t="s">
        <v>568</v>
      </c>
      <c r="AA478" t="s">
        <v>568</v>
      </c>
      <c r="AC478" t="str">
        <v>Spartacus Holdings LTD.</v>
      </c>
    </row>
    <row r="479" spans="1:29">
      <c r="A479" t="s">
        <v>1486</v>
      </c>
      <c r="B479" t="s">
        <v>1497</v>
      </c>
      <c r="C479" t="s">
        <v>1498</v>
      </c>
      <c r="D479" t="s">
        <v>562</v>
      </c>
      <c r="E479" t="s">
        <v>1594</v>
      </c>
      <c r="F479" t="s">
        <v>562</v>
      </c>
      <c r="G479" t="s">
        <v>562</v>
      </c>
      <c r="H479" t="s">
        <v>562</v>
      </c>
      <c r="I479">
        <v>3826</v>
      </c>
      <c r="J479" t="s">
        <v>564</v>
      </c>
      <c r="K479" s="698">
        <v>45957.444444444445</v>
      </c>
      <c r="L479" s="698">
        <v>45957.444444444445</v>
      </c>
      <c r="M479" t="s">
        <v>565</v>
      </c>
      <c r="N479" t="s">
        <v>565</v>
      </c>
      <c r="O479" t="s">
        <v>566</v>
      </c>
      <c r="P479" t="s">
        <v>567</v>
      </c>
      <c r="S479" t="s">
        <v>567</v>
      </c>
      <c r="T479" t="s">
        <v>567</v>
      </c>
      <c r="Z479" t="s">
        <v>568</v>
      </c>
      <c r="AA479" t="s">
        <v>568</v>
      </c>
      <c r="AC479" t="str">
        <v>Specified Roofing Inc</v>
      </c>
    </row>
    <row r="480" spans="1:29">
      <c r="A480" t="s">
        <v>1486</v>
      </c>
      <c r="B480" t="s">
        <v>1497</v>
      </c>
      <c r="C480" t="s">
        <v>1498</v>
      </c>
      <c r="D480" t="s">
        <v>562</v>
      </c>
      <c r="E480" t="s">
        <v>1595</v>
      </c>
      <c r="F480" t="s">
        <v>562</v>
      </c>
      <c r="G480" t="s">
        <v>562</v>
      </c>
      <c r="H480" t="s">
        <v>562</v>
      </c>
      <c r="I480">
        <v>3827</v>
      </c>
      <c r="J480" t="s">
        <v>564</v>
      </c>
      <c r="K480" s="698">
        <v>45957.445138888892</v>
      </c>
      <c r="L480" s="698">
        <v>45957.445138888892</v>
      </c>
      <c r="M480" t="s">
        <v>565</v>
      </c>
      <c r="N480" t="s">
        <v>565</v>
      </c>
      <c r="O480" t="s">
        <v>566</v>
      </c>
      <c r="P480" t="s">
        <v>567</v>
      </c>
      <c r="S480" t="s">
        <v>567</v>
      </c>
      <c r="T480" t="s">
        <v>567</v>
      </c>
      <c r="Z480" t="s">
        <v>568</v>
      </c>
      <c r="AA480" t="s">
        <v>568</v>
      </c>
      <c r="AC480" t="str">
        <v>Spire Cathederal Energy</v>
      </c>
    </row>
    <row r="481" spans="1:29">
      <c r="A481" t="s">
        <v>1486</v>
      </c>
      <c r="B481" t="s">
        <v>1497</v>
      </c>
      <c r="C481" t="s">
        <v>1498</v>
      </c>
      <c r="D481" t="s">
        <v>562</v>
      </c>
      <c r="E481" t="s">
        <v>1596</v>
      </c>
      <c r="F481" t="s">
        <v>562</v>
      </c>
      <c r="G481" t="s">
        <v>562</v>
      </c>
      <c r="H481" t="s">
        <v>562</v>
      </c>
      <c r="I481">
        <v>3828</v>
      </c>
      <c r="J481" t="s">
        <v>564</v>
      </c>
      <c r="K481" s="698">
        <v>45957.445138888892</v>
      </c>
      <c r="L481" s="698">
        <v>45957.445138888892</v>
      </c>
      <c r="M481" t="s">
        <v>565</v>
      </c>
      <c r="N481" t="s">
        <v>565</v>
      </c>
      <c r="O481" t="s">
        <v>566</v>
      </c>
      <c r="P481" t="s">
        <v>567</v>
      </c>
      <c r="S481" t="s">
        <v>567</v>
      </c>
      <c r="T481" t="s">
        <v>567</v>
      </c>
      <c r="Z481" t="s">
        <v>568</v>
      </c>
      <c r="AA481" t="s">
        <v>568</v>
      </c>
      <c r="AC481" t="str">
        <v>SPIRE Cathedral Properties Inc.</v>
      </c>
    </row>
    <row r="482" spans="1:29">
      <c r="A482" t="s">
        <v>1486</v>
      </c>
      <c r="B482" t="s">
        <v>1494</v>
      </c>
      <c r="C482" t="s">
        <v>1501</v>
      </c>
      <c r="D482" t="s">
        <v>562</v>
      </c>
      <c r="E482" t="s">
        <v>1597</v>
      </c>
      <c r="F482" t="s">
        <v>562</v>
      </c>
      <c r="G482" t="s">
        <v>562</v>
      </c>
      <c r="H482" t="s">
        <v>562</v>
      </c>
      <c r="I482">
        <v>3829</v>
      </c>
      <c r="J482" t="s">
        <v>564</v>
      </c>
      <c r="K482" s="698">
        <v>45957.445138888892</v>
      </c>
      <c r="L482" s="698">
        <v>45957.445138888892</v>
      </c>
      <c r="M482" t="s">
        <v>565</v>
      </c>
      <c r="N482" t="s">
        <v>565</v>
      </c>
      <c r="O482" t="s">
        <v>566</v>
      </c>
      <c r="P482" t="s">
        <v>567</v>
      </c>
      <c r="S482" t="s">
        <v>567</v>
      </c>
      <c r="T482" t="s">
        <v>567</v>
      </c>
      <c r="Z482" t="s">
        <v>568</v>
      </c>
      <c r="AA482" t="s">
        <v>568</v>
      </c>
      <c r="AC482" t="str">
        <v>SPS West</v>
      </c>
    </row>
    <row r="483" spans="1:29">
      <c r="A483" t="s">
        <v>1486</v>
      </c>
      <c r="B483" t="s">
        <v>1497</v>
      </c>
      <c r="C483" t="s">
        <v>1498</v>
      </c>
      <c r="D483" t="s">
        <v>562</v>
      </c>
      <c r="E483" t="s">
        <v>809</v>
      </c>
      <c r="F483" t="s">
        <v>562</v>
      </c>
      <c r="G483" t="s">
        <v>562</v>
      </c>
      <c r="H483" t="s">
        <v>562</v>
      </c>
      <c r="I483">
        <v>3830</v>
      </c>
      <c r="J483" t="s">
        <v>564</v>
      </c>
      <c r="K483" s="698">
        <v>45957.445138888892</v>
      </c>
      <c r="L483" s="698">
        <v>45957.445138888892</v>
      </c>
      <c r="M483" t="s">
        <v>565</v>
      </c>
      <c r="N483" t="s">
        <v>565</v>
      </c>
      <c r="O483" t="s">
        <v>566</v>
      </c>
      <c r="P483" t="s">
        <v>567</v>
      </c>
      <c r="S483" t="s">
        <v>567</v>
      </c>
      <c r="T483" t="s">
        <v>567</v>
      </c>
      <c r="Z483" t="s">
        <v>568</v>
      </c>
      <c r="AA483" t="s">
        <v>568</v>
      </c>
      <c r="AC483" t="str">
        <v>SR Blending Inc</v>
      </c>
    </row>
    <row r="484" spans="1:29">
      <c r="A484" t="s">
        <v>1486</v>
      </c>
      <c r="B484" t="s">
        <v>1497</v>
      </c>
      <c r="C484" t="s">
        <v>1498</v>
      </c>
      <c r="D484" t="s">
        <v>562</v>
      </c>
      <c r="E484" t="s">
        <v>1598</v>
      </c>
      <c r="F484" t="s">
        <v>562</v>
      </c>
      <c r="G484" t="s">
        <v>562</v>
      </c>
      <c r="H484" t="s">
        <v>562</v>
      </c>
      <c r="I484">
        <v>3831</v>
      </c>
      <c r="J484" t="s">
        <v>564</v>
      </c>
      <c r="K484" s="698">
        <v>45957.445138888892</v>
      </c>
      <c r="L484" s="698">
        <v>45957.445138888892</v>
      </c>
      <c r="M484" t="s">
        <v>565</v>
      </c>
      <c r="N484" t="s">
        <v>565</v>
      </c>
      <c r="O484" t="s">
        <v>566</v>
      </c>
      <c r="P484" t="s">
        <v>567</v>
      </c>
      <c r="S484" t="s">
        <v>567</v>
      </c>
      <c r="T484" t="s">
        <v>567</v>
      </c>
      <c r="Z484" t="s">
        <v>568</v>
      </c>
      <c r="AA484" t="s">
        <v>568</v>
      </c>
      <c r="AC484" t="str">
        <v>St Albert Holdings</v>
      </c>
    </row>
    <row r="485" spans="1:29">
      <c r="A485" t="s">
        <v>1486</v>
      </c>
      <c r="B485" t="s">
        <v>1497</v>
      </c>
      <c r="C485" t="s">
        <v>1498</v>
      </c>
      <c r="D485" t="s">
        <v>562</v>
      </c>
      <c r="E485" t="s">
        <v>1599</v>
      </c>
      <c r="F485" t="s">
        <v>562</v>
      </c>
      <c r="G485" t="s">
        <v>562</v>
      </c>
      <c r="H485" t="s">
        <v>562</v>
      </c>
      <c r="I485">
        <v>3832</v>
      </c>
      <c r="J485" t="s">
        <v>564</v>
      </c>
      <c r="K485" s="698">
        <v>45957.445138888892</v>
      </c>
      <c r="L485" s="698">
        <v>45957.445138888892</v>
      </c>
      <c r="M485" t="s">
        <v>565</v>
      </c>
      <c r="N485" t="s">
        <v>565</v>
      </c>
      <c r="O485" t="s">
        <v>566</v>
      </c>
      <c r="P485" t="s">
        <v>567</v>
      </c>
      <c r="S485" t="s">
        <v>567</v>
      </c>
      <c r="T485" t="s">
        <v>567</v>
      </c>
      <c r="Z485" t="s">
        <v>568</v>
      </c>
      <c r="AA485" t="s">
        <v>568</v>
      </c>
      <c r="AC485" t="str">
        <v>St. Bonaventure Parish</v>
      </c>
    </row>
    <row r="486" spans="1:29">
      <c r="A486" t="s">
        <v>1486</v>
      </c>
      <c r="B486" t="s">
        <v>1497</v>
      </c>
      <c r="C486" t="s">
        <v>1498</v>
      </c>
      <c r="D486" t="s">
        <v>562</v>
      </c>
      <c r="E486" t="s">
        <v>1600</v>
      </c>
      <c r="F486" t="s">
        <v>562</v>
      </c>
      <c r="G486" t="s">
        <v>562</v>
      </c>
      <c r="H486" t="s">
        <v>562</v>
      </c>
      <c r="I486">
        <v>3833</v>
      </c>
      <c r="J486" t="s">
        <v>564</v>
      </c>
      <c r="K486" s="698">
        <v>45957.445833333331</v>
      </c>
      <c r="L486" s="698">
        <v>45957.445833333331</v>
      </c>
      <c r="M486" t="s">
        <v>565</v>
      </c>
      <c r="N486" t="s">
        <v>565</v>
      </c>
      <c r="O486" t="s">
        <v>566</v>
      </c>
      <c r="P486" t="s">
        <v>567</v>
      </c>
      <c r="S486" t="s">
        <v>567</v>
      </c>
      <c r="T486" t="s">
        <v>567</v>
      </c>
      <c r="Z486" t="s">
        <v>568</v>
      </c>
      <c r="AA486" t="s">
        <v>568</v>
      </c>
      <c r="AC486" t="str">
        <v>Stack Infrastructure</v>
      </c>
    </row>
    <row r="487" spans="1:29">
      <c r="A487" t="s">
        <v>1486</v>
      </c>
      <c r="B487" t="s">
        <v>1497</v>
      </c>
      <c r="C487" t="s">
        <v>1498</v>
      </c>
      <c r="D487" t="s">
        <v>562</v>
      </c>
      <c r="E487" t="s">
        <v>1601</v>
      </c>
      <c r="F487" t="s">
        <v>562</v>
      </c>
      <c r="G487" t="s">
        <v>562</v>
      </c>
      <c r="H487" t="s">
        <v>562</v>
      </c>
      <c r="I487">
        <v>3834</v>
      </c>
      <c r="J487" t="s">
        <v>564</v>
      </c>
      <c r="K487" s="698">
        <v>45957.445833333331</v>
      </c>
      <c r="L487" s="698">
        <v>45957.445833333331</v>
      </c>
      <c r="M487" t="s">
        <v>565</v>
      </c>
      <c r="N487" t="s">
        <v>565</v>
      </c>
      <c r="O487" t="s">
        <v>566</v>
      </c>
      <c r="P487" t="s">
        <v>567</v>
      </c>
      <c r="S487" t="s">
        <v>567</v>
      </c>
      <c r="T487" t="s">
        <v>567</v>
      </c>
      <c r="Z487" t="s">
        <v>568</v>
      </c>
      <c r="AA487" t="s">
        <v>568</v>
      </c>
      <c r="AC487" t="str">
        <v>Standard Mechanical Systems Limited</v>
      </c>
    </row>
    <row r="488" spans="1:29">
      <c r="A488" t="s">
        <v>1486</v>
      </c>
      <c r="B488" t="s">
        <v>1494</v>
      </c>
      <c r="C488" t="s">
        <v>1501</v>
      </c>
      <c r="D488" t="s">
        <v>562</v>
      </c>
      <c r="E488" t="s">
        <v>1602</v>
      </c>
      <c r="F488" t="s">
        <v>562</v>
      </c>
      <c r="G488" t="s">
        <v>562</v>
      </c>
      <c r="H488" t="s">
        <v>562</v>
      </c>
      <c r="I488">
        <v>3835</v>
      </c>
      <c r="J488" t="s">
        <v>564</v>
      </c>
      <c r="K488" s="698">
        <v>45957.445833333331</v>
      </c>
      <c r="L488" s="698">
        <v>45957.445833333331</v>
      </c>
      <c r="M488" t="s">
        <v>565</v>
      </c>
      <c r="N488" t="s">
        <v>565</v>
      </c>
      <c r="O488" t="s">
        <v>566</v>
      </c>
      <c r="P488" t="s">
        <v>567</v>
      </c>
      <c r="S488" t="s">
        <v>567</v>
      </c>
      <c r="T488" t="s">
        <v>567</v>
      </c>
      <c r="Z488" t="s">
        <v>568</v>
      </c>
      <c r="AA488" t="s">
        <v>568</v>
      </c>
      <c r="AC488" t="str">
        <v>Starbank Developments 2000 Corp</v>
      </c>
    </row>
    <row r="489" spans="1:29">
      <c r="A489" t="s">
        <v>1486</v>
      </c>
      <c r="B489" t="s">
        <v>1497</v>
      </c>
      <c r="C489" t="s">
        <v>1498</v>
      </c>
      <c r="D489" t="s">
        <v>562</v>
      </c>
      <c r="E489" t="s">
        <v>1603</v>
      </c>
      <c r="F489" t="s">
        <v>562</v>
      </c>
      <c r="G489" t="s">
        <v>562</v>
      </c>
      <c r="H489" t="s">
        <v>562</v>
      </c>
      <c r="I489">
        <v>3836</v>
      </c>
      <c r="J489" t="s">
        <v>564</v>
      </c>
      <c r="K489" s="698">
        <v>45957.445833333331</v>
      </c>
      <c r="L489" s="698">
        <v>45957.445833333331</v>
      </c>
      <c r="M489" t="s">
        <v>565</v>
      </c>
      <c r="N489" t="s">
        <v>565</v>
      </c>
      <c r="O489" t="s">
        <v>566</v>
      </c>
      <c r="P489" t="s">
        <v>567</v>
      </c>
      <c r="S489" t="s">
        <v>567</v>
      </c>
      <c r="T489" t="s">
        <v>567</v>
      </c>
      <c r="Z489" t="s">
        <v>568</v>
      </c>
      <c r="AA489" t="s">
        <v>568</v>
      </c>
      <c r="AC489" t="str">
        <v>Starcraft Construction Ltd.</v>
      </c>
    </row>
    <row r="490" spans="1:29">
      <c r="A490" t="s">
        <v>1486</v>
      </c>
      <c r="B490" t="s">
        <v>1528</v>
      </c>
      <c r="C490" t="s">
        <v>1526</v>
      </c>
      <c r="D490" t="s">
        <v>562</v>
      </c>
      <c r="E490" t="s">
        <v>1604</v>
      </c>
      <c r="F490" t="s">
        <v>562</v>
      </c>
      <c r="G490" t="s">
        <v>562</v>
      </c>
      <c r="H490" t="s">
        <v>562</v>
      </c>
      <c r="I490">
        <v>3838</v>
      </c>
      <c r="J490" t="s">
        <v>564</v>
      </c>
      <c r="K490" s="698">
        <v>45957.445833333331</v>
      </c>
      <c r="L490" s="698">
        <v>45957.445833333331</v>
      </c>
      <c r="M490" t="s">
        <v>565</v>
      </c>
      <c r="N490" t="s">
        <v>565</v>
      </c>
      <c r="O490" t="s">
        <v>566</v>
      </c>
      <c r="P490" t="s">
        <v>567</v>
      </c>
      <c r="S490" t="s">
        <v>567</v>
      </c>
      <c r="T490" t="s">
        <v>567</v>
      </c>
      <c r="Z490" t="s">
        <v>568</v>
      </c>
      <c r="AA490" t="s">
        <v>568</v>
      </c>
      <c r="AC490" t="str">
        <v>Startec Service</v>
      </c>
    </row>
    <row r="491" spans="1:29">
      <c r="A491" t="s">
        <v>1486</v>
      </c>
      <c r="B491" t="s">
        <v>1494</v>
      </c>
      <c r="C491" t="s">
        <v>1495</v>
      </c>
      <c r="D491" t="s">
        <v>562</v>
      </c>
      <c r="E491" t="s">
        <v>1605</v>
      </c>
      <c r="F491" t="s">
        <v>562</v>
      </c>
      <c r="G491" t="s">
        <v>562</v>
      </c>
      <c r="H491" t="s">
        <v>562</v>
      </c>
      <c r="I491">
        <v>3840</v>
      </c>
      <c r="J491" t="s">
        <v>564</v>
      </c>
      <c r="K491" s="698">
        <v>45957.446527777778</v>
      </c>
      <c r="L491" s="698">
        <v>45957.446527777778</v>
      </c>
      <c r="M491" t="s">
        <v>565</v>
      </c>
      <c r="N491" t="s">
        <v>565</v>
      </c>
      <c r="O491" t="s">
        <v>566</v>
      </c>
      <c r="P491" t="s">
        <v>567</v>
      </c>
      <c r="S491" t="s">
        <v>567</v>
      </c>
      <c r="T491" t="s">
        <v>567</v>
      </c>
      <c r="Z491" t="s">
        <v>568</v>
      </c>
      <c r="AA491" t="s">
        <v>568</v>
      </c>
      <c r="AC491" t="str">
        <v>Stella Nova Condo Corp 0414396</v>
      </c>
    </row>
    <row r="492" spans="1:29">
      <c r="A492" t="s">
        <v>1486</v>
      </c>
      <c r="B492" t="s">
        <v>1494</v>
      </c>
      <c r="C492" t="s">
        <v>1563</v>
      </c>
      <c r="D492" t="s">
        <v>562</v>
      </c>
      <c r="E492" t="s">
        <v>1606</v>
      </c>
      <c r="F492" t="s">
        <v>562</v>
      </c>
      <c r="G492" t="s">
        <v>562</v>
      </c>
      <c r="H492" t="s">
        <v>562</v>
      </c>
      <c r="I492">
        <v>3845</v>
      </c>
      <c r="J492" t="s">
        <v>564</v>
      </c>
      <c r="K492" s="698">
        <v>45957.447222222225</v>
      </c>
      <c r="L492" s="698">
        <v>45957.447222222225</v>
      </c>
      <c r="M492" t="s">
        <v>565</v>
      </c>
      <c r="N492" t="s">
        <v>565</v>
      </c>
      <c r="O492" t="s">
        <v>566</v>
      </c>
      <c r="P492" t="s">
        <v>567</v>
      </c>
      <c r="S492" t="s">
        <v>567</v>
      </c>
      <c r="T492" t="s">
        <v>567</v>
      </c>
      <c r="Z492" t="s">
        <v>568</v>
      </c>
      <c r="AA492" t="s">
        <v>568</v>
      </c>
      <c r="AC492" t="str">
        <v>Stephen Lefebre</v>
      </c>
    </row>
    <row r="493" spans="1:29">
      <c r="A493" t="s">
        <v>1486</v>
      </c>
      <c r="B493" t="s">
        <v>1547</v>
      </c>
      <c r="C493" t="s">
        <v>1495</v>
      </c>
      <c r="D493" t="s">
        <v>562</v>
      </c>
      <c r="E493" t="s">
        <v>1607</v>
      </c>
      <c r="F493" t="s">
        <v>562</v>
      </c>
      <c r="G493" t="s">
        <v>562</v>
      </c>
      <c r="H493" t="s">
        <v>562</v>
      </c>
      <c r="I493">
        <v>3858</v>
      </c>
      <c r="J493" t="s">
        <v>564</v>
      </c>
      <c r="K493" s="698">
        <v>45957.448611111111</v>
      </c>
      <c r="L493" s="698">
        <v>45957.448611111111</v>
      </c>
      <c r="M493" t="s">
        <v>565</v>
      </c>
      <c r="N493" t="s">
        <v>565</v>
      </c>
      <c r="O493" t="s">
        <v>566</v>
      </c>
      <c r="P493" t="s">
        <v>567</v>
      </c>
      <c r="S493" t="s">
        <v>567</v>
      </c>
      <c r="T493" t="s">
        <v>567</v>
      </c>
      <c r="Z493" t="s">
        <v>568</v>
      </c>
      <c r="AA493" t="s">
        <v>568</v>
      </c>
      <c r="AC493" t="str">
        <v>Stephen Vardy</v>
      </c>
    </row>
    <row r="494" spans="1:29">
      <c r="A494" t="s">
        <v>1486</v>
      </c>
      <c r="B494" t="s">
        <v>1541</v>
      </c>
      <c r="C494" t="s">
        <v>1526</v>
      </c>
      <c r="D494" t="s">
        <v>562</v>
      </c>
      <c r="E494" t="s">
        <v>1608</v>
      </c>
      <c r="F494" t="s">
        <v>562</v>
      </c>
      <c r="G494" t="s">
        <v>562</v>
      </c>
      <c r="H494" t="s">
        <v>562</v>
      </c>
      <c r="I494">
        <v>3860</v>
      </c>
      <c r="J494" t="s">
        <v>564</v>
      </c>
      <c r="K494" s="698">
        <v>45957.448611111111</v>
      </c>
      <c r="L494" s="698">
        <v>45957.448611111111</v>
      </c>
      <c r="M494" t="s">
        <v>565</v>
      </c>
      <c r="N494" t="s">
        <v>565</v>
      </c>
      <c r="O494" t="s">
        <v>566</v>
      </c>
      <c r="P494" t="s">
        <v>567</v>
      </c>
      <c r="S494" t="s">
        <v>567</v>
      </c>
      <c r="T494" t="s">
        <v>567</v>
      </c>
      <c r="Z494" t="s">
        <v>568</v>
      </c>
      <c r="AA494" t="s">
        <v>568</v>
      </c>
      <c r="AC494" t="str">
        <v>Stephenson Engineering Ltd.</v>
      </c>
    </row>
    <row r="495" spans="1:29">
      <c r="A495" t="s">
        <v>1486</v>
      </c>
      <c r="B495" t="s">
        <v>1494</v>
      </c>
      <c r="C495" t="s">
        <v>1495</v>
      </c>
      <c r="D495" t="s">
        <v>562</v>
      </c>
      <c r="E495" t="s">
        <v>1609</v>
      </c>
      <c r="F495" t="s">
        <v>562</v>
      </c>
      <c r="G495" t="s">
        <v>562</v>
      </c>
      <c r="H495" t="s">
        <v>562</v>
      </c>
      <c r="I495">
        <v>3863</v>
      </c>
      <c r="J495" t="s">
        <v>564</v>
      </c>
      <c r="K495" s="698">
        <v>45957.449305555558</v>
      </c>
      <c r="L495" s="698">
        <v>45957.449305555558</v>
      </c>
      <c r="M495" t="s">
        <v>565</v>
      </c>
      <c r="N495" t="s">
        <v>565</v>
      </c>
      <c r="O495" t="s">
        <v>566</v>
      </c>
      <c r="P495" t="s">
        <v>567</v>
      </c>
      <c r="S495" t="s">
        <v>567</v>
      </c>
      <c r="T495" t="s">
        <v>567</v>
      </c>
      <c r="Z495" t="s">
        <v>568</v>
      </c>
      <c r="AA495" t="s">
        <v>568</v>
      </c>
      <c r="AC495" t="str">
        <v>Stewart McMann</v>
      </c>
    </row>
    <row r="496" spans="1:29">
      <c r="A496" t="s">
        <v>1486</v>
      </c>
      <c r="B496" t="s">
        <v>1494</v>
      </c>
      <c r="C496" t="s">
        <v>1495</v>
      </c>
      <c r="D496" t="s">
        <v>562</v>
      </c>
      <c r="E496" t="s">
        <v>1610</v>
      </c>
      <c r="F496" t="s">
        <v>562</v>
      </c>
      <c r="G496" t="s">
        <v>562</v>
      </c>
      <c r="H496" t="s">
        <v>562</v>
      </c>
      <c r="I496">
        <v>3864</v>
      </c>
      <c r="J496" t="s">
        <v>564</v>
      </c>
      <c r="K496" s="698">
        <v>45957.449305555558</v>
      </c>
      <c r="L496" s="698">
        <v>45957.449305555558</v>
      </c>
      <c r="M496" t="s">
        <v>565</v>
      </c>
      <c r="N496" t="s">
        <v>565</v>
      </c>
      <c r="O496" t="s">
        <v>566</v>
      </c>
      <c r="P496" t="s">
        <v>567</v>
      </c>
      <c r="S496" t="s">
        <v>567</v>
      </c>
      <c r="T496" t="s">
        <v>567</v>
      </c>
      <c r="Z496" t="s">
        <v>568</v>
      </c>
      <c r="AA496" t="s">
        <v>568</v>
      </c>
      <c r="AC496" t="str">
        <v>Strategic Centre ( get pre pay)</v>
      </c>
    </row>
    <row r="497" spans="1:29">
      <c r="A497" t="s">
        <v>1486</v>
      </c>
      <c r="B497" t="s">
        <v>1494</v>
      </c>
      <c r="C497" t="s">
        <v>1501</v>
      </c>
      <c r="D497" t="s">
        <v>562</v>
      </c>
      <c r="E497" t="s">
        <v>1611</v>
      </c>
      <c r="F497" t="s">
        <v>562</v>
      </c>
      <c r="G497" t="s">
        <v>562</v>
      </c>
      <c r="H497" t="s">
        <v>562</v>
      </c>
      <c r="I497">
        <v>3865</v>
      </c>
      <c r="J497" t="s">
        <v>564</v>
      </c>
      <c r="K497" s="698">
        <v>45957.449305555558</v>
      </c>
      <c r="L497" s="698">
        <v>45957.449305555558</v>
      </c>
      <c r="M497" t="s">
        <v>565</v>
      </c>
      <c r="N497" t="s">
        <v>565</v>
      </c>
      <c r="O497" t="s">
        <v>566</v>
      </c>
      <c r="P497" t="s">
        <v>567</v>
      </c>
      <c r="S497" t="s">
        <v>567</v>
      </c>
      <c r="T497" t="s">
        <v>567</v>
      </c>
      <c r="Z497" t="s">
        <v>568</v>
      </c>
      <c r="AA497" t="s">
        <v>568</v>
      </c>
      <c r="AC497" t="str">
        <v>Summit Commercial</v>
      </c>
    </row>
    <row r="498" spans="1:29">
      <c r="A498" t="s">
        <v>1486</v>
      </c>
      <c r="B498" t="s">
        <v>1494</v>
      </c>
      <c r="C498" t="s">
        <v>1501</v>
      </c>
      <c r="D498" t="s">
        <v>562</v>
      </c>
      <c r="E498" t="s">
        <v>1612</v>
      </c>
      <c r="F498" t="s">
        <v>562</v>
      </c>
      <c r="G498" t="s">
        <v>562</v>
      </c>
      <c r="H498" t="s">
        <v>562</v>
      </c>
      <c r="I498">
        <v>3866</v>
      </c>
      <c r="J498" t="s">
        <v>564</v>
      </c>
      <c r="K498" s="698">
        <v>45957.449305555558</v>
      </c>
      <c r="L498" s="698">
        <v>45957.449305555558</v>
      </c>
      <c r="M498" t="s">
        <v>565</v>
      </c>
      <c r="N498" t="s">
        <v>565</v>
      </c>
      <c r="O498" t="s">
        <v>566</v>
      </c>
      <c r="P498" t="s">
        <v>567</v>
      </c>
      <c r="S498" t="s">
        <v>567</v>
      </c>
      <c r="T498" t="s">
        <v>567</v>
      </c>
      <c r="Z498" t="s">
        <v>568</v>
      </c>
      <c r="AA498" t="s">
        <v>568</v>
      </c>
      <c r="AC498" t="str">
        <v>Sun Life Assurance Company of Canada</v>
      </c>
    </row>
    <row r="499" spans="1:29">
      <c r="A499" t="s">
        <v>1486</v>
      </c>
      <c r="B499" t="s">
        <v>1541</v>
      </c>
      <c r="C499" t="s">
        <v>1542</v>
      </c>
      <c r="D499" t="s">
        <v>562</v>
      </c>
      <c r="E499" t="s">
        <v>1613</v>
      </c>
      <c r="F499" t="s">
        <v>562</v>
      </c>
      <c r="G499" t="s">
        <v>562</v>
      </c>
      <c r="H499" t="s">
        <v>562</v>
      </c>
      <c r="I499">
        <v>3867</v>
      </c>
      <c r="J499" t="s">
        <v>564</v>
      </c>
      <c r="K499" s="698">
        <v>45957.449305555558</v>
      </c>
      <c r="L499" s="698">
        <v>45957.449305555558</v>
      </c>
      <c r="M499" t="s">
        <v>565</v>
      </c>
      <c r="N499" t="s">
        <v>565</v>
      </c>
      <c r="O499" t="s">
        <v>566</v>
      </c>
      <c r="P499" t="s">
        <v>567</v>
      </c>
      <c r="S499" t="s">
        <v>567</v>
      </c>
      <c r="T499" t="s">
        <v>567</v>
      </c>
      <c r="Z499" t="s">
        <v>568</v>
      </c>
      <c r="AA499" t="s">
        <v>568</v>
      </c>
      <c r="AC499" t="str">
        <v>Sunnyside CCN 8311424</v>
      </c>
    </row>
    <row r="500" spans="1:29">
      <c r="A500" t="s">
        <v>1486</v>
      </c>
      <c r="B500" t="s">
        <v>1614</v>
      </c>
      <c r="C500" t="s">
        <v>1495</v>
      </c>
      <c r="D500" t="s">
        <v>562</v>
      </c>
      <c r="E500" t="s">
        <v>1615</v>
      </c>
      <c r="F500" t="s">
        <v>562</v>
      </c>
      <c r="G500" t="s">
        <v>562</v>
      </c>
      <c r="H500" t="s">
        <v>562</v>
      </c>
      <c r="I500">
        <v>3872</v>
      </c>
      <c r="J500" t="s">
        <v>564</v>
      </c>
      <c r="K500" s="698">
        <v>45957.45</v>
      </c>
      <c r="L500" s="698">
        <v>45957.45</v>
      </c>
      <c r="M500" t="s">
        <v>565</v>
      </c>
      <c r="N500" t="s">
        <v>565</v>
      </c>
      <c r="O500" t="s">
        <v>566</v>
      </c>
      <c r="P500" t="s">
        <v>567</v>
      </c>
      <c r="S500" t="s">
        <v>567</v>
      </c>
      <c r="T500" t="s">
        <v>567</v>
      </c>
      <c r="Z500" t="s">
        <v>568</v>
      </c>
      <c r="AA500" t="s">
        <v>568</v>
      </c>
      <c r="AC500" t="str">
        <v>Sunnyside Condos</v>
      </c>
    </row>
    <row r="501" spans="1:29">
      <c r="A501" t="s">
        <v>1486</v>
      </c>
      <c r="B501" t="s">
        <v>1528</v>
      </c>
      <c r="C501" t="s">
        <v>1526</v>
      </c>
      <c r="D501" t="s">
        <v>562</v>
      </c>
      <c r="E501" t="s">
        <v>1616</v>
      </c>
      <c r="F501" t="s">
        <v>562</v>
      </c>
      <c r="G501" t="s">
        <v>562</v>
      </c>
      <c r="H501" t="s">
        <v>562</v>
      </c>
      <c r="I501">
        <v>3876</v>
      </c>
      <c r="J501" t="s">
        <v>564</v>
      </c>
      <c r="K501" s="698">
        <v>45957.45</v>
      </c>
      <c r="L501" s="698">
        <v>45957.45</v>
      </c>
      <c r="M501" t="s">
        <v>565</v>
      </c>
      <c r="N501" t="s">
        <v>565</v>
      </c>
      <c r="O501" t="s">
        <v>566</v>
      </c>
      <c r="P501" t="s">
        <v>567</v>
      </c>
      <c r="S501" t="s">
        <v>567</v>
      </c>
      <c r="T501" t="s">
        <v>567</v>
      </c>
      <c r="Z501" t="s">
        <v>568</v>
      </c>
      <c r="AA501" t="s">
        <v>568</v>
      </c>
      <c r="AC501" t="str">
        <v>Sunnyside Greenhouse</v>
      </c>
    </row>
    <row r="502" spans="1:29">
      <c r="A502" t="s">
        <v>1486</v>
      </c>
      <c r="B502" t="s">
        <v>1528</v>
      </c>
      <c r="C502" t="s">
        <v>1534</v>
      </c>
      <c r="D502" t="s">
        <v>562</v>
      </c>
      <c r="E502" t="s">
        <v>1617</v>
      </c>
      <c r="F502" t="s">
        <v>562</v>
      </c>
      <c r="G502" t="s">
        <v>562</v>
      </c>
      <c r="H502" t="s">
        <v>562</v>
      </c>
      <c r="I502">
        <v>3886</v>
      </c>
      <c r="J502" t="s">
        <v>564</v>
      </c>
      <c r="K502" s="698">
        <v>45957.451388888891</v>
      </c>
      <c r="L502" s="698">
        <v>45957.451388888891</v>
      </c>
      <c r="M502" t="s">
        <v>565</v>
      </c>
      <c r="N502" t="s">
        <v>565</v>
      </c>
      <c r="O502" t="s">
        <v>566</v>
      </c>
      <c r="P502" t="s">
        <v>567</v>
      </c>
      <c r="S502" t="s">
        <v>567</v>
      </c>
      <c r="T502" t="s">
        <v>567</v>
      </c>
      <c r="Z502" t="s">
        <v>568</v>
      </c>
      <c r="AA502" t="s">
        <v>568</v>
      </c>
      <c r="AC502" t="str">
        <v>Sunward Investments Ltd</v>
      </c>
    </row>
    <row r="503" spans="1:29">
      <c r="A503" t="s">
        <v>1486</v>
      </c>
      <c r="B503" t="s">
        <v>1494</v>
      </c>
      <c r="C503" t="s">
        <v>1495</v>
      </c>
      <c r="D503" t="s">
        <v>562</v>
      </c>
      <c r="E503" t="s">
        <v>1618</v>
      </c>
      <c r="F503" t="s">
        <v>562</v>
      </c>
      <c r="G503" t="s">
        <v>562</v>
      </c>
      <c r="H503" t="s">
        <v>562</v>
      </c>
      <c r="I503">
        <v>3889</v>
      </c>
      <c r="J503" t="s">
        <v>564</v>
      </c>
      <c r="K503" s="698">
        <v>45957.451388888891</v>
      </c>
      <c r="L503" s="698">
        <v>45957.451388888891</v>
      </c>
      <c r="M503" t="s">
        <v>565</v>
      </c>
      <c r="N503" t="s">
        <v>565</v>
      </c>
      <c r="O503" t="s">
        <v>566</v>
      </c>
      <c r="P503" t="s">
        <v>567</v>
      </c>
      <c r="S503" t="s">
        <v>567</v>
      </c>
      <c r="T503" t="s">
        <v>567</v>
      </c>
      <c r="Z503" t="s">
        <v>568</v>
      </c>
      <c r="AA503" t="s">
        <v>568</v>
      </c>
      <c r="AC503" t="str">
        <v>Superior Roofing Ltd</v>
      </c>
    </row>
    <row r="504" spans="1:29">
      <c r="A504" t="s">
        <v>1486</v>
      </c>
      <c r="B504" t="s">
        <v>1538</v>
      </c>
      <c r="C504" t="s">
        <v>1539</v>
      </c>
      <c r="D504" t="s">
        <v>562</v>
      </c>
      <c r="E504" t="s">
        <v>1619</v>
      </c>
      <c r="F504" t="s">
        <v>562</v>
      </c>
      <c r="G504" t="s">
        <v>562</v>
      </c>
      <c r="H504" t="s">
        <v>562</v>
      </c>
      <c r="I504">
        <v>3896</v>
      </c>
      <c r="J504" t="s">
        <v>564</v>
      </c>
      <c r="K504" s="698">
        <v>45957.45208333333</v>
      </c>
      <c r="L504" s="698">
        <v>45957.45208333333</v>
      </c>
      <c r="M504" t="s">
        <v>565</v>
      </c>
      <c r="N504" t="s">
        <v>565</v>
      </c>
      <c r="O504" t="s">
        <v>566</v>
      </c>
      <c r="P504" t="s">
        <v>567</v>
      </c>
      <c r="S504" t="s">
        <v>567</v>
      </c>
      <c r="T504" t="s">
        <v>567</v>
      </c>
      <c r="Z504" t="s">
        <v>568</v>
      </c>
      <c r="AA504" t="s">
        <v>568</v>
      </c>
      <c r="AC504" t="str">
        <v>Sure Hire</v>
      </c>
    </row>
    <row r="505" spans="1:29">
      <c r="A505" t="s">
        <v>1486</v>
      </c>
      <c r="B505" t="s">
        <v>1494</v>
      </c>
      <c r="C505" t="s">
        <v>1549</v>
      </c>
      <c r="D505" t="s">
        <v>562</v>
      </c>
      <c r="E505" t="s">
        <v>1620</v>
      </c>
      <c r="F505" t="s">
        <v>562</v>
      </c>
      <c r="G505" t="s">
        <v>562</v>
      </c>
      <c r="H505" t="s">
        <v>562</v>
      </c>
      <c r="I505">
        <v>3897</v>
      </c>
      <c r="J505" t="s">
        <v>564</v>
      </c>
      <c r="K505" s="698">
        <v>45957.45208333333</v>
      </c>
      <c r="L505" s="698">
        <v>45957.45208333333</v>
      </c>
      <c r="M505" t="s">
        <v>565</v>
      </c>
      <c r="N505" t="s">
        <v>565</v>
      </c>
      <c r="O505" t="s">
        <v>566</v>
      </c>
      <c r="P505" t="s">
        <v>567</v>
      </c>
      <c r="S505" t="s">
        <v>567</v>
      </c>
      <c r="T505" t="s">
        <v>567</v>
      </c>
      <c r="Z505" t="s">
        <v>568</v>
      </c>
      <c r="AA505" t="s">
        <v>568</v>
      </c>
      <c r="AC505" t="str">
        <v>Susan Rafaat</v>
      </c>
    </row>
    <row r="506" spans="1:29">
      <c r="A506" t="s">
        <v>1486</v>
      </c>
      <c r="B506" t="s">
        <v>1541</v>
      </c>
      <c r="C506" t="s">
        <v>1621</v>
      </c>
      <c r="D506" t="s">
        <v>562</v>
      </c>
      <c r="E506" t="s">
        <v>1622</v>
      </c>
      <c r="F506" t="s">
        <v>562</v>
      </c>
      <c r="G506" t="s">
        <v>562</v>
      </c>
      <c r="H506" t="s">
        <v>562</v>
      </c>
      <c r="I506">
        <v>3900</v>
      </c>
      <c r="J506" t="s">
        <v>564</v>
      </c>
      <c r="K506" s="698">
        <v>45957.452777777777</v>
      </c>
      <c r="L506" s="698">
        <v>45957.452777777777</v>
      </c>
      <c r="M506" t="s">
        <v>565</v>
      </c>
      <c r="N506" t="s">
        <v>565</v>
      </c>
      <c r="O506" t="s">
        <v>566</v>
      </c>
      <c r="P506" t="s">
        <v>567</v>
      </c>
      <c r="S506" t="s">
        <v>567</v>
      </c>
      <c r="T506" t="s">
        <v>567</v>
      </c>
      <c r="Z506" t="s">
        <v>568</v>
      </c>
      <c r="AA506" t="s">
        <v>568</v>
      </c>
      <c r="AC506" t="str">
        <v>Syncon Management Ltd</v>
      </c>
    </row>
    <row r="507" spans="1:29">
      <c r="A507" t="s">
        <v>1486</v>
      </c>
      <c r="B507" t="s">
        <v>1494</v>
      </c>
      <c r="C507" t="s">
        <v>1504</v>
      </c>
      <c r="D507" t="s">
        <v>562</v>
      </c>
      <c r="E507" t="s">
        <v>1623</v>
      </c>
      <c r="F507" t="s">
        <v>562</v>
      </c>
      <c r="G507" t="s">
        <v>562</v>
      </c>
      <c r="H507" t="s">
        <v>562</v>
      </c>
      <c r="I507">
        <v>3901</v>
      </c>
      <c r="J507" t="s">
        <v>564</v>
      </c>
      <c r="K507" s="698">
        <v>45957.452777777777</v>
      </c>
      <c r="L507" s="698">
        <v>45957.452777777777</v>
      </c>
      <c r="M507" t="s">
        <v>565</v>
      </c>
      <c r="N507" t="s">
        <v>565</v>
      </c>
      <c r="O507" t="s">
        <v>566</v>
      </c>
      <c r="P507" t="s">
        <v>567</v>
      </c>
      <c r="S507" t="s">
        <v>567</v>
      </c>
      <c r="T507" t="s">
        <v>567</v>
      </c>
      <c r="Z507" t="s">
        <v>568</v>
      </c>
      <c r="AA507" t="s">
        <v>568</v>
      </c>
      <c r="AC507" t="str">
        <v>Synergy Skyline LP</v>
      </c>
    </row>
    <row r="508" spans="1:29">
      <c r="A508" t="s">
        <v>1486</v>
      </c>
      <c r="B508" t="s">
        <v>1494</v>
      </c>
      <c r="C508" t="s">
        <v>1495</v>
      </c>
      <c r="D508" t="s">
        <v>562</v>
      </c>
      <c r="E508" t="s">
        <v>1624</v>
      </c>
      <c r="F508" t="s">
        <v>562</v>
      </c>
      <c r="G508" t="s">
        <v>562</v>
      </c>
      <c r="H508" t="s">
        <v>562</v>
      </c>
      <c r="I508">
        <v>3902</v>
      </c>
      <c r="J508" t="s">
        <v>564</v>
      </c>
      <c r="K508" s="698">
        <v>45957.452777777777</v>
      </c>
      <c r="L508" s="698">
        <v>45957.452777777777</v>
      </c>
      <c r="M508" t="s">
        <v>565</v>
      </c>
      <c r="N508" t="s">
        <v>565</v>
      </c>
      <c r="O508" t="s">
        <v>566</v>
      </c>
      <c r="P508" t="s">
        <v>567</v>
      </c>
      <c r="S508" t="s">
        <v>567</v>
      </c>
      <c r="T508" t="s">
        <v>567</v>
      </c>
      <c r="Z508" t="s">
        <v>568</v>
      </c>
      <c r="AA508" t="s">
        <v>568</v>
      </c>
      <c r="AC508" t="str">
        <v>TA Alberta Hydro LP</v>
      </c>
    </row>
    <row r="509" spans="1:29">
      <c r="A509" t="s">
        <v>1486</v>
      </c>
      <c r="B509" t="s">
        <v>1494</v>
      </c>
      <c r="C509" t="s">
        <v>1549</v>
      </c>
      <c r="D509" t="s">
        <v>562</v>
      </c>
      <c r="E509" t="s">
        <v>1625</v>
      </c>
      <c r="F509" t="s">
        <v>562</v>
      </c>
      <c r="G509" t="s">
        <v>562</v>
      </c>
      <c r="H509" t="s">
        <v>562</v>
      </c>
      <c r="I509">
        <v>3903</v>
      </c>
      <c r="J509" t="s">
        <v>564</v>
      </c>
      <c r="K509" s="698">
        <v>45957.452777777777</v>
      </c>
      <c r="L509" s="698">
        <v>45957.452777777777</v>
      </c>
      <c r="M509" t="s">
        <v>565</v>
      </c>
      <c r="N509" t="s">
        <v>565</v>
      </c>
      <c r="O509" t="s">
        <v>566</v>
      </c>
      <c r="P509" t="s">
        <v>567</v>
      </c>
      <c r="S509" t="s">
        <v>567</v>
      </c>
      <c r="T509" t="s">
        <v>567</v>
      </c>
      <c r="Z509" t="s">
        <v>568</v>
      </c>
      <c r="AA509" t="s">
        <v>568</v>
      </c>
      <c r="AC509" t="str">
        <v>Tally Construction Corp.</v>
      </c>
    </row>
    <row r="510" spans="1:29">
      <c r="A510" t="s">
        <v>1486</v>
      </c>
      <c r="B510" t="s">
        <v>1528</v>
      </c>
      <c r="C510" t="s">
        <v>1563</v>
      </c>
      <c r="D510" t="s">
        <v>562</v>
      </c>
      <c r="E510" t="s">
        <v>1626</v>
      </c>
      <c r="F510" t="s">
        <v>562</v>
      </c>
      <c r="G510" t="s">
        <v>562</v>
      </c>
      <c r="H510" t="s">
        <v>562</v>
      </c>
      <c r="I510">
        <v>3904</v>
      </c>
      <c r="J510" t="s">
        <v>564</v>
      </c>
      <c r="K510" s="698">
        <v>45957.453472222223</v>
      </c>
      <c r="L510" s="698">
        <v>45957.453472222223</v>
      </c>
      <c r="M510" t="s">
        <v>565</v>
      </c>
      <c r="N510" t="s">
        <v>565</v>
      </c>
      <c r="O510" t="s">
        <v>566</v>
      </c>
      <c r="P510" t="s">
        <v>567</v>
      </c>
      <c r="S510" t="s">
        <v>567</v>
      </c>
      <c r="T510" t="s">
        <v>567</v>
      </c>
      <c r="Z510" t="s">
        <v>568</v>
      </c>
      <c r="AA510" t="s">
        <v>568</v>
      </c>
      <c r="AC510" t="str">
        <v>Taylor Carcasole</v>
      </c>
    </row>
    <row r="511" spans="1:29">
      <c r="A511" t="s">
        <v>1486</v>
      </c>
      <c r="B511" t="s">
        <v>1494</v>
      </c>
      <c r="C511" t="s">
        <v>1495</v>
      </c>
      <c r="D511" t="s">
        <v>562</v>
      </c>
      <c r="E511" t="s">
        <v>1627</v>
      </c>
      <c r="F511" t="s">
        <v>562</v>
      </c>
      <c r="G511" t="s">
        <v>562</v>
      </c>
      <c r="H511" t="s">
        <v>562</v>
      </c>
      <c r="I511">
        <v>3905</v>
      </c>
      <c r="J511" t="s">
        <v>564</v>
      </c>
      <c r="K511" s="698">
        <v>45957.453472222223</v>
      </c>
      <c r="L511" s="698">
        <v>45957.453472222223</v>
      </c>
      <c r="M511" t="s">
        <v>565</v>
      </c>
      <c r="N511" t="s">
        <v>565</v>
      </c>
      <c r="O511" t="s">
        <v>566</v>
      </c>
      <c r="P511" t="s">
        <v>567</v>
      </c>
      <c r="S511" t="s">
        <v>567</v>
      </c>
      <c r="T511" t="s">
        <v>567</v>
      </c>
      <c r="Z511" t="s">
        <v>568</v>
      </c>
      <c r="AA511" t="s">
        <v>568</v>
      </c>
      <c r="AC511" t="str">
        <v>Terago</v>
      </c>
    </row>
    <row r="512" spans="1:29">
      <c r="A512" t="s">
        <v>1486</v>
      </c>
      <c r="B512" t="s">
        <v>1547</v>
      </c>
      <c r="C512" t="s">
        <v>1495</v>
      </c>
      <c r="D512" t="s">
        <v>562</v>
      </c>
      <c r="E512" t="s">
        <v>1628</v>
      </c>
      <c r="F512" t="s">
        <v>562</v>
      </c>
      <c r="G512" t="s">
        <v>562</v>
      </c>
      <c r="H512" t="s">
        <v>562</v>
      </c>
      <c r="I512">
        <v>3906</v>
      </c>
      <c r="J512" t="s">
        <v>564</v>
      </c>
      <c r="K512" s="698">
        <v>45957.453472222223</v>
      </c>
      <c r="L512" s="698">
        <v>45957.453472222223</v>
      </c>
      <c r="M512" t="s">
        <v>565</v>
      </c>
      <c r="N512" t="s">
        <v>565</v>
      </c>
      <c r="O512" t="s">
        <v>566</v>
      </c>
      <c r="P512" t="s">
        <v>567</v>
      </c>
      <c r="S512" t="s">
        <v>567</v>
      </c>
      <c r="T512" t="s">
        <v>567</v>
      </c>
      <c r="Z512" t="s">
        <v>568</v>
      </c>
      <c r="AA512" t="s">
        <v>568</v>
      </c>
      <c r="AC512" t="str">
        <v>TFI International Inc.</v>
      </c>
    </row>
    <row r="513" spans="1:29">
      <c r="A513" t="s">
        <v>1486</v>
      </c>
      <c r="B513" t="s">
        <v>1494</v>
      </c>
      <c r="C513" t="s">
        <v>1501</v>
      </c>
      <c r="D513" t="s">
        <v>562</v>
      </c>
      <c r="E513" t="s">
        <v>1629</v>
      </c>
      <c r="F513" t="s">
        <v>562</v>
      </c>
      <c r="G513" t="s">
        <v>562</v>
      </c>
      <c r="H513" t="s">
        <v>562</v>
      </c>
      <c r="I513">
        <v>3907</v>
      </c>
      <c r="J513" t="s">
        <v>564</v>
      </c>
      <c r="K513" s="698">
        <v>45957.453472222223</v>
      </c>
      <c r="L513" s="698">
        <v>45957.453472222223</v>
      </c>
      <c r="M513" t="s">
        <v>565</v>
      </c>
      <c r="N513" t="s">
        <v>565</v>
      </c>
      <c r="O513" t="s">
        <v>566</v>
      </c>
      <c r="P513" t="s">
        <v>567</v>
      </c>
      <c r="S513" t="s">
        <v>567</v>
      </c>
      <c r="T513" t="s">
        <v>567</v>
      </c>
      <c r="Z513" t="s">
        <v>568</v>
      </c>
      <c r="AA513" t="s">
        <v>568</v>
      </c>
      <c r="AC513" t="str">
        <v>The Alex</v>
      </c>
    </row>
    <row r="514" spans="1:29">
      <c r="A514" t="s">
        <v>1486</v>
      </c>
      <c r="B514" t="s">
        <v>1494</v>
      </c>
      <c r="C514" t="s">
        <v>1504</v>
      </c>
      <c r="D514" t="s">
        <v>562</v>
      </c>
      <c r="E514" t="s">
        <v>1630</v>
      </c>
      <c r="F514" t="s">
        <v>562</v>
      </c>
      <c r="G514" t="s">
        <v>562</v>
      </c>
      <c r="H514" t="s">
        <v>562</v>
      </c>
      <c r="I514">
        <v>3908</v>
      </c>
      <c r="J514" t="s">
        <v>564</v>
      </c>
      <c r="K514" s="698">
        <v>45957.453472222223</v>
      </c>
      <c r="L514" s="698">
        <v>45957.453472222223</v>
      </c>
      <c r="M514" t="s">
        <v>565</v>
      </c>
      <c r="N514" t="s">
        <v>565</v>
      </c>
      <c r="O514" t="s">
        <v>566</v>
      </c>
      <c r="P514" t="s">
        <v>567</v>
      </c>
      <c r="S514" t="s">
        <v>567</v>
      </c>
      <c r="T514" t="s">
        <v>567</v>
      </c>
      <c r="Z514" t="s">
        <v>568</v>
      </c>
      <c r="AA514" t="s">
        <v>568</v>
      </c>
      <c r="AC514" t="str">
        <v>The Banff Centre</v>
      </c>
    </row>
    <row r="515" spans="1:29">
      <c r="A515" t="s">
        <v>1486</v>
      </c>
      <c r="B515" t="s">
        <v>1494</v>
      </c>
      <c r="C515" t="s">
        <v>1504</v>
      </c>
      <c r="D515" t="s">
        <v>562</v>
      </c>
      <c r="E515" t="s">
        <v>1631</v>
      </c>
      <c r="F515" t="s">
        <v>562</v>
      </c>
      <c r="G515" t="s">
        <v>562</v>
      </c>
      <c r="H515" t="s">
        <v>562</v>
      </c>
      <c r="I515">
        <v>3913</v>
      </c>
      <c r="J515" t="s">
        <v>564</v>
      </c>
      <c r="K515" s="698">
        <v>45957.45416666667</v>
      </c>
      <c r="L515" s="698">
        <v>45957.45416666667</v>
      </c>
      <c r="M515" t="s">
        <v>565</v>
      </c>
      <c r="N515" t="s">
        <v>565</v>
      </c>
      <c r="O515" t="s">
        <v>566</v>
      </c>
      <c r="P515" t="s">
        <v>567</v>
      </c>
      <c r="S515" t="s">
        <v>567</v>
      </c>
      <c r="T515" t="s">
        <v>567</v>
      </c>
      <c r="Z515" t="s">
        <v>568</v>
      </c>
      <c r="AA515" t="s">
        <v>568</v>
      </c>
      <c r="AC515" t="str">
        <v>The Budal Group</v>
      </c>
    </row>
    <row r="516" spans="1:29">
      <c r="A516" t="s">
        <v>1486</v>
      </c>
      <c r="B516" t="s">
        <v>1494</v>
      </c>
      <c r="C516" t="s">
        <v>1495</v>
      </c>
      <c r="D516" t="s">
        <v>562</v>
      </c>
      <c r="E516" t="s">
        <v>1632</v>
      </c>
      <c r="F516" t="s">
        <v>562</v>
      </c>
      <c r="G516" t="s">
        <v>562</v>
      </c>
      <c r="H516" t="s">
        <v>562</v>
      </c>
      <c r="I516">
        <v>3914</v>
      </c>
      <c r="J516" t="s">
        <v>564</v>
      </c>
      <c r="K516" s="698">
        <v>45957.45416666667</v>
      </c>
      <c r="L516" s="698">
        <v>45957.45416666667</v>
      </c>
      <c r="M516" t="s">
        <v>565</v>
      </c>
      <c r="N516" t="s">
        <v>565</v>
      </c>
      <c r="O516" t="s">
        <v>566</v>
      </c>
      <c r="P516" t="s">
        <v>567</v>
      </c>
      <c r="S516" t="s">
        <v>567</v>
      </c>
      <c r="T516" t="s">
        <v>567</v>
      </c>
      <c r="Z516" t="s">
        <v>568</v>
      </c>
      <c r="AA516" t="s">
        <v>568</v>
      </c>
      <c r="AC516" t="str">
        <v>The Calgary Airport Authority</v>
      </c>
    </row>
    <row r="517" spans="1:29">
      <c r="A517" t="s">
        <v>1486</v>
      </c>
      <c r="B517" t="s">
        <v>1541</v>
      </c>
      <c r="C517" t="s">
        <v>1542</v>
      </c>
      <c r="D517" t="s">
        <v>562</v>
      </c>
      <c r="E517" t="s">
        <v>1633</v>
      </c>
      <c r="F517" t="s">
        <v>562</v>
      </c>
      <c r="G517" t="s">
        <v>562</v>
      </c>
      <c r="H517" t="s">
        <v>562</v>
      </c>
      <c r="I517">
        <v>3916</v>
      </c>
      <c r="J517" t="s">
        <v>564</v>
      </c>
      <c r="K517" s="698">
        <v>45957.45416666667</v>
      </c>
      <c r="L517" s="698">
        <v>45957.45416666667</v>
      </c>
      <c r="M517" t="s">
        <v>565</v>
      </c>
      <c r="N517" t="s">
        <v>565</v>
      </c>
      <c r="O517" t="s">
        <v>566</v>
      </c>
      <c r="P517" t="s">
        <v>567</v>
      </c>
      <c r="S517" t="s">
        <v>567</v>
      </c>
      <c r="T517" t="s">
        <v>567</v>
      </c>
      <c r="Z517" t="s">
        <v>568</v>
      </c>
      <c r="AA517" t="s">
        <v>568</v>
      </c>
      <c r="AC517" t="str">
        <v>The Canals Mall</v>
      </c>
    </row>
    <row r="518" spans="1:29">
      <c r="A518" t="s">
        <v>1486</v>
      </c>
      <c r="B518" t="s">
        <v>1494</v>
      </c>
      <c r="C518" t="s">
        <v>1531</v>
      </c>
      <c r="D518" t="s">
        <v>562</v>
      </c>
      <c r="E518" t="s">
        <v>1634</v>
      </c>
      <c r="F518" t="s">
        <v>562</v>
      </c>
      <c r="G518" t="s">
        <v>562</v>
      </c>
      <c r="H518" t="s">
        <v>562</v>
      </c>
      <c r="I518">
        <v>3917</v>
      </c>
      <c r="J518" t="s">
        <v>564</v>
      </c>
      <c r="K518" s="698">
        <v>45957.454861111109</v>
      </c>
      <c r="L518" s="698">
        <v>45957.454861111109</v>
      </c>
      <c r="M518" t="s">
        <v>565</v>
      </c>
      <c r="N518" t="s">
        <v>565</v>
      </c>
      <c r="O518" t="s">
        <v>566</v>
      </c>
      <c r="P518" t="s">
        <v>567</v>
      </c>
      <c r="S518" t="s">
        <v>567</v>
      </c>
      <c r="T518" t="s">
        <v>567</v>
      </c>
      <c r="Z518" t="s">
        <v>568</v>
      </c>
      <c r="AA518" t="s">
        <v>568</v>
      </c>
      <c r="AC518" t="str">
        <v>The Excelsior</v>
      </c>
    </row>
    <row r="519" spans="1:29">
      <c r="A519" t="s">
        <v>1486</v>
      </c>
      <c r="B519" t="s">
        <v>1528</v>
      </c>
      <c r="C519" t="s">
        <v>1582</v>
      </c>
      <c r="D519" t="s">
        <v>562</v>
      </c>
      <c r="E519" t="s">
        <v>1635</v>
      </c>
      <c r="F519" t="s">
        <v>562</v>
      </c>
      <c r="G519" t="s">
        <v>562</v>
      </c>
      <c r="H519" t="s">
        <v>562</v>
      </c>
      <c r="I519">
        <v>3938</v>
      </c>
      <c r="J519" t="s">
        <v>564</v>
      </c>
      <c r="K519" s="698">
        <v>45957.456944444442</v>
      </c>
      <c r="L519" s="698">
        <v>45957.456944444442</v>
      </c>
      <c r="M519" t="s">
        <v>565</v>
      </c>
      <c r="N519" t="s">
        <v>565</v>
      </c>
      <c r="O519" t="s">
        <v>566</v>
      </c>
      <c r="P519" t="s">
        <v>567</v>
      </c>
      <c r="S519" t="s">
        <v>567</v>
      </c>
      <c r="T519" t="s">
        <v>567</v>
      </c>
      <c r="Z519" t="s">
        <v>568</v>
      </c>
      <c r="AA519" t="s">
        <v>568</v>
      </c>
      <c r="AC519" t="str">
        <v>The Garrison Pub &amp; Eatery</v>
      </c>
    </row>
    <row r="520" spans="1:29">
      <c r="A520" t="s">
        <v>1486</v>
      </c>
      <c r="B520" t="s">
        <v>1572</v>
      </c>
      <c r="C520" t="s">
        <v>1553</v>
      </c>
      <c r="D520" t="s">
        <v>562</v>
      </c>
      <c r="E520" t="s">
        <v>1490</v>
      </c>
      <c r="F520" t="s">
        <v>562</v>
      </c>
      <c r="G520" t="s">
        <v>562</v>
      </c>
      <c r="H520" t="s">
        <v>562</v>
      </c>
      <c r="I520">
        <v>3958</v>
      </c>
      <c r="J520" t="s">
        <v>564</v>
      </c>
      <c r="K520" s="698">
        <v>45957.459027777775</v>
      </c>
      <c r="L520" s="698">
        <v>45957.459027777775</v>
      </c>
      <c r="M520" t="s">
        <v>565</v>
      </c>
      <c r="N520" t="s">
        <v>565</v>
      </c>
      <c r="O520" t="s">
        <v>566</v>
      </c>
      <c r="P520" t="s">
        <v>567</v>
      </c>
      <c r="S520" t="s">
        <v>567</v>
      </c>
      <c r="T520" t="s">
        <v>567</v>
      </c>
      <c r="Z520" t="s">
        <v>568</v>
      </c>
      <c r="AA520" t="s">
        <v>568</v>
      </c>
      <c r="AC520" t="str">
        <v>The Grand View</v>
      </c>
    </row>
    <row r="521" spans="1:29">
      <c r="A521" t="s">
        <v>1486</v>
      </c>
      <c r="B521" t="s">
        <v>1497</v>
      </c>
      <c r="C521" t="s">
        <v>1498</v>
      </c>
      <c r="D521" t="s">
        <v>562</v>
      </c>
      <c r="E521" t="s">
        <v>1636</v>
      </c>
      <c r="F521" t="s">
        <v>562</v>
      </c>
      <c r="G521" t="s">
        <v>562</v>
      </c>
      <c r="H521" t="s">
        <v>562</v>
      </c>
      <c r="I521">
        <v>4017</v>
      </c>
      <c r="J521" t="s">
        <v>564</v>
      </c>
      <c r="K521" s="698">
        <v>45957.466666666667</v>
      </c>
      <c r="L521" s="698">
        <v>45957.466666666667</v>
      </c>
      <c r="M521" t="s">
        <v>565</v>
      </c>
      <c r="N521" t="s">
        <v>565</v>
      </c>
      <c r="O521" t="s">
        <v>566</v>
      </c>
      <c r="P521" t="s">
        <v>567</v>
      </c>
      <c r="S521" t="s">
        <v>567</v>
      </c>
      <c r="T521" t="s">
        <v>567</v>
      </c>
      <c r="Z521" t="s">
        <v>568</v>
      </c>
      <c r="AA521" t="s">
        <v>568</v>
      </c>
      <c r="AC521" t="str">
        <v>The Kale Group</v>
      </c>
    </row>
    <row r="522" spans="1:29">
      <c r="A522" t="s">
        <v>1486</v>
      </c>
      <c r="B522" t="s">
        <v>1497</v>
      </c>
      <c r="C522" t="s">
        <v>1498</v>
      </c>
      <c r="D522" t="s">
        <v>562</v>
      </c>
      <c r="E522" t="s">
        <v>1637</v>
      </c>
      <c r="F522" t="s">
        <v>562</v>
      </c>
      <c r="G522" t="s">
        <v>562</v>
      </c>
      <c r="H522" t="s">
        <v>562</v>
      </c>
      <c r="I522">
        <v>4018</v>
      </c>
      <c r="J522" t="s">
        <v>564</v>
      </c>
      <c r="K522" s="698">
        <v>45957.466666666667</v>
      </c>
      <c r="L522" s="698">
        <v>45957.466666666667</v>
      </c>
      <c r="M522" t="s">
        <v>565</v>
      </c>
      <c r="N522" t="s">
        <v>565</v>
      </c>
      <c r="O522" t="s">
        <v>566</v>
      </c>
      <c r="P522" t="s">
        <v>567</v>
      </c>
      <c r="S522" t="s">
        <v>567</v>
      </c>
      <c r="T522" t="s">
        <v>567</v>
      </c>
      <c r="Z522" t="s">
        <v>568</v>
      </c>
      <c r="AA522" t="s">
        <v>568</v>
      </c>
      <c r="AC522" t="str">
        <v>The Restorers Group Inc</v>
      </c>
    </row>
    <row r="523" spans="1:29">
      <c r="A523" t="s">
        <v>1486</v>
      </c>
      <c r="B523" t="s">
        <v>1497</v>
      </c>
      <c r="C523" t="s">
        <v>1498</v>
      </c>
      <c r="D523" t="s">
        <v>562</v>
      </c>
      <c r="E523" t="s">
        <v>1638</v>
      </c>
      <c r="F523" t="s">
        <v>562</v>
      </c>
      <c r="G523" t="s">
        <v>562</v>
      </c>
      <c r="H523" t="s">
        <v>562</v>
      </c>
      <c r="I523">
        <v>4021</v>
      </c>
      <c r="J523" t="s">
        <v>564</v>
      </c>
      <c r="K523" s="698">
        <v>45957.466666666667</v>
      </c>
      <c r="L523" s="698">
        <v>45957.466666666667</v>
      </c>
      <c r="M523" t="s">
        <v>565</v>
      </c>
      <c r="N523" t="s">
        <v>565</v>
      </c>
      <c r="O523" t="s">
        <v>566</v>
      </c>
      <c r="P523" t="s">
        <v>567</v>
      </c>
      <c r="S523" t="s">
        <v>567</v>
      </c>
      <c r="T523" t="s">
        <v>567</v>
      </c>
      <c r="Z523" t="s">
        <v>568</v>
      </c>
      <c r="AA523" t="s">
        <v>568</v>
      </c>
      <c r="AC523" t="str">
        <v>The Skylight Guy Ltd.</v>
      </c>
    </row>
    <row r="524" spans="1:29">
      <c r="A524" t="s">
        <v>1486</v>
      </c>
      <c r="B524" t="s">
        <v>1497</v>
      </c>
      <c r="C524" t="s">
        <v>1498</v>
      </c>
      <c r="D524" t="s">
        <v>562</v>
      </c>
      <c r="E524" t="s">
        <v>1639</v>
      </c>
      <c r="F524" t="s">
        <v>562</v>
      </c>
      <c r="G524" t="s">
        <v>562</v>
      </c>
      <c r="H524" t="s">
        <v>562</v>
      </c>
      <c r="I524">
        <v>4024</v>
      </c>
      <c r="J524" t="s">
        <v>564</v>
      </c>
      <c r="K524" s="698">
        <v>45957.467361111114</v>
      </c>
      <c r="L524" s="698">
        <v>45957.467361111114</v>
      </c>
      <c r="M524" t="s">
        <v>565</v>
      </c>
      <c r="N524" t="s">
        <v>565</v>
      </c>
      <c r="O524" t="s">
        <v>566</v>
      </c>
      <c r="P524" t="s">
        <v>567</v>
      </c>
      <c r="S524" t="s">
        <v>567</v>
      </c>
      <c r="T524" t="s">
        <v>567</v>
      </c>
      <c r="Z524" t="s">
        <v>568</v>
      </c>
      <c r="AA524" t="s">
        <v>568</v>
      </c>
      <c r="AC524" t="str">
        <v>The Tarjan Group</v>
      </c>
    </row>
    <row r="525" spans="1:29">
      <c r="A525" t="s">
        <v>1486</v>
      </c>
      <c r="B525" t="s">
        <v>1497</v>
      </c>
      <c r="C525" t="s">
        <v>1498</v>
      </c>
      <c r="D525" t="s">
        <v>562</v>
      </c>
      <c r="E525" t="s">
        <v>1640</v>
      </c>
      <c r="F525" t="s">
        <v>562</v>
      </c>
      <c r="G525" t="s">
        <v>562</v>
      </c>
      <c r="H525" t="s">
        <v>562</v>
      </c>
      <c r="I525">
        <v>4025</v>
      </c>
      <c r="J525" t="s">
        <v>564</v>
      </c>
      <c r="K525" s="698">
        <v>45957.467361111114</v>
      </c>
      <c r="L525" s="698">
        <v>45957.467361111114</v>
      </c>
      <c r="M525" t="s">
        <v>565</v>
      </c>
      <c r="N525" t="s">
        <v>565</v>
      </c>
      <c r="O525" t="s">
        <v>566</v>
      </c>
      <c r="P525" t="s">
        <v>567</v>
      </c>
      <c r="S525" t="s">
        <v>567</v>
      </c>
      <c r="T525" t="s">
        <v>567</v>
      </c>
      <c r="Z525" t="s">
        <v>568</v>
      </c>
      <c r="AA525" t="s">
        <v>568</v>
      </c>
      <c r="AC525" t="str">
        <v>The Town of Okotoks</v>
      </c>
    </row>
    <row r="526" spans="1:29">
      <c r="A526" t="s">
        <v>1486</v>
      </c>
      <c r="B526" t="s">
        <v>1497</v>
      </c>
      <c r="C526" t="s">
        <v>1498</v>
      </c>
      <c r="D526" t="s">
        <v>562</v>
      </c>
      <c r="E526" t="s">
        <v>1641</v>
      </c>
      <c r="F526" t="s">
        <v>562</v>
      </c>
      <c r="G526" t="s">
        <v>562</v>
      </c>
      <c r="H526" t="s">
        <v>562</v>
      </c>
      <c r="I526">
        <v>4026</v>
      </c>
      <c r="J526" t="s">
        <v>564</v>
      </c>
      <c r="K526" s="698">
        <v>45957.467361111114</v>
      </c>
      <c r="L526" s="698">
        <v>45957.467361111114</v>
      </c>
      <c r="M526" t="s">
        <v>565</v>
      </c>
      <c r="N526" t="s">
        <v>565</v>
      </c>
      <c r="O526" t="s">
        <v>566</v>
      </c>
      <c r="P526" t="s">
        <v>567</v>
      </c>
      <c r="S526" t="s">
        <v>567</v>
      </c>
      <c r="T526" t="s">
        <v>567</v>
      </c>
      <c r="Z526" t="s">
        <v>568</v>
      </c>
      <c r="AA526" t="s">
        <v>568</v>
      </c>
      <c r="AC526" t="str">
        <v>The Town of Strathmore</v>
      </c>
    </row>
    <row r="527" spans="1:29">
      <c r="A527" t="s">
        <v>1486</v>
      </c>
      <c r="B527" t="s">
        <v>1497</v>
      </c>
      <c r="C527" t="s">
        <v>1498</v>
      </c>
      <c r="D527" t="s">
        <v>562</v>
      </c>
      <c r="E527" t="s">
        <v>1642</v>
      </c>
      <c r="F527" t="s">
        <v>562</v>
      </c>
      <c r="G527" t="s">
        <v>562</v>
      </c>
      <c r="H527" t="s">
        <v>562</v>
      </c>
      <c r="I527">
        <v>4027</v>
      </c>
      <c r="J527" t="s">
        <v>564</v>
      </c>
      <c r="K527" s="698">
        <v>45957.467361111114</v>
      </c>
      <c r="L527" s="698">
        <v>45957.467361111114</v>
      </c>
      <c r="M527" t="s">
        <v>565</v>
      </c>
      <c r="N527" t="s">
        <v>565</v>
      </c>
      <c r="O527" t="s">
        <v>566</v>
      </c>
      <c r="P527" t="s">
        <v>567</v>
      </c>
      <c r="S527" t="s">
        <v>567</v>
      </c>
      <c r="T527" t="s">
        <v>567</v>
      </c>
      <c r="Z527" t="s">
        <v>568</v>
      </c>
      <c r="AA527" t="s">
        <v>568</v>
      </c>
      <c r="AC527" t="str">
        <v>The Villas Richmond Hill</v>
      </c>
    </row>
    <row r="528" spans="1:29">
      <c r="A528" t="s">
        <v>1486</v>
      </c>
      <c r="B528" t="s">
        <v>1497</v>
      </c>
      <c r="C528" t="s">
        <v>1498</v>
      </c>
      <c r="D528" t="s">
        <v>562</v>
      </c>
      <c r="E528" t="s">
        <v>1643</v>
      </c>
      <c r="F528" t="s">
        <v>562</v>
      </c>
      <c r="G528" t="s">
        <v>562</v>
      </c>
      <c r="H528" t="s">
        <v>562</v>
      </c>
      <c r="I528">
        <v>4030</v>
      </c>
      <c r="J528" t="s">
        <v>564</v>
      </c>
      <c r="K528" s="698">
        <v>45957.468055555553</v>
      </c>
      <c r="L528" s="698">
        <v>45957.468055555553</v>
      </c>
      <c r="M528" t="s">
        <v>565</v>
      </c>
      <c r="N528" t="s">
        <v>565</v>
      </c>
      <c r="O528" t="s">
        <v>566</v>
      </c>
      <c r="P528" t="s">
        <v>567</v>
      </c>
      <c r="S528" t="s">
        <v>567</v>
      </c>
      <c r="T528" t="s">
        <v>567</v>
      </c>
      <c r="Z528" t="s">
        <v>568</v>
      </c>
      <c r="AA528" t="s">
        <v>568</v>
      </c>
      <c r="AC528" t="str">
        <v>The Wawanesa Mutual Insurance Company</v>
      </c>
    </row>
    <row r="529" spans="1:29">
      <c r="A529" t="s">
        <v>1486</v>
      </c>
      <c r="B529" t="s">
        <v>1497</v>
      </c>
      <c r="C529" t="s">
        <v>1498</v>
      </c>
      <c r="D529" t="s">
        <v>562</v>
      </c>
      <c r="E529" t="s">
        <v>1644</v>
      </c>
      <c r="F529" t="s">
        <v>562</v>
      </c>
      <c r="G529" t="s">
        <v>562</v>
      </c>
      <c r="H529" t="s">
        <v>562</v>
      </c>
      <c r="I529">
        <v>4031</v>
      </c>
      <c r="J529" t="s">
        <v>564</v>
      </c>
      <c r="K529" s="698">
        <v>45957.468055555553</v>
      </c>
      <c r="L529" s="698">
        <v>45957.468055555553</v>
      </c>
      <c r="M529" t="s">
        <v>565</v>
      </c>
      <c r="N529" t="s">
        <v>565</v>
      </c>
      <c r="O529" t="s">
        <v>566</v>
      </c>
      <c r="P529" t="s">
        <v>567</v>
      </c>
      <c r="S529" t="s">
        <v>567</v>
      </c>
      <c r="T529" t="s">
        <v>567</v>
      </c>
      <c r="Z529" t="s">
        <v>568</v>
      </c>
      <c r="AA529" t="s">
        <v>568</v>
      </c>
      <c r="AC529" t="str">
        <v>Thomas A. Gould</v>
      </c>
    </row>
    <row r="530" spans="1:29">
      <c r="A530" t="s">
        <v>1486</v>
      </c>
      <c r="B530" t="s">
        <v>1494</v>
      </c>
      <c r="C530" t="s">
        <v>1501</v>
      </c>
      <c r="D530" t="s">
        <v>562</v>
      </c>
      <c r="E530" t="s">
        <v>1645</v>
      </c>
      <c r="F530" t="s">
        <v>562</v>
      </c>
      <c r="G530" t="s">
        <v>562</v>
      </c>
      <c r="H530" t="s">
        <v>562</v>
      </c>
      <c r="I530">
        <v>4035</v>
      </c>
      <c r="J530" t="s">
        <v>564</v>
      </c>
      <c r="K530" s="698">
        <v>45957.46875</v>
      </c>
      <c r="L530" s="698">
        <v>45957.46875</v>
      </c>
      <c r="M530" t="s">
        <v>565</v>
      </c>
      <c r="N530" t="s">
        <v>565</v>
      </c>
      <c r="O530" t="s">
        <v>566</v>
      </c>
      <c r="P530" t="s">
        <v>567</v>
      </c>
      <c r="S530" t="s">
        <v>567</v>
      </c>
      <c r="T530" t="s">
        <v>567</v>
      </c>
      <c r="Z530" t="s">
        <v>568</v>
      </c>
      <c r="AA530" t="s">
        <v>568</v>
      </c>
      <c r="AC530" t="str">
        <v>Tony Vetere</v>
      </c>
    </row>
    <row r="531" spans="1:29">
      <c r="A531" t="s">
        <v>1486</v>
      </c>
      <c r="B531" t="s">
        <v>1491</v>
      </c>
      <c r="C531" t="s">
        <v>1492</v>
      </c>
      <c r="D531" t="s">
        <v>562</v>
      </c>
      <c r="E531" t="s">
        <v>1646</v>
      </c>
      <c r="F531" t="s">
        <v>562</v>
      </c>
      <c r="G531" t="s">
        <v>562</v>
      </c>
      <c r="H531" t="s">
        <v>562</v>
      </c>
      <c r="I531">
        <v>4089</v>
      </c>
      <c r="J531" t="s">
        <v>564</v>
      </c>
      <c r="K531" s="698">
        <v>45957.474999999999</v>
      </c>
      <c r="L531" s="698">
        <v>45957.474999999999</v>
      </c>
      <c r="M531" t="s">
        <v>565</v>
      </c>
      <c r="N531" t="s">
        <v>565</v>
      </c>
      <c r="O531" t="s">
        <v>566</v>
      </c>
      <c r="P531" t="s">
        <v>567</v>
      </c>
      <c r="S531" t="s">
        <v>567</v>
      </c>
      <c r="T531" t="s">
        <v>567</v>
      </c>
      <c r="Z531" t="s">
        <v>568</v>
      </c>
      <c r="AA531" t="s">
        <v>568</v>
      </c>
      <c r="AC531" t="str">
        <v>Top Nails 6</v>
      </c>
    </row>
    <row r="532" spans="1:29">
      <c r="A532" t="s">
        <v>1486</v>
      </c>
      <c r="B532" t="s">
        <v>1528</v>
      </c>
      <c r="C532" t="s">
        <v>1526</v>
      </c>
      <c r="D532" t="s">
        <v>562</v>
      </c>
      <c r="E532" t="s">
        <v>1647</v>
      </c>
      <c r="F532" t="s">
        <v>562</v>
      </c>
      <c r="G532" t="s">
        <v>562</v>
      </c>
      <c r="H532" t="s">
        <v>562</v>
      </c>
      <c r="I532">
        <v>4105</v>
      </c>
      <c r="J532" t="s">
        <v>564</v>
      </c>
      <c r="K532" s="698">
        <v>45957.477083333331</v>
      </c>
      <c r="L532" s="698">
        <v>45957.477083333331</v>
      </c>
      <c r="M532" t="s">
        <v>565</v>
      </c>
      <c r="N532" t="s">
        <v>565</v>
      </c>
      <c r="O532" t="s">
        <v>566</v>
      </c>
      <c r="P532" t="s">
        <v>567</v>
      </c>
      <c r="S532" t="s">
        <v>567</v>
      </c>
      <c r="T532" t="s">
        <v>567</v>
      </c>
      <c r="Z532" t="s">
        <v>568</v>
      </c>
      <c r="AA532" t="s">
        <v>568</v>
      </c>
      <c r="AC532" t="str">
        <v>Tosik Development Corporation</v>
      </c>
    </row>
    <row r="533" spans="1:29">
      <c r="A533" t="s">
        <v>1486</v>
      </c>
      <c r="B533" t="s">
        <v>1494</v>
      </c>
      <c r="C533" t="s">
        <v>1536</v>
      </c>
      <c r="D533" t="s">
        <v>562</v>
      </c>
      <c r="E533" t="s">
        <v>1648</v>
      </c>
      <c r="F533" t="s">
        <v>562</v>
      </c>
      <c r="G533" t="s">
        <v>562</v>
      </c>
      <c r="H533" t="s">
        <v>562</v>
      </c>
      <c r="I533">
        <v>4159</v>
      </c>
      <c r="J533" t="s">
        <v>564</v>
      </c>
      <c r="K533" s="698">
        <v>45957.48333333333</v>
      </c>
      <c r="L533" s="698">
        <v>45957.48333333333</v>
      </c>
      <c r="M533" t="s">
        <v>565</v>
      </c>
      <c r="N533" t="s">
        <v>565</v>
      </c>
      <c r="O533" t="s">
        <v>566</v>
      </c>
      <c r="P533" t="s">
        <v>567</v>
      </c>
      <c r="S533" t="s">
        <v>567</v>
      </c>
      <c r="T533" t="s">
        <v>567</v>
      </c>
      <c r="Z533" t="s">
        <v>568</v>
      </c>
      <c r="AA533" t="s">
        <v>568</v>
      </c>
      <c r="AC533" t="str">
        <v>Town of Bowden</v>
      </c>
    </row>
    <row r="534" spans="1:29">
      <c r="A534" t="s">
        <v>1486</v>
      </c>
      <c r="B534" t="s">
        <v>1494</v>
      </c>
      <c r="C534" t="s">
        <v>1495</v>
      </c>
      <c r="D534" t="s">
        <v>562</v>
      </c>
      <c r="E534" t="s">
        <v>1649</v>
      </c>
      <c r="F534" t="s">
        <v>562</v>
      </c>
      <c r="G534" t="s">
        <v>562</v>
      </c>
      <c r="H534" t="s">
        <v>562</v>
      </c>
      <c r="I534">
        <v>4215</v>
      </c>
      <c r="J534" t="s">
        <v>564</v>
      </c>
      <c r="K534" s="698">
        <v>45957.490277777775</v>
      </c>
      <c r="L534" s="698">
        <v>45957.490277777775</v>
      </c>
      <c r="M534" t="s">
        <v>565</v>
      </c>
      <c r="N534" t="s">
        <v>565</v>
      </c>
      <c r="O534" t="s">
        <v>566</v>
      </c>
      <c r="P534" t="s">
        <v>567</v>
      </c>
      <c r="S534" t="s">
        <v>567</v>
      </c>
      <c r="T534" t="s">
        <v>567</v>
      </c>
      <c r="Z534" t="s">
        <v>568</v>
      </c>
      <c r="AA534" t="s">
        <v>568</v>
      </c>
      <c r="AC534" t="str">
        <v>Town of High River</v>
      </c>
    </row>
    <row r="535" spans="1:29">
      <c r="A535" t="s">
        <v>1486</v>
      </c>
      <c r="B535" t="s">
        <v>1528</v>
      </c>
      <c r="C535" t="s">
        <v>1492</v>
      </c>
      <c r="D535" t="s">
        <v>562</v>
      </c>
      <c r="E535" t="s">
        <v>1650</v>
      </c>
      <c r="F535" t="s">
        <v>562</v>
      </c>
      <c r="G535" t="s">
        <v>562</v>
      </c>
      <c r="H535" t="s">
        <v>562</v>
      </c>
      <c r="I535">
        <v>4217</v>
      </c>
      <c r="J535" t="s">
        <v>564</v>
      </c>
      <c r="K535" s="698">
        <v>45957.490972222222</v>
      </c>
      <c r="L535" s="698">
        <v>45957.490972222222</v>
      </c>
      <c r="M535" t="s">
        <v>565</v>
      </c>
      <c r="N535" t="s">
        <v>565</v>
      </c>
      <c r="O535" t="s">
        <v>566</v>
      </c>
      <c r="P535" t="s">
        <v>567</v>
      </c>
      <c r="S535" t="s">
        <v>567</v>
      </c>
      <c r="T535" t="s">
        <v>567</v>
      </c>
      <c r="Z535" t="s">
        <v>568</v>
      </c>
      <c r="AA535" t="s">
        <v>568</v>
      </c>
      <c r="AC535" t="str">
        <v>Transform Renovations</v>
      </c>
    </row>
    <row r="536" spans="1:29">
      <c r="A536" t="s">
        <v>1486</v>
      </c>
      <c r="B536" t="s">
        <v>1528</v>
      </c>
      <c r="C536" t="s">
        <v>1563</v>
      </c>
      <c r="D536" t="s">
        <v>562</v>
      </c>
      <c r="E536" t="s">
        <v>1651</v>
      </c>
      <c r="F536" t="s">
        <v>562</v>
      </c>
      <c r="G536" t="s">
        <v>562</v>
      </c>
      <c r="H536" t="s">
        <v>562</v>
      </c>
      <c r="I536">
        <v>4267</v>
      </c>
      <c r="J536" t="s">
        <v>564</v>
      </c>
      <c r="K536" s="698">
        <v>45957.49722222222</v>
      </c>
      <c r="L536" s="698">
        <v>45957.49722222222</v>
      </c>
      <c r="M536" t="s">
        <v>565</v>
      </c>
      <c r="N536" t="s">
        <v>565</v>
      </c>
      <c r="O536" t="s">
        <v>566</v>
      </c>
      <c r="P536" t="s">
        <v>567</v>
      </c>
      <c r="S536" t="s">
        <v>567</v>
      </c>
      <c r="T536" t="s">
        <v>567</v>
      </c>
      <c r="Z536" t="s">
        <v>568</v>
      </c>
      <c r="AA536" t="s">
        <v>568</v>
      </c>
      <c r="AC536" t="str">
        <v>Trellis Society</v>
      </c>
    </row>
    <row r="537" spans="1:29">
      <c r="A537" t="s">
        <v>1486</v>
      </c>
      <c r="B537" t="s">
        <v>1497</v>
      </c>
      <c r="C537" t="s">
        <v>1498</v>
      </c>
      <c r="D537" t="s">
        <v>562</v>
      </c>
      <c r="E537" t="s">
        <v>1652</v>
      </c>
      <c r="F537" t="s">
        <v>562</v>
      </c>
      <c r="G537" t="s">
        <v>562</v>
      </c>
      <c r="H537" t="s">
        <v>562</v>
      </c>
      <c r="I537">
        <v>4284</v>
      </c>
      <c r="J537" t="s">
        <v>564</v>
      </c>
      <c r="K537" s="698">
        <v>45957.499305555553</v>
      </c>
      <c r="L537" s="698">
        <v>45957.499305555553</v>
      </c>
      <c r="M537" t="s">
        <v>565</v>
      </c>
      <c r="N537" t="s">
        <v>565</v>
      </c>
      <c r="O537" t="s">
        <v>566</v>
      </c>
      <c r="P537" t="s">
        <v>567</v>
      </c>
      <c r="S537" t="s">
        <v>567</v>
      </c>
      <c r="T537" t="s">
        <v>567</v>
      </c>
      <c r="Z537" t="s">
        <v>568</v>
      </c>
      <c r="AA537" t="s">
        <v>568</v>
      </c>
      <c r="AC537" t="str">
        <v>Tremco Canada Division, RPM Canada</v>
      </c>
    </row>
    <row r="538" spans="1:29">
      <c r="A538" t="s">
        <v>1486</v>
      </c>
      <c r="B538" t="s">
        <v>1497</v>
      </c>
      <c r="C538" t="s">
        <v>1498</v>
      </c>
      <c r="D538" t="s">
        <v>562</v>
      </c>
      <c r="E538" t="s">
        <v>1653</v>
      </c>
      <c r="F538" t="s">
        <v>562</v>
      </c>
      <c r="G538" t="s">
        <v>562</v>
      </c>
      <c r="H538" t="s">
        <v>562</v>
      </c>
      <c r="I538">
        <v>4287</v>
      </c>
      <c r="J538" t="s">
        <v>564</v>
      </c>
      <c r="K538" s="698">
        <v>45957.5</v>
      </c>
      <c r="L538" s="698">
        <v>45957.5</v>
      </c>
      <c r="M538" t="s">
        <v>565</v>
      </c>
      <c r="N538" t="s">
        <v>565</v>
      </c>
      <c r="O538" t="s">
        <v>566</v>
      </c>
      <c r="P538" t="s">
        <v>567</v>
      </c>
      <c r="S538" t="s">
        <v>567</v>
      </c>
      <c r="T538" t="s">
        <v>567</v>
      </c>
      <c r="Z538" t="s">
        <v>568</v>
      </c>
      <c r="AA538" t="s">
        <v>568</v>
      </c>
      <c r="AC538" t="str">
        <v>Tribe Management Inc.</v>
      </c>
    </row>
    <row r="539" spans="1:29">
      <c r="A539" t="s">
        <v>1486</v>
      </c>
      <c r="B539" t="s">
        <v>1497</v>
      </c>
      <c r="C539" t="s">
        <v>1498</v>
      </c>
      <c r="D539" t="s">
        <v>562</v>
      </c>
      <c r="E539" t="s">
        <v>1654</v>
      </c>
      <c r="F539" t="s">
        <v>562</v>
      </c>
      <c r="G539" t="s">
        <v>562</v>
      </c>
      <c r="H539" t="s">
        <v>562</v>
      </c>
      <c r="I539">
        <v>4366</v>
      </c>
      <c r="J539" t="s">
        <v>564</v>
      </c>
      <c r="K539" s="698">
        <v>45957.509722222225</v>
      </c>
      <c r="L539" s="698">
        <v>45957.509722222225</v>
      </c>
      <c r="M539" t="s">
        <v>565</v>
      </c>
      <c r="N539" t="s">
        <v>565</v>
      </c>
      <c r="O539" t="s">
        <v>566</v>
      </c>
      <c r="P539" t="s">
        <v>567</v>
      </c>
      <c r="S539" t="s">
        <v>567</v>
      </c>
      <c r="T539" t="s">
        <v>567</v>
      </c>
      <c r="Z539" t="s">
        <v>568</v>
      </c>
      <c r="AA539" t="s">
        <v>568</v>
      </c>
      <c r="AC539" t="str">
        <v xml:space="preserve">Tribecca Condos </v>
      </c>
    </row>
    <row r="540" spans="1:29">
      <c r="A540" t="s">
        <v>1486</v>
      </c>
      <c r="B540" t="s">
        <v>1494</v>
      </c>
      <c r="C540" t="s">
        <v>1501</v>
      </c>
      <c r="D540" t="s">
        <v>562</v>
      </c>
      <c r="E540" t="s">
        <v>1655</v>
      </c>
      <c r="F540" t="s">
        <v>562</v>
      </c>
      <c r="G540" t="s">
        <v>562</v>
      </c>
      <c r="H540" t="s">
        <v>562</v>
      </c>
      <c r="I540">
        <v>4386</v>
      </c>
      <c r="J540" t="s">
        <v>564</v>
      </c>
      <c r="K540" s="698">
        <v>45957.512499999997</v>
      </c>
      <c r="L540" s="698">
        <v>45957.512499999997</v>
      </c>
      <c r="M540" t="s">
        <v>565</v>
      </c>
      <c r="N540" t="s">
        <v>565</v>
      </c>
      <c r="O540" t="s">
        <v>566</v>
      </c>
      <c r="P540" t="s">
        <v>567</v>
      </c>
      <c r="S540" t="s">
        <v>567</v>
      </c>
      <c r="T540" t="s">
        <v>567</v>
      </c>
      <c r="Z540" t="s">
        <v>568</v>
      </c>
      <c r="AA540" t="s">
        <v>568</v>
      </c>
      <c r="AC540" t="str">
        <v>Tribuild Contracting Canada</v>
      </c>
    </row>
    <row r="541" spans="1:29">
      <c r="A541" t="s">
        <v>1486</v>
      </c>
      <c r="B541" t="s">
        <v>1528</v>
      </c>
      <c r="C541" t="s">
        <v>1656</v>
      </c>
      <c r="D541" t="s">
        <v>562</v>
      </c>
      <c r="E541" t="s">
        <v>1657</v>
      </c>
      <c r="F541" t="s">
        <v>562</v>
      </c>
      <c r="G541" t="s">
        <v>562</v>
      </c>
      <c r="H541" t="s">
        <v>562</v>
      </c>
      <c r="I541">
        <v>4422</v>
      </c>
      <c r="J541" t="s">
        <v>564</v>
      </c>
      <c r="K541" s="698">
        <v>45957.51666666667</v>
      </c>
      <c r="L541" s="698">
        <v>45957.51666666667</v>
      </c>
      <c r="M541" t="s">
        <v>565</v>
      </c>
      <c r="N541" t="s">
        <v>565</v>
      </c>
      <c r="O541" t="s">
        <v>566</v>
      </c>
      <c r="P541" t="s">
        <v>567</v>
      </c>
      <c r="S541" t="s">
        <v>567</v>
      </c>
      <c r="T541" t="s">
        <v>567</v>
      </c>
      <c r="Z541" t="s">
        <v>568</v>
      </c>
      <c r="AA541" t="s">
        <v>568</v>
      </c>
      <c r="AC541" t="str">
        <v>Tricycle Lane Ranches Ltd</v>
      </c>
    </row>
    <row r="542" spans="1:29">
      <c r="A542" t="s">
        <v>1486</v>
      </c>
      <c r="B542" t="s">
        <v>1240</v>
      </c>
      <c r="C542" t="s">
        <v>562</v>
      </c>
      <c r="D542" t="s">
        <v>562</v>
      </c>
      <c r="E542" t="s">
        <v>1658</v>
      </c>
      <c r="F542" t="s">
        <v>562</v>
      </c>
      <c r="G542" t="s">
        <v>562</v>
      </c>
      <c r="H542" t="s">
        <v>562</v>
      </c>
      <c r="I542">
        <v>4443</v>
      </c>
      <c r="J542" t="s">
        <v>564</v>
      </c>
      <c r="K542" s="698">
        <v>45957.519444444442</v>
      </c>
      <c r="L542" s="698">
        <v>45957.519444444442</v>
      </c>
      <c r="M542" t="s">
        <v>565</v>
      </c>
      <c r="N542" t="s">
        <v>565</v>
      </c>
      <c r="O542" t="s">
        <v>566</v>
      </c>
      <c r="P542" t="s">
        <v>567</v>
      </c>
      <c r="S542" t="s">
        <v>567</v>
      </c>
      <c r="T542" t="s">
        <v>567</v>
      </c>
      <c r="Z542" t="s">
        <v>568</v>
      </c>
      <c r="AA542" t="s">
        <v>568</v>
      </c>
      <c r="AC542" t="str">
        <v>Tricycle Lane Ranches Ltd.</v>
      </c>
    </row>
    <row r="543" spans="1:29">
      <c r="A543" t="s">
        <v>1486</v>
      </c>
      <c r="B543" t="s">
        <v>1494</v>
      </c>
      <c r="C543" t="s">
        <v>1501</v>
      </c>
      <c r="D543" t="s">
        <v>562</v>
      </c>
      <c r="E543" t="s">
        <v>1659</v>
      </c>
      <c r="F543" t="s">
        <v>562</v>
      </c>
      <c r="G543" t="s">
        <v>562</v>
      </c>
      <c r="H543" t="s">
        <v>562</v>
      </c>
      <c r="I543">
        <v>4528</v>
      </c>
      <c r="J543" t="s">
        <v>564</v>
      </c>
      <c r="K543" s="698">
        <v>45957.529166666667</v>
      </c>
      <c r="L543" s="698">
        <v>45957.529166666667</v>
      </c>
      <c r="M543" t="s">
        <v>565</v>
      </c>
      <c r="N543" t="s">
        <v>565</v>
      </c>
      <c r="O543" t="s">
        <v>566</v>
      </c>
      <c r="P543" t="s">
        <v>567</v>
      </c>
      <c r="S543" t="s">
        <v>567</v>
      </c>
      <c r="T543" t="s">
        <v>567</v>
      </c>
      <c r="Z543" t="s">
        <v>568</v>
      </c>
      <c r="AA543" t="s">
        <v>568</v>
      </c>
      <c r="AC543" t="str">
        <v>Tri-Tech Pinnacle Group Inc.</v>
      </c>
    </row>
    <row r="544" spans="1:29">
      <c r="A544" t="s">
        <v>1486</v>
      </c>
      <c r="B544" t="s">
        <v>1528</v>
      </c>
      <c r="C544" t="s">
        <v>1492</v>
      </c>
      <c r="D544" t="s">
        <v>562</v>
      </c>
      <c r="E544" t="s">
        <v>1660</v>
      </c>
      <c r="F544" t="s">
        <v>562</v>
      </c>
      <c r="G544" t="s">
        <v>562</v>
      </c>
      <c r="H544" t="s">
        <v>562</v>
      </c>
      <c r="I544">
        <v>4554</v>
      </c>
      <c r="J544" t="s">
        <v>564</v>
      </c>
      <c r="K544" s="698">
        <v>45957.532638888886</v>
      </c>
      <c r="L544" s="698">
        <v>45957.532638888886</v>
      </c>
      <c r="M544" t="s">
        <v>565</v>
      </c>
      <c r="N544" t="s">
        <v>565</v>
      </c>
      <c r="O544" t="s">
        <v>566</v>
      </c>
      <c r="P544" t="s">
        <v>567</v>
      </c>
      <c r="S544" t="s">
        <v>567</v>
      </c>
      <c r="T544" t="s">
        <v>567</v>
      </c>
      <c r="Z544" t="s">
        <v>568</v>
      </c>
      <c r="AA544" t="s">
        <v>568</v>
      </c>
      <c r="AC544" t="str">
        <v>TRS Mechanical and Construction</v>
      </c>
    </row>
    <row r="545" spans="1:29">
      <c r="A545" t="s">
        <v>1486</v>
      </c>
      <c r="B545" t="s">
        <v>1661</v>
      </c>
      <c r="C545" t="s">
        <v>1662</v>
      </c>
      <c r="D545" t="s">
        <v>562</v>
      </c>
      <c r="E545" t="s">
        <v>1663</v>
      </c>
      <c r="F545" t="s">
        <v>562</v>
      </c>
      <c r="G545" t="s">
        <v>562</v>
      </c>
      <c r="H545" t="s">
        <v>562</v>
      </c>
      <c r="I545">
        <v>4632</v>
      </c>
      <c r="J545" t="s">
        <v>564</v>
      </c>
      <c r="K545" s="698">
        <v>45957.543055555558</v>
      </c>
      <c r="L545" s="698">
        <v>45957.543055555558</v>
      </c>
      <c r="M545" t="s">
        <v>565</v>
      </c>
      <c r="N545" t="s">
        <v>565</v>
      </c>
      <c r="O545" t="s">
        <v>566</v>
      </c>
      <c r="P545" t="s">
        <v>567</v>
      </c>
      <c r="S545" t="s">
        <v>567</v>
      </c>
      <c r="T545" t="s">
        <v>567</v>
      </c>
      <c r="Z545" t="s">
        <v>568</v>
      </c>
      <c r="AA545" t="s">
        <v>568</v>
      </c>
      <c r="AC545" t="str">
        <v>Tru-Craft Roofing (2005) Ltd.</v>
      </c>
    </row>
    <row r="546" spans="1:29">
      <c r="A546" t="s">
        <v>1486</v>
      </c>
      <c r="B546" t="s">
        <v>1494</v>
      </c>
      <c r="C546" t="s">
        <v>1501</v>
      </c>
      <c r="D546" t="s">
        <v>562</v>
      </c>
      <c r="E546" t="s">
        <v>1664</v>
      </c>
      <c r="F546" t="s">
        <v>562</v>
      </c>
      <c r="G546" t="s">
        <v>562</v>
      </c>
      <c r="H546" t="s">
        <v>562</v>
      </c>
      <c r="I546">
        <v>4706</v>
      </c>
      <c r="J546" t="s">
        <v>564</v>
      </c>
      <c r="K546" s="698">
        <v>45957.549305555556</v>
      </c>
      <c r="L546" s="698">
        <v>45957.549305555556</v>
      </c>
      <c r="M546" t="s">
        <v>565</v>
      </c>
      <c r="N546" t="s">
        <v>565</v>
      </c>
      <c r="O546" t="s">
        <v>566</v>
      </c>
      <c r="P546" t="s">
        <v>567</v>
      </c>
      <c r="S546" t="s">
        <v>567</v>
      </c>
      <c r="T546" t="s">
        <v>567</v>
      </c>
      <c r="Z546" t="s">
        <v>568</v>
      </c>
      <c r="AA546" t="s">
        <v>568</v>
      </c>
      <c r="AC546" t="str">
        <v>Tuxedo Square-CCN 1611177 c/o Equium Group</v>
      </c>
    </row>
    <row r="547" spans="1:29">
      <c r="A547" t="s">
        <v>1486</v>
      </c>
      <c r="B547" t="s">
        <v>1497</v>
      </c>
      <c r="C547" t="s">
        <v>1498</v>
      </c>
      <c r="D547" t="s">
        <v>562</v>
      </c>
      <c r="E547" t="s">
        <v>1665</v>
      </c>
      <c r="F547" t="s">
        <v>562</v>
      </c>
      <c r="G547" t="s">
        <v>562</v>
      </c>
      <c r="H547" t="s">
        <v>562</v>
      </c>
      <c r="I547">
        <v>5138</v>
      </c>
      <c r="J547" t="s">
        <v>564</v>
      </c>
      <c r="K547" s="698">
        <v>45957.5625</v>
      </c>
      <c r="L547" s="698">
        <v>45957.5625</v>
      </c>
      <c r="M547" t="s">
        <v>565</v>
      </c>
      <c r="N547" t="s">
        <v>565</v>
      </c>
      <c r="O547" t="s">
        <v>566</v>
      </c>
      <c r="P547" t="s">
        <v>567</v>
      </c>
      <c r="S547" t="s">
        <v>567</v>
      </c>
      <c r="T547" t="s">
        <v>567</v>
      </c>
      <c r="Z547" t="s">
        <v>568</v>
      </c>
      <c r="AA547" t="s">
        <v>568</v>
      </c>
      <c r="AC547" t="str">
        <v>Uncle Mike's Roofing Inc.</v>
      </c>
    </row>
    <row r="548" spans="1:29">
      <c r="A548" t="s">
        <v>1486</v>
      </c>
      <c r="B548" t="s">
        <v>562</v>
      </c>
      <c r="C548" t="s">
        <v>562</v>
      </c>
      <c r="D548" t="s">
        <v>1666</v>
      </c>
      <c r="E548" t="s">
        <v>1667</v>
      </c>
      <c r="F548" t="s">
        <v>562</v>
      </c>
      <c r="G548" t="s">
        <v>562</v>
      </c>
      <c r="H548" t="s">
        <v>562</v>
      </c>
      <c r="I548">
        <v>5206</v>
      </c>
      <c r="J548" t="s">
        <v>564</v>
      </c>
      <c r="K548" s="698">
        <v>45957.564583333333</v>
      </c>
      <c r="L548" s="698">
        <v>45957.564583333333</v>
      </c>
      <c r="M548" t="s">
        <v>565</v>
      </c>
      <c r="N548" t="s">
        <v>565</v>
      </c>
      <c r="O548" t="s">
        <v>566</v>
      </c>
      <c r="P548" t="s">
        <v>567</v>
      </c>
      <c r="S548" t="s">
        <v>567</v>
      </c>
      <c r="T548" t="s">
        <v>567</v>
      </c>
      <c r="Z548" t="s">
        <v>568</v>
      </c>
      <c r="AA548" t="s">
        <v>568</v>
      </c>
      <c r="AC548" t="str">
        <v>Unitech Systems</v>
      </c>
    </row>
    <row r="549" spans="1:29">
      <c r="A549" t="s">
        <v>1486</v>
      </c>
      <c r="B549" t="s">
        <v>1153</v>
      </c>
      <c r="C549" t="s">
        <v>562</v>
      </c>
      <c r="D549" t="s">
        <v>1668</v>
      </c>
      <c r="E549" t="s">
        <v>1669</v>
      </c>
      <c r="F549" t="s">
        <v>562</v>
      </c>
      <c r="G549" t="s">
        <v>562</v>
      </c>
      <c r="H549" t="s">
        <v>562</v>
      </c>
      <c r="I549">
        <v>5207</v>
      </c>
      <c r="J549" t="s">
        <v>564</v>
      </c>
      <c r="K549" s="698">
        <v>45957.564583333333</v>
      </c>
      <c r="L549" s="698">
        <v>45957.564583333333</v>
      </c>
      <c r="M549" t="s">
        <v>565</v>
      </c>
      <c r="N549" t="s">
        <v>565</v>
      </c>
      <c r="O549" t="s">
        <v>566</v>
      </c>
      <c r="P549" t="s">
        <v>567</v>
      </c>
      <c r="S549" t="s">
        <v>567</v>
      </c>
      <c r="T549" t="s">
        <v>567</v>
      </c>
      <c r="Z549" t="s">
        <v>568</v>
      </c>
      <c r="AA549" t="s">
        <v>568</v>
      </c>
      <c r="AC549" t="str">
        <v>Universal Rehabilitation Service Agency</v>
      </c>
    </row>
    <row r="550" spans="1:29">
      <c r="A550" t="s">
        <v>1486</v>
      </c>
      <c r="B550" t="s">
        <v>1521</v>
      </c>
      <c r="C550" t="s">
        <v>562</v>
      </c>
      <c r="D550" t="s">
        <v>1670</v>
      </c>
      <c r="E550" t="s">
        <v>1671</v>
      </c>
      <c r="F550" t="s">
        <v>562</v>
      </c>
      <c r="G550" t="s">
        <v>562</v>
      </c>
      <c r="H550" t="s">
        <v>562</v>
      </c>
      <c r="I550">
        <v>5247</v>
      </c>
      <c r="J550" t="s">
        <v>564</v>
      </c>
      <c r="K550" s="698">
        <v>46058.455555555556</v>
      </c>
      <c r="L550" s="698">
        <v>46058.455555555556</v>
      </c>
      <c r="M550" t="s">
        <v>565</v>
      </c>
      <c r="N550" t="s">
        <v>565</v>
      </c>
      <c r="O550" t="s">
        <v>566</v>
      </c>
      <c r="P550" t="s">
        <v>567</v>
      </c>
      <c r="S550" t="s">
        <v>567</v>
      </c>
      <c r="T550" t="s">
        <v>567</v>
      </c>
      <c r="Z550" t="s">
        <v>826</v>
      </c>
      <c r="AA550" t="s">
        <v>826</v>
      </c>
      <c r="AC550" t="str">
        <v>University of Calgary</v>
      </c>
    </row>
    <row r="551" spans="1:29">
      <c r="A551" t="s">
        <v>1672</v>
      </c>
      <c r="B551" t="s">
        <v>1673</v>
      </c>
      <c r="C551" t="s">
        <v>562</v>
      </c>
      <c r="D551" t="s">
        <v>562</v>
      </c>
      <c r="E551" t="s">
        <v>1674</v>
      </c>
      <c r="F551" t="s">
        <v>562</v>
      </c>
      <c r="G551" t="s">
        <v>562</v>
      </c>
      <c r="H551" t="s">
        <v>562</v>
      </c>
      <c r="I551">
        <v>3962</v>
      </c>
      <c r="J551" t="s">
        <v>564</v>
      </c>
      <c r="K551" s="698">
        <v>45957.459722222222</v>
      </c>
      <c r="L551" s="698">
        <v>45957.459722222222</v>
      </c>
      <c r="M551" t="s">
        <v>565</v>
      </c>
      <c r="N551" t="s">
        <v>565</v>
      </c>
      <c r="O551" t="s">
        <v>566</v>
      </c>
      <c r="P551" t="s">
        <v>567</v>
      </c>
      <c r="S551" t="s">
        <v>567</v>
      </c>
      <c r="T551" t="s">
        <v>567</v>
      </c>
      <c r="Z551" t="s">
        <v>568</v>
      </c>
      <c r="AA551" t="s">
        <v>568</v>
      </c>
      <c r="AC551" t="str">
        <v>Upcountry Developments</v>
      </c>
    </row>
    <row r="552" spans="1:29">
      <c r="A552" t="s">
        <v>1675</v>
      </c>
      <c r="B552" t="s">
        <v>1676</v>
      </c>
      <c r="C552" t="s">
        <v>1677</v>
      </c>
      <c r="D552" t="s">
        <v>1678</v>
      </c>
      <c r="E552" t="s">
        <v>1679</v>
      </c>
      <c r="F552" t="s">
        <v>562</v>
      </c>
      <c r="G552" t="s">
        <v>562</v>
      </c>
      <c r="H552" t="s">
        <v>562</v>
      </c>
      <c r="I552">
        <v>4070</v>
      </c>
      <c r="J552" t="s">
        <v>564</v>
      </c>
      <c r="K552" s="698">
        <v>45957.472916666666</v>
      </c>
      <c r="L552" s="698">
        <v>45957.472916666666</v>
      </c>
      <c r="M552" t="s">
        <v>565</v>
      </c>
      <c r="N552" t="s">
        <v>565</v>
      </c>
      <c r="O552" t="s">
        <v>566</v>
      </c>
      <c r="P552" t="s">
        <v>567</v>
      </c>
      <c r="S552" t="s">
        <v>567</v>
      </c>
      <c r="T552" t="s">
        <v>567</v>
      </c>
      <c r="Z552" t="s">
        <v>568</v>
      </c>
      <c r="AA552" t="s">
        <v>568</v>
      </c>
      <c r="AC552" t="str">
        <v>Upcountry Properties (CBP-GP)</v>
      </c>
    </row>
    <row r="553" spans="1:29">
      <c r="A553" t="s">
        <v>1675</v>
      </c>
      <c r="B553" t="s">
        <v>1680</v>
      </c>
      <c r="C553" t="s">
        <v>1681</v>
      </c>
      <c r="D553" t="s">
        <v>1678</v>
      </c>
      <c r="E553" t="s">
        <v>1682</v>
      </c>
      <c r="F553" t="s">
        <v>562</v>
      </c>
      <c r="G553" t="s">
        <v>562</v>
      </c>
      <c r="H553" t="s">
        <v>562</v>
      </c>
      <c r="I553">
        <v>4226</v>
      </c>
      <c r="J553" t="s">
        <v>564</v>
      </c>
      <c r="K553" s="698">
        <v>45957.491666666669</v>
      </c>
      <c r="L553" s="698">
        <v>45957.491666666669</v>
      </c>
      <c r="M553" t="s">
        <v>565</v>
      </c>
      <c r="N553" t="s">
        <v>565</v>
      </c>
      <c r="O553" t="s">
        <v>566</v>
      </c>
      <c r="P553" t="s">
        <v>567</v>
      </c>
      <c r="S553" t="s">
        <v>567</v>
      </c>
      <c r="T553" t="s">
        <v>567</v>
      </c>
      <c r="Z553" t="s">
        <v>568</v>
      </c>
      <c r="AA553" t="s">
        <v>568</v>
      </c>
      <c r="AC553" t="str">
        <v>Vantage Electric Ltd</v>
      </c>
    </row>
    <row r="554" spans="1:29">
      <c r="A554" t="s">
        <v>1675</v>
      </c>
      <c r="B554" t="s">
        <v>1680</v>
      </c>
      <c r="C554" t="s">
        <v>1681</v>
      </c>
      <c r="D554" t="s">
        <v>1678</v>
      </c>
      <c r="E554" t="s">
        <v>1683</v>
      </c>
      <c r="F554" t="s">
        <v>562</v>
      </c>
      <c r="G554" t="s">
        <v>562</v>
      </c>
      <c r="H554" t="s">
        <v>562</v>
      </c>
      <c r="I554">
        <v>4435</v>
      </c>
      <c r="J554" t="s">
        <v>564</v>
      </c>
      <c r="K554" s="698">
        <v>45957.518055555556</v>
      </c>
      <c r="L554" s="698">
        <v>45957.518055555556</v>
      </c>
      <c r="M554" t="s">
        <v>565</v>
      </c>
      <c r="N554" t="s">
        <v>565</v>
      </c>
      <c r="O554" t="s">
        <v>566</v>
      </c>
      <c r="P554" t="s">
        <v>567</v>
      </c>
      <c r="S554" t="s">
        <v>567</v>
      </c>
      <c r="T554" t="s">
        <v>567</v>
      </c>
      <c r="Z554" t="s">
        <v>568</v>
      </c>
      <c r="AA554" t="s">
        <v>568</v>
      </c>
      <c r="AC554" t="str">
        <v>Vaughn Reid</v>
      </c>
    </row>
    <row r="555" spans="1:29">
      <c r="A555" t="s">
        <v>1684</v>
      </c>
      <c r="B555" t="s">
        <v>562</v>
      </c>
      <c r="C555" t="s">
        <v>562</v>
      </c>
      <c r="D555" t="s">
        <v>1685</v>
      </c>
      <c r="E555" t="s">
        <v>562</v>
      </c>
      <c r="F555" t="s">
        <v>562</v>
      </c>
      <c r="G555" t="s">
        <v>562</v>
      </c>
      <c r="H555" t="s">
        <v>562</v>
      </c>
      <c r="I555">
        <v>3516</v>
      </c>
      <c r="J555" t="s">
        <v>564</v>
      </c>
      <c r="K555" s="698">
        <v>45957.411805555559</v>
      </c>
      <c r="L555" s="698">
        <v>45957.411805555559</v>
      </c>
      <c r="M555" t="s">
        <v>565</v>
      </c>
      <c r="N555" t="s">
        <v>565</v>
      </c>
      <c r="O555" t="s">
        <v>566</v>
      </c>
      <c r="P555" t="s">
        <v>567</v>
      </c>
      <c r="S555" t="s">
        <v>567</v>
      </c>
      <c r="T555" t="s">
        <v>567</v>
      </c>
      <c r="Z555" t="s">
        <v>568</v>
      </c>
      <c r="AA555" t="s">
        <v>568</v>
      </c>
      <c r="AC555" t="str">
        <v>Versatile Roofing Ltd</v>
      </c>
    </row>
    <row r="556" spans="1:29">
      <c r="A556" t="s">
        <v>1686</v>
      </c>
      <c r="B556" t="s">
        <v>562</v>
      </c>
      <c r="C556" t="s">
        <v>1687</v>
      </c>
      <c r="D556" t="s">
        <v>1688</v>
      </c>
      <c r="E556" t="s">
        <v>1689</v>
      </c>
      <c r="F556" t="s">
        <v>562</v>
      </c>
      <c r="G556" t="s">
        <v>562</v>
      </c>
      <c r="H556" t="s">
        <v>562</v>
      </c>
      <c r="I556">
        <v>3517</v>
      </c>
      <c r="J556" t="s">
        <v>564</v>
      </c>
      <c r="K556" s="698">
        <v>45957.411805555559</v>
      </c>
      <c r="L556" s="698">
        <v>45957.411805555559</v>
      </c>
      <c r="M556" t="s">
        <v>565</v>
      </c>
      <c r="N556" t="s">
        <v>565</v>
      </c>
      <c r="O556" t="s">
        <v>566</v>
      </c>
      <c r="P556" t="s">
        <v>567</v>
      </c>
      <c r="S556" t="s">
        <v>567</v>
      </c>
      <c r="T556" t="s">
        <v>567</v>
      </c>
      <c r="Z556" t="s">
        <v>568</v>
      </c>
      <c r="AA556" t="s">
        <v>568</v>
      </c>
      <c r="AC556" t="str">
        <v>View West Management</v>
      </c>
    </row>
    <row r="557" spans="1:29">
      <c r="A557" t="s">
        <v>1690</v>
      </c>
      <c r="B557" t="s">
        <v>1691</v>
      </c>
      <c r="C557" t="s">
        <v>1692</v>
      </c>
      <c r="D557" t="s">
        <v>1693</v>
      </c>
      <c r="E557" t="s">
        <v>1694</v>
      </c>
      <c r="F557" t="s">
        <v>562</v>
      </c>
      <c r="G557" t="s">
        <v>562</v>
      </c>
      <c r="H557" t="s">
        <v>562</v>
      </c>
      <c r="I557">
        <v>5078</v>
      </c>
      <c r="J557" t="s">
        <v>564</v>
      </c>
      <c r="K557" s="698">
        <v>45957.560416666667</v>
      </c>
      <c r="L557" s="698">
        <v>45957.560416666667</v>
      </c>
      <c r="M557" t="s">
        <v>565</v>
      </c>
      <c r="N557" t="s">
        <v>565</v>
      </c>
      <c r="O557" t="s">
        <v>566</v>
      </c>
      <c r="P557" t="s">
        <v>567</v>
      </c>
      <c r="S557" t="s">
        <v>567</v>
      </c>
      <c r="T557" t="s">
        <v>567</v>
      </c>
      <c r="Z557" t="s">
        <v>568</v>
      </c>
      <c r="AA557" t="s">
        <v>568</v>
      </c>
      <c r="AC557" t="str">
        <v>Vista Landing Shopping Centre</v>
      </c>
    </row>
    <row r="558" spans="1:29">
      <c r="A558" t="s">
        <v>1695</v>
      </c>
      <c r="B558" t="s">
        <v>1696</v>
      </c>
      <c r="C558" t="s">
        <v>1697</v>
      </c>
      <c r="D558" t="s">
        <v>562</v>
      </c>
      <c r="E558" t="s">
        <v>1698</v>
      </c>
      <c r="F558" t="s">
        <v>562</v>
      </c>
      <c r="G558" t="s">
        <v>562</v>
      </c>
      <c r="H558" t="s">
        <v>562</v>
      </c>
      <c r="I558">
        <v>4646</v>
      </c>
      <c r="J558" t="s">
        <v>564</v>
      </c>
      <c r="K558" s="698">
        <v>45957.547222222223</v>
      </c>
      <c r="L558" s="698">
        <v>45957.547222222223</v>
      </c>
      <c r="M558" t="s">
        <v>565</v>
      </c>
      <c r="N558" t="s">
        <v>565</v>
      </c>
      <c r="O558" t="s">
        <v>566</v>
      </c>
      <c r="P558" t="s">
        <v>567</v>
      </c>
      <c r="S558" t="s">
        <v>567</v>
      </c>
      <c r="T558" t="s">
        <v>567</v>
      </c>
      <c r="Z558" t="s">
        <v>568</v>
      </c>
      <c r="AA558" t="s">
        <v>568</v>
      </c>
      <c r="AC558" t="str">
        <v>Volker Stevin Canada /Volker Wessels Canada</v>
      </c>
    </row>
    <row r="559" spans="1:29">
      <c r="A559" t="s">
        <v>1699</v>
      </c>
      <c r="B559" t="s">
        <v>562</v>
      </c>
      <c r="C559" t="s">
        <v>1700</v>
      </c>
      <c r="D559" t="s">
        <v>1701</v>
      </c>
      <c r="E559" t="s">
        <v>1702</v>
      </c>
      <c r="F559" t="s">
        <v>562</v>
      </c>
      <c r="G559" t="s">
        <v>562</v>
      </c>
      <c r="H559" t="s">
        <v>562</v>
      </c>
      <c r="I559">
        <v>3518</v>
      </c>
      <c r="J559" t="s">
        <v>564</v>
      </c>
      <c r="K559" s="698">
        <v>45957.412499999999</v>
      </c>
      <c r="L559" s="698">
        <v>45957.412499999999</v>
      </c>
      <c r="M559" t="s">
        <v>565</v>
      </c>
      <c r="N559" t="s">
        <v>565</v>
      </c>
      <c r="O559" t="s">
        <v>566</v>
      </c>
      <c r="P559" t="s">
        <v>567</v>
      </c>
      <c r="S559" t="s">
        <v>567</v>
      </c>
      <c r="T559" t="s">
        <v>567</v>
      </c>
      <c r="Z559" t="s">
        <v>568</v>
      </c>
      <c r="AA559" t="s">
        <v>568</v>
      </c>
      <c r="AC559" t="str">
        <v>Wamble</v>
      </c>
    </row>
    <row r="560" spans="1:29">
      <c r="A560" t="s">
        <v>1699</v>
      </c>
      <c r="B560" t="s">
        <v>1703</v>
      </c>
      <c r="C560" t="s">
        <v>1704</v>
      </c>
      <c r="D560" t="s">
        <v>562</v>
      </c>
      <c r="E560" t="s">
        <v>1705</v>
      </c>
      <c r="F560" t="s">
        <v>562</v>
      </c>
      <c r="G560" t="s">
        <v>562</v>
      </c>
      <c r="H560" t="s">
        <v>562</v>
      </c>
      <c r="I560">
        <v>4901</v>
      </c>
      <c r="J560" t="s">
        <v>564</v>
      </c>
      <c r="K560" s="698">
        <v>45957.555555555555</v>
      </c>
      <c r="L560" s="698">
        <v>45957.555555555555</v>
      </c>
      <c r="M560" t="s">
        <v>565</v>
      </c>
      <c r="N560" t="s">
        <v>565</v>
      </c>
      <c r="O560" t="s">
        <v>566</v>
      </c>
      <c r="P560" t="s">
        <v>567</v>
      </c>
      <c r="S560" t="s">
        <v>567</v>
      </c>
      <c r="T560" t="s">
        <v>567</v>
      </c>
      <c r="Z560" t="s">
        <v>568</v>
      </c>
      <c r="AA560" t="s">
        <v>568</v>
      </c>
      <c r="AC560" t="str">
        <v>WD Construction &amp; Millwork Ltd</v>
      </c>
    </row>
    <row r="561" spans="1:29">
      <c r="A561" t="s">
        <v>1706</v>
      </c>
      <c r="B561" t="s">
        <v>1707</v>
      </c>
      <c r="C561" t="s">
        <v>1708</v>
      </c>
      <c r="D561" t="s">
        <v>562</v>
      </c>
      <c r="E561" t="s">
        <v>1709</v>
      </c>
      <c r="F561" t="s">
        <v>562</v>
      </c>
      <c r="G561" t="s">
        <v>562</v>
      </c>
      <c r="H561" t="s">
        <v>562</v>
      </c>
      <c r="I561">
        <v>4980</v>
      </c>
      <c r="J561" t="s">
        <v>564</v>
      </c>
      <c r="K561" s="698">
        <v>45957.557638888888</v>
      </c>
      <c r="L561" s="698">
        <v>45957.557638888888</v>
      </c>
      <c r="M561" t="s">
        <v>565</v>
      </c>
      <c r="N561" t="s">
        <v>565</v>
      </c>
      <c r="O561" t="s">
        <v>566</v>
      </c>
      <c r="P561" t="s">
        <v>567</v>
      </c>
      <c r="S561" t="s">
        <v>567</v>
      </c>
      <c r="T561" t="s">
        <v>567</v>
      </c>
      <c r="Z561" t="s">
        <v>568</v>
      </c>
      <c r="AA561" t="s">
        <v>568</v>
      </c>
      <c r="AC561" t="str">
        <v>Weatherproofing Technologies Canada</v>
      </c>
    </row>
    <row r="562" spans="1:29">
      <c r="A562" t="s">
        <v>1710</v>
      </c>
      <c r="B562" t="s">
        <v>1711</v>
      </c>
      <c r="C562" t="s">
        <v>562</v>
      </c>
      <c r="D562" t="s">
        <v>1712</v>
      </c>
      <c r="E562" t="s">
        <v>1713</v>
      </c>
      <c r="F562" t="s">
        <v>562</v>
      </c>
      <c r="G562" t="s">
        <v>562</v>
      </c>
      <c r="H562" t="s">
        <v>562</v>
      </c>
      <c r="I562">
        <v>5227</v>
      </c>
      <c r="J562" t="s">
        <v>564</v>
      </c>
      <c r="K562" s="698">
        <v>45957.56527777778</v>
      </c>
      <c r="L562" s="698">
        <v>45957.56527777778</v>
      </c>
      <c r="M562" t="s">
        <v>565</v>
      </c>
      <c r="N562" t="s">
        <v>565</v>
      </c>
      <c r="O562" t="s">
        <v>566</v>
      </c>
      <c r="P562" t="s">
        <v>567</v>
      </c>
      <c r="S562" t="s">
        <v>567</v>
      </c>
      <c r="T562" t="s">
        <v>567</v>
      </c>
      <c r="Z562" t="s">
        <v>568</v>
      </c>
      <c r="AA562" t="s">
        <v>568</v>
      </c>
      <c r="AC562" t="str">
        <v>Webber Academy</v>
      </c>
    </row>
    <row r="563" spans="1:29">
      <c r="A563" t="s">
        <v>1714</v>
      </c>
      <c r="B563" t="s">
        <v>1715</v>
      </c>
      <c r="C563" t="s">
        <v>1716</v>
      </c>
      <c r="D563" t="s">
        <v>1717</v>
      </c>
      <c r="E563" t="s">
        <v>1718</v>
      </c>
      <c r="F563" t="s">
        <v>562</v>
      </c>
      <c r="G563" t="s">
        <v>562</v>
      </c>
      <c r="H563" t="s">
        <v>562</v>
      </c>
      <c r="I563">
        <v>3716</v>
      </c>
      <c r="J563" t="s">
        <v>564</v>
      </c>
      <c r="K563" s="698">
        <v>45957.432638888888</v>
      </c>
      <c r="L563" s="698">
        <v>45957.432638888888</v>
      </c>
      <c r="M563" t="s">
        <v>565</v>
      </c>
      <c r="N563" t="s">
        <v>565</v>
      </c>
      <c r="O563" t="s">
        <v>566</v>
      </c>
      <c r="P563" t="s">
        <v>567</v>
      </c>
      <c r="S563" t="s">
        <v>567</v>
      </c>
      <c r="T563" t="s">
        <v>567</v>
      </c>
      <c r="Z563" t="s">
        <v>568</v>
      </c>
      <c r="AA563" t="s">
        <v>568</v>
      </c>
      <c r="AC563" t="str">
        <v>Wendy Smeltzer</v>
      </c>
    </row>
    <row r="564" spans="1:29">
      <c r="A564" t="s">
        <v>1714</v>
      </c>
      <c r="B564" t="s">
        <v>562</v>
      </c>
      <c r="C564" t="s">
        <v>562</v>
      </c>
      <c r="D564" t="s">
        <v>1717</v>
      </c>
      <c r="E564" t="s">
        <v>1719</v>
      </c>
      <c r="F564" t="s">
        <v>562</v>
      </c>
      <c r="G564" t="s">
        <v>562</v>
      </c>
      <c r="H564" t="s">
        <v>562</v>
      </c>
      <c r="I564">
        <v>3729</v>
      </c>
      <c r="J564" t="s">
        <v>564</v>
      </c>
      <c r="K564" s="698">
        <v>45957.434027777781</v>
      </c>
      <c r="L564" s="698">
        <v>45957.434027777781</v>
      </c>
      <c r="M564" t="s">
        <v>565</v>
      </c>
      <c r="N564" t="s">
        <v>565</v>
      </c>
      <c r="O564" t="s">
        <v>566</v>
      </c>
      <c r="P564" t="s">
        <v>567</v>
      </c>
      <c r="S564" t="s">
        <v>567</v>
      </c>
      <c r="T564" t="s">
        <v>567</v>
      </c>
      <c r="Z564" t="s">
        <v>568</v>
      </c>
      <c r="AA564" t="s">
        <v>568</v>
      </c>
      <c r="AC564" t="str">
        <v>West Island College</v>
      </c>
    </row>
    <row r="565" spans="1:29">
      <c r="A565" t="s">
        <v>1714</v>
      </c>
      <c r="B565" t="s">
        <v>1720</v>
      </c>
      <c r="C565" t="s">
        <v>1721</v>
      </c>
      <c r="D565" t="s">
        <v>1717</v>
      </c>
      <c r="E565" t="s">
        <v>1722</v>
      </c>
      <c r="F565" t="s">
        <v>562</v>
      </c>
      <c r="G565" t="s">
        <v>562</v>
      </c>
      <c r="H565" t="s">
        <v>562</v>
      </c>
      <c r="I565">
        <v>3763</v>
      </c>
      <c r="J565" t="s">
        <v>564</v>
      </c>
      <c r="K565" s="698">
        <v>45957.4375</v>
      </c>
      <c r="L565" s="698">
        <v>45957.4375</v>
      </c>
      <c r="M565" t="s">
        <v>565</v>
      </c>
      <c r="N565" t="s">
        <v>565</v>
      </c>
      <c r="O565" t="s">
        <v>566</v>
      </c>
      <c r="P565" t="s">
        <v>567</v>
      </c>
      <c r="S565" t="s">
        <v>567</v>
      </c>
      <c r="T565" t="s">
        <v>567</v>
      </c>
      <c r="Z565" t="s">
        <v>568</v>
      </c>
      <c r="AA565" t="s">
        <v>568</v>
      </c>
      <c r="AC565" t="str">
        <v>West Springs Free Methodist Ch</v>
      </c>
    </row>
    <row r="566" spans="1:29">
      <c r="A566" t="s">
        <v>1714</v>
      </c>
      <c r="B566" t="s">
        <v>1723</v>
      </c>
      <c r="C566" t="s">
        <v>1724</v>
      </c>
      <c r="D566" t="s">
        <v>1717</v>
      </c>
      <c r="E566" t="s">
        <v>1725</v>
      </c>
      <c r="F566" t="s">
        <v>562</v>
      </c>
      <c r="G566" t="s">
        <v>562</v>
      </c>
      <c r="H566" t="s">
        <v>562</v>
      </c>
      <c r="I566">
        <v>3868</v>
      </c>
      <c r="J566" t="s">
        <v>564</v>
      </c>
      <c r="K566" s="698">
        <v>45957.449305555558</v>
      </c>
      <c r="L566" s="698">
        <v>45957.449305555558</v>
      </c>
      <c r="M566" t="s">
        <v>565</v>
      </c>
      <c r="N566" t="s">
        <v>565</v>
      </c>
      <c r="O566" t="s">
        <v>566</v>
      </c>
      <c r="P566" t="s">
        <v>567</v>
      </c>
      <c r="S566" t="s">
        <v>567</v>
      </c>
      <c r="T566" t="s">
        <v>567</v>
      </c>
      <c r="Z566" t="s">
        <v>568</v>
      </c>
      <c r="AA566" t="s">
        <v>568</v>
      </c>
      <c r="AC566" t="str">
        <v>Western Fibre Communications Corp</v>
      </c>
    </row>
    <row r="567" spans="1:29">
      <c r="A567" t="s">
        <v>1714</v>
      </c>
      <c r="B567" t="s">
        <v>1726</v>
      </c>
      <c r="C567" t="s">
        <v>562</v>
      </c>
      <c r="D567" t="s">
        <v>1717</v>
      </c>
      <c r="E567" t="s">
        <v>1727</v>
      </c>
      <c r="F567" t="s">
        <v>562</v>
      </c>
      <c r="G567" t="s">
        <v>562</v>
      </c>
      <c r="H567" t="s">
        <v>562</v>
      </c>
      <c r="I567">
        <v>3912</v>
      </c>
      <c r="J567" t="s">
        <v>564</v>
      </c>
      <c r="K567" s="698">
        <v>45957.45416666667</v>
      </c>
      <c r="L567" s="698">
        <v>45957.45416666667</v>
      </c>
      <c r="M567" t="s">
        <v>565</v>
      </c>
      <c r="N567" t="s">
        <v>565</v>
      </c>
      <c r="O567" t="s">
        <v>566</v>
      </c>
      <c r="P567" t="s">
        <v>567</v>
      </c>
      <c r="S567" t="s">
        <v>567</v>
      </c>
      <c r="T567" t="s">
        <v>567</v>
      </c>
      <c r="Z567" t="s">
        <v>568</v>
      </c>
      <c r="AA567" t="s">
        <v>568</v>
      </c>
      <c r="AC567" t="str">
        <v>Western Weather Protector Ltd.</v>
      </c>
    </row>
    <row r="568" spans="1:29">
      <c r="A568" t="s">
        <v>1714</v>
      </c>
      <c r="B568" t="s">
        <v>1720</v>
      </c>
      <c r="C568" t="s">
        <v>1721</v>
      </c>
      <c r="D568" t="s">
        <v>1717</v>
      </c>
      <c r="E568" t="s">
        <v>1728</v>
      </c>
      <c r="F568" t="s">
        <v>562</v>
      </c>
      <c r="G568" t="s">
        <v>562</v>
      </c>
      <c r="H568" t="s">
        <v>562</v>
      </c>
      <c r="I568">
        <v>3976</v>
      </c>
      <c r="J568" t="s">
        <v>564</v>
      </c>
      <c r="K568" s="698">
        <v>45957.461111111108</v>
      </c>
      <c r="L568" s="698">
        <v>45957.461111111108</v>
      </c>
      <c r="M568" t="s">
        <v>565</v>
      </c>
      <c r="N568" t="s">
        <v>565</v>
      </c>
      <c r="O568" t="s">
        <v>566</v>
      </c>
      <c r="P568" t="s">
        <v>567</v>
      </c>
      <c r="S568" t="s">
        <v>567</v>
      </c>
      <c r="T568" t="s">
        <v>567</v>
      </c>
      <c r="Z568" t="s">
        <v>568</v>
      </c>
      <c r="AA568" t="s">
        <v>568</v>
      </c>
      <c r="AC568" t="str">
        <v>Westfield McCall Lake Ind.</v>
      </c>
    </row>
    <row r="569" spans="1:29">
      <c r="A569" t="s">
        <v>1714</v>
      </c>
      <c r="B569" t="s">
        <v>1720</v>
      </c>
      <c r="C569" t="s">
        <v>1721</v>
      </c>
      <c r="D569" t="s">
        <v>1717</v>
      </c>
      <c r="E569" t="s">
        <v>1729</v>
      </c>
      <c r="F569" t="s">
        <v>562</v>
      </c>
      <c r="G569" t="s">
        <v>562</v>
      </c>
      <c r="H569" t="s">
        <v>562</v>
      </c>
      <c r="I569">
        <v>3979</v>
      </c>
      <c r="J569" t="s">
        <v>564</v>
      </c>
      <c r="K569" s="698">
        <v>45957.461805555555</v>
      </c>
      <c r="L569" s="698">
        <v>45957.461805555555</v>
      </c>
      <c r="M569" t="s">
        <v>565</v>
      </c>
      <c r="N569" t="s">
        <v>565</v>
      </c>
      <c r="O569" t="s">
        <v>566</v>
      </c>
      <c r="P569" t="s">
        <v>567</v>
      </c>
      <c r="S569" t="s">
        <v>567</v>
      </c>
      <c r="T569" t="s">
        <v>567</v>
      </c>
      <c r="Z569" t="s">
        <v>568</v>
      </c>
      <c r="AA569" t="s">
        <v>568</v>
      </c>
      <c r="AC569" t="str">
        <v>Willow Capital Corp</v>
      </c>
    </row>
    <row r="570" spans="1:29">
      <c r="A570" t="s">
        <v>1714</v>
      </c>
      <c r="B570" t="s">
        <v>1720</v>
      </c>
      <c r="C570" t="s">
        <v>1721</v>
      </c>
      <c r="D570" t="s">
        <v>1717</v>
      </c>
      <c r="E570" t="s">
        <v>1730</v>
      </c>
      <c r="F570" t="s">
        <v>562</v>
      </c>
      <c r="G570" t="s">
        <v>562</v>
      </c>
      <c r="H570" t="s">
        <v>562</v>
      </c>
      <c r="I570">
        <v>3993</v>
      </c>
      <c r="J570" t="s">
        <v>564</v>
      </c>
      <c r="K570" s="698">
        <v>45957.463194444441</v>
      </c>
      <c r="L570" s="698">
        <v>45957.463194444441</v>
      </c>
      <c r="M570" t="s">
        <v>565</v>
      </c>
      <c r="N570" t="s">
        <v>565</v>
      </c>
      <c r="O570" t="s">
        <v>566</v>
      </c>
      <c r="P570" t="s">
        <v>567</v>
      </c>
      <c r="S570" t="s">
        <v>567</v>
      </c>
      <c r="T570" t="s">
        <v>567</v>
      </c>
      <c r="Z570" t="s">
        <v>568</v>
      </c>
      <c r="AA570" t="s">
        <v>568</v>
      </c>
      <c r="AC570" t="str">
        <v>Windmill Mechanical Services INC</v>
      </c>
    </row>
    <row r="571" spans="1:29">
      <c r="A571" t="s">
        <v>1714</v>
      </c>
      <c r="B571" t="s">
        <v>1720</v>
      </c>
      <c r="C571" t="s">
        <v>1721</v>
      </c>
      <c r="D571" t="s">
        <v>1717</v>
      </c>
      <c r="E571" t="s">
        <v>1731</v>
      </c>
      <c r="F571" t="s">
        <v>562</v>
      </c>
      <c r="G571" t="s">
        <v>562</v>
      </c>
      <c r="H571" t="s">
        <v>562</v>
      </c>
      <c r="I571">
        <v>3999</v>
      </c>
      <c r="J571" t="s">
        <v>564</v>
      </c>
      <c r="K571" s="698">
        <v>45957.463888888888</v>
      </c>
      <c r="L571" s="698">
        <v>45957.463888888888</v>
      </c>
      <c r="M571" t="s">
        <v>565</v>
      </c>
      <c r="N571" t="s">
        <v>565</v>
      </c>
      <c r="O571" t="s">
        <v>566</v>
      </c>
      <c r="P571" t="s">
        <v>567</v>
      </c>
      <c r="S571" t="s">
        <v>567</v>
      </c>
      <c r="T571" t="s">
        <v>567</v>
      </c>
      <c r="Z571" t="s">
        <v>568</v>
      </c>
      <c r="AA571" t="s">
        <v>568</v>
      </c>
      <c r="AC571" t="str">
        <v>Wing Kei</v>
      </c>
    </row>
    <row r="572" spans="1:29">
      <c r="A572" t="s">
        <v>1714</v>
      </c>
      <c r="B572" t="s">
        <v>1720</v>
      </c>
      <c r="C572" t="s">
        <v>1721</v>
      </c>
      <c r="D572" t="s">
        <v>1717</v>
      </c>
      <c r="E572" t="s">
        <v>1732</v>
      </c>
      <c r="F572" t="s">
        <v>562</v>
      </c>
      <c r="G572" t="s">
        <v>562</v>
      </c>
      <c r="H572" t="s">
        <v>562</v>
      </c>
      <c r="I572">
        <v>4002</v>
      </c>
      <c r="J572" t="s">
        <v>564</v>
      </c>
      <c r="K572" s="698">
        <v>45957.464583333334</v>
      </c>
      <c r="L572" s="698">
        <v>45957.464583333334</v>
      </c>
      <c r="M572" t="s">
        <v>565</v>
      </c>
      <c r="N572" t="s">
        <v>565</v>
      </c>
      <c r="O572" t="s">
        <v>566</v>
      </c>
      <c r="P572" t="s">
        <v>567</v>
      </c>
      <c r="S572" t="s">
        <v>567</v>
      </c>
      <c r="T572" t="s">
        <v>567</v>
      </c>
      <c r="Z572" t="s">
        <v>568</v>
      </c>
      <c r="AA572" t="s">
        <v>568</v>
      </c>
      <c r="AC572" t="str">
        <v>Winsport</v>
      </c>
    </row>
    <row r="573" spans="1:29">
      <c r="A573" t="s">
        <v>1714</v>
      </c>
      <c r="B573" t="s">
        <v>1720</v>
      </c>
      <c r="C573" t="s">
        <v>1721</v>
      </c>
      <c r="D573" t="s">
        <v>1717</v>
      </c>
      <c r="E573" t="s">
        <v>1733</v>
      </c>
      <c r="F573" t="s">
        <v>562</v>
      </c>
      <c r="G573" t="s">
        <v>562</v>
      </c>
      <c r="H573" t="s">
        <v>562</v>
      </c>
      <c r="I573">
        <v>4003</v>
      </c>
      <c r="J573" t="s">
        <v>564</v>
      </c>
      <c r="K573" s="698">
        <v>45957.464583333334</v>
      </c>
      <c r="L573" s="698">
        <v>45957.464583333334</v>
      </c>
      <c r="M573" t="s">
        <v>565</v>
      </c>
      <c r="N573" t="s">
        <v>565</v>
      </c>
      <c r="O573" t="s">
        <v>566</v>
      </c>
      <c r="P573" t="s">
        <v>567</v>
      </c>
      <c r="S573" t="s">
        <v>567</v>
      </c>
      <c r="T573" t="s">
        <v>567</v>
      </c>
      <c r="Z573" t="s">
        <v>568</v>
      </c>
      <c r="AA573" t="s">
        <v>568</v>
      </c>
      <c r="AC573" t="str">
        <v>Winston Heights Mountview</v>
      </c>
    </row>
    <row r="574" spans="1:29">
      <c r="A574" t="s">
        <v>1714</v>
      </c>
      <c r="B574" t="s">
        <v>1720</v>
      </c>
      <c r="C574" t="s">
        <v>562</v>
      </c>
      <c r="D574" t="s">
        <v>1717</v>
      </c>
      <c r="E574" t="s">
        <v>1734</v>
      </c>
      <c r="F574" t="s">
        <v>562</v>
      </c>
      <c r="G574" t="s">
        <v>562</v>
      </c>
      <c r="H574" t="s">
        <v>562</v>
      </c>
      <c r="I574">
        <v>4032</v>
      </c>
      <c r="J574" t="s">
        <v>564</v>
      </c>
      <c r="K574" s="698">
        <v>45957.468055555553</v>
      </c>
      <c r="L574" s="698">
        <v>45957.468055555553</v>
      </c>
      <c r="M574" t="s">
        <v>565</v>
      </c>
      <c r="N574" t="s">
        <v>565</v>
      </c>
      <c r="O574" t="s">
        <v>566</v>
      </c>
      <c r="P574" t="s">
        <v>567</v>
      </c>
      <c r="S574" t="s">
        <v>567</v>
      </c>
      <c r="T574" t="s">
        <v>567</v>
      </c>
      <c r="Z574" t="s">
        <v>568</v>
      </c>
      <c r="AA574" t="s">
        <v>568</v>
      </c>
      <c r="AC574" t="str">
        <v>Workhub Software Corp</v>
      </c>
    </row>
    <row r="575" spans="1:29">
      <c r="A575" t="s">
        <v>1714</v>
      </c>
      <c r="B575" t="s">
        <v>1720</v>
      </c>
      <c r="C575" t="s">
        <v>562</v>
      </c>
      <c r="D575" t="s">
        <v>1717</v>
      </c>
      <c r="E575" t="s">
        <v>1735</v>
      </c>
      <c r="F575" t="s">
        <v>562</v>
      </c>
      <c r="G575" t="s">
        <v>562</v>
      </c>
      <c r="H575" t="s">
        <v>562</v>
      </c>
      <c r="I575">
        <v>4038</v>
      </c>
      <c r="J575" t="s">
        <v>564</v>
      </c>
      <c r="K575" s="698">
        <v>45957.46875</v>
      </c>
      <c r="L575" s="698">
        <v>45957.46875</v>
      </c>
      <c r="M575" t="s">
        <v>565</v>
      </c>
      <c r="N575" t="s">
        <v>565</v>
      </c>
      <c r="O575" t="s">
        <v>566</v>
      </c>
      <c r="P575" t="s">
        <v>567</v>
      </c>
      <c r="S575" t="s">
        <v>567</v>
      </c>
      <c r="T575" t="s">
        <v>567</v>
      </c>
      <c r="Z575" t="s">
        <v>568</v>
      </c>
      <c r="AA575" t="s">
        <v>568</v>
      </c>
      <c r="AC575" t="str">
        <v>Wow Lighting and Controls Inc.</v>
      </c>
    </row>
    <row r="576" spans="1:29">
      <c r="A576" t="s">
        <v>1714</v>
      </c>
      <c r="B576" t="s">
        <v>562</v>
      </c>
      <c r="C576" t="s">
        <v>1721</v>
      </c>
      <c r="D576" t="s">
        <v>1717</v>
      </c>
      <c r="E576" t="s">
        <v>1736</v>
      </c>
      <c r="F576" t="s">
        <v>562</v>
      </c>
      <c r="G576" t="s">
        <v>562</v>
      </c>
      <c r="H576" t="s">
        <v>562</v>
      </c>
      <c r="I576">
        <v>4084</v>
      </c>
      <c r="J576" t="s">
        <v>564</v>
      </c>
      <c r="K576" s="698">
        <v>45957.474305555559</v>
      </c>
      <c r="L576" s="698">
        <v>45957.474305555559</v>
      </c>
      <c r="M576" t="s">
        <v>565</v>
      </c>
      <c r="N576" t="s">
        <v>565</v>
      </c>
      <c r="O576" t="s">
        <v>566</v>
      </c>
      <c r="P576" t="s">
        <v>567</v>
      </c>
      <c r="S576" t="s">
        <v>567</v>
      </c>
      <c r="T576" t="s">
        <v>567</v>
      </c>
      <c r="Z576" t="s">
        <v>568</v>
      </c>
      <c r="AA576" t="s">
        <v>568</v>
      </c>
      <c r="AC576" t="str">
        <v>WRE Development Ltd</v>
      </c>
    </row>
    <row r="577" spans="1:29">
      <c r="A577" t="s">
        <v>1714</v>
      </c>
      <c r="B577" t="s">
        <v>1720</v>
      </c>
      <c r="C577" t="s">
        <v>1721</v>
      </c>
      <c r="D577" t="s">
        <v>1717</v>
      </c>
      <c r="E577" t="s">
        <v>1737</v>
      </c>
      <c r="F577" t="s">
        <v>562</v>
      </c>
      <c r="G577" t="s">
        <v>562</v>
      </c>
      <c r="H577" t="s">
        <v>562</v>
      </c>
      <c r="I577">
        <v>4085</v>
      </c>
      <c r="J577" t="s">
        <v>564</v>
      </c>
      <c r="K577" s="698">
        <v>45957.474305555559</v>
      </c>
      <c r="L577" s="698">
        <v>45957.474305555559</v>
      </c>
      <c r="M577" t="s">
        <v>565</v>
      </c>
      <c r="N577" t="s">
        <v>565</v>
      </c>
      <c r="O577" t="s">
        <v>566</v>
      </c>
      <c r="P577" t="s">
        <v>567</v>
      </c>
      <c r="S577" t="s">
        <v>567</v>
      </c>
      <c r="T577" t="s">
        <v>567</v>
      </c>
      <c r="Z577" t="s">
        <v>568</v>
      </c>
      <c r="AA577" t="s">
        <v>568</v>
      </c>
      <c r="AC577" t="str">
        <v>WSP Canada Inc</v>
      </c>
    </row>
    <row r="578" spans="1:29">
      <c r="A578" t="s">
        <v>1714</v>
      </c>
      <c r="B578" t="s">
        <v>1720</v>
      </c>
      <c r="C578" t="s">
        <v>1721</v>
      </c>
      <c r="D578" t="s">
        <v>1717</v>
      </c>
      <c r="E578" t="s">
        <v>1738</v>
      </c>
      <c r="F578" t="s">
        <v>562</v>
      </c>
      <c r="G578" t="s">
        <v>562</v>
      </c>
      <c r="H578" t="s">
        <v>562</v>
      </c>
      <c r="I578">
        <v>4302</v>
      </c>
      <c r="J578" t="s">
        <v>564</v>
      </c>
      <c r="K578" s="698">
        <v>45957.501388888886</v>
      </c>
      <c r="L578" s="698">
        <v>45957.501388888886</v>
      </c>
      <c r="M578" t="s">
        <v>565</v>
      </c>
      <c r="N578" t="s">
        <v>565</v>
      </c>
      <c r="O578" t="s">
        <v>566</v>
      </c>
      <c r="P578" t="s">
        <v>567</v>
      </c>
      <c r="S578" t="s">
        <v>567</v>
      </c>
      <c r="T578" t="s">
        <v>567</v>
      </c>
      <c r="Z578" t="s">
        <v>568</v>
      </c>
      <c r="AA578" t="s">
        <v>568</v>
      </c>
      <c r="AC578" t="str">
        <v>York Realty Inc</v>
      </c>
    </row>
    <row r="579" spans="1:29">
      <c r="A579" t="s">
        <v>1714</v>
      </c>
      <c r="B579" t="s">
        <v>562</v>
      </c>
      <c r="C579" t="s">
        <v>1721</v>
      </c>
      <c r="D579" t="s">
        <v>1717</v>
      </c>
      <c r="E579" t="s">
        <v>1739</v>
      </c>
      <c r="F579" t="s">
        <v>562</v>
      </c>
      <c r="G579" t="s">
        <v>562</v>
      </c>
      <c r="H579" t="s">
        <v>562</v>
      </c>
      <c r="I579">
        <v>4341</v>
      </c>
      <c r="J579" t="s">
        <v>564</v>
      </c>
      <c r="K579" s="698">
        <v>45957.506944444445</v>
      </c>
      <c r="L579" s="698">
        <v>45957.506944444445</v>
      </c>
      <c r="M579" t="s">
        <v>565</v>
      </c>
      <c r="N579" t="s">
        <v>565</v>
      </c>
      <c r="O579" t="s">
        <v>566</v>
      </c>
      <c r="P579" t="s">
        <v>567</v>
      </c>
      <c r="S579" t="s">
        <v>567</v>
      </c>
      <c r="T579" t="s">
        <v>567</v>
      </c>
      <c r="Z579" t="s">
        <v>568</v>
      </c>
      <c r="AA579" t="s">
        <v>568</v>
      </c>
      <c r="AC579" t="str">
        <v>YYC Hangar Group</v>
      </c>
    </row>
    <row r="580" spans="1:29">
      <c r="A580" t="s">
        <v>1714</v>
      </c>
      <c r="B580" t="s">
        <v>562</v>
      </c>
      <c r="C580" t="s">
        <v>562</v>
      </c>
      <c r="D580" t="s">
        <v>1717</v>
      </c>
      <c r="E580" t="s">
        <v>1740</v>
      </c>
      <c r="F580" t="s">
        <v>562</v>
      </c>
      <c r="G580" t="s">
        <v>562</v>
      </c>
      <c r="H580" t="s">
        <v>562</v>
      </c>
      <c r="I580">
        <v>4359</v>
      </c>
      <c r="J580" t="s">
        <v>564</v>
      </c>
      <c r="K580" s="698">
        <v>45957.509027777778</v>
      </c>
      <c r="L580" s="698">
        <v>45957.509027777778</v>
      </c>
      <c r="M580" t="s">
        <v>565</v>
      </c>
      <c r="N580" t="s">
        <v>565</v>
      </c>
      <c r="O580" t="s">
        <v>566</v>
      </c>
      <c r="P580" t="s">
        <v>567</v>
      </c>
      <c r="S580" t="s">
        <v>567</v>
      </c>
      <c r="T580" t="s">
        <v>567</v>
      </c>
      <c r="Z580" t="s">
        <v>568</v>
      </c>
      <c r="AA580" t="s">
        <v>568</v>
      </c>
      <c r="AC580" t="str">
        <v>Zen Lake Holdings Inc.</v>
      </c>
    </row>
    <row r="581" spans="1:29">
      <c r="A581" t="s">
        <v>1714</v>
      </c>
      <c r="B581" t="s">
        <v>562</v>
      </c>
      <c r="C581" t="s">
        <v>1741</v>
      </c>
      <c r="D581" t="s">
        <v>1717</v>
      </c>
      <c r="E581" t="s">
        <v>1742</v>
      </c>
      <c r="F581" t="s">
        <v>562</v>
      </c>
      <c r="G581" t="s">
        <v>562</v>
      </c>
      <c r="H581" t="s">
        <v>562</v>
      </c>
      <c r="I581">
        <v>4370</v>
      </c>
      <c r="J581" t="s">
        <v>564</v>
      </c>
      <c r="K581" s="698">
        <v>45957.510416666664</v>
      </c>
      <c r="L581" s="698">
        <v>45957.510416666664</v>
      </c>
      <c r="M581" t="s">
        <v>565</v>
      </c>
      <c r="N581" t="s">
        <v>565</v>
      </c>
      <c r="O581" t="s">
        <v>566</v>
      </c>
      <c r="P581" t="s">
        <v>567</v>
      </c>
      <c r="S581" t="s">
        <v>567</v>
      </c>
      <c r="T581" t="s">
        <v>567</v>
      </c>
      <c r="Z581" t="s">
        <v>568</v>
      </c>
      <c r="AA581" t="s">
        <v>568</v>
      </c>
    </row>
    <row r="582" spans="1:29">
      <c r="A582" t="s">
        <v>1714</v>
      </c>
      <c r="B582" t="s">
        <v>1715</v>
      </c>
      <c r="C582" t="s">
        <v>1716</v>
      </c>
      <c r="D582" t="s">
        <v>1717</v>
      </c>
      <c r="E582" t="s">
        <v>1743</v>
      </c>
      <c r="F582" t="s">
        <v>562</v>
      </c>
      <c r="G582" t="s">
        <v>562</v>
      </c>
      <c r="H582" t="s">
        <v>562</v>
      </c>
      <c r="I582">
        <v>4470</v>
      </c>
      <c r="J582" t="s">
        <v>564</v>
      </c>
      <c r="K582" s="698">
        <v>45957.522916666669</v>
      </c>
      <c r="L582" s="698">
        <v>45957.522916666669</v>
      </c>
      <c r="M582" t="s">
        <v>565</v>
      </c>
      <c r="N582" t="s">
        <v>565</v>
      </c>
      <c r="O582" t="s">
        <v>566</v>
      </c>
      <c r="P582" t="s">
        <v>567</v>
      </c>
      <c r="S582" t="s">
        <v>567</v>
      </c>
      <c r="T582" t="s">
        <v>567</v>
      </c>
      <c r="Z582" t="s">
        <v>568</v>
      </c>
      <c r="AA582" t="s">
        <v>568</v>
      </c>
    </row>
    <row r="583" spans="1:29">
      <c r="A583" t="s">
        <v>1714</v>
      </c>
      <c r="B583" t="s">
        <v>562</v>
      </c>
      <c r="C583" t="s">
        <v>562</v>
      </c>
      <c r="D583" t="s">
        <v>1717</v>
      </c>
      <c r="E583" t="s">
        <v>1744</v>
      </c>
      <c r="F583" t="s">
        <v>562</v>
      </c>
      <c r="G583" t="s">
        <v>562</v>
      </c>
      <c r="H583" t="s">
        <v>562</v>
      </c>
      <c r="I583">
        <v>4540</v>
      </c>
      <c r="J583" t="s">
        <v>564</v>
      </c>
      <c r="K583" s="698">
        <v>45957.53125</v>
      </c>
      <c r="L583" s="698">
        <v>45957.53125</v>
      </c>
      <c r="M583" t="s">
        <v>565</v>
      </c>
      <c r="N583" t="s">
        <v>565</v>
      </c>
      <c r="O583" t="s">
        <v>566</v>
      </c>
      <c r="P583" t="s">
        <v>567</v>
      </c>
      <c r="S583" t="s">
        <v>567</v>
      </c>
      <c r="T583" t="s">
        <v>567</v>
      </c>
      <c r="Z583" t="s">
        <v>568</v>
      </c>
      <c r="AA583" t="s">
        <v>568</v>
      </c>
    </row>
    <row r="584" spans="1:29">
      <c r="A584" t="s">
        <v>1714</v>
      </c>
      <c r="B584" t="s">
        <v>562</v>
      </c>
      <c r="C584" t="s">
        <v>562</v>
      </c>
      <c r="D584" t="s">
        <v>1717</v>
      </c>
      <c r="E584" t="s">
        <v>1745</v>
      </c>
      <c r="F584" t="s">
        <v>562</v>
      </c>
      <c r="G584" t="s">
        <v>562</v>
      </c>
      <c r="H584" t="s">
        <v>562</v>
      </c>
      <c r="I584">
        <v>4616</v>
      </c>
      <c r="J584" t="s">
        <v>564</v>
      </c>
      <c r="K584" s="698">
        <v>45957.540972222225</v>
      </c>
      <c r="L584" s="698">
        <v>45957.540972222225</v>
      </c>
      <c r="M584" t="s">
        <v>565</v>
      </c>
      <c r="N584" t="s">
        <v>565</v>
      </c>
      <c r="O584" t="s">
        <v>566</v>
      </c>
      <c r="P584" t="s">
        <v>567</v>
      </c>
      <c r="S584" t="s">
        <v>567</v>
      </c>
      <c r="T584" t="s">
        <v>567</v>
      </c>
      <c r="Z584" t="s">
        <v>568</v>
      </c>
      <c r="AA584" t="s">
        <v>568</v>
      </c>
    </row>
    <row r="585" spans="1:29">
      <c r="A585" t="s">
        <v>1714</v>
      </c>
      <c r="B585" t="s">
        <v>562</v>
      </c>
      <c r="C585" t="s">
        <v>1746</v>
      </c>
      <c r="D585" t="s">
        <v>1717</v>
      </c>
      <c r="E585" t="s">
        <v>1747</v>
      </c>
      <c r="F585" t="s">
        <v>562</v>
      </c>
      <c r="G585" t="s">
        <v>562</v>
      </c>
      <c r="H585" t="s">
        <v>562</v>
      </c>
      <c r="I585">
        <v>4617</v>
      </c>
      <c r="J585" t="s">
        <v>564</v>
      </c>
      <c r="K585" s="698">
        <v>45957.540972222225</v>
      </c>
      <c r="L585" s="698">
        <v>45957.540972222225</v>
      </c>
      <c r="M585" t="s">
        <v>565</v>
      </c>
      <c r="N585" t="s">
        <v>565</v>
      </c>
      <c r="O585" t="s">
        <v>566</v>
      </c>
      <c r="P585" t="s">
        <v>567</v>
      </c>
      <c r="S585" t="s">
        <v>567</v>
      </c>
      <c r="T585" t="s">
        <v>567</v>
      </c>
      <c r="Z585" t="s">
        <v>568</v>
      </c>
      <c r="AA585" t="s">
        <v>568</v>
      </c>
    </row>
    <row r="586" spans="1:29">
      <c r="A586" t="s">
        <v>1714</v>
      </c>
      <c r="B586" t="s">
        <v>1748</v>
      </c>
      <c r="C586" t="s">
        <v>562</v>
      </c>
      <c r="D586" t="s">
        <v>1717</v>
      </c>
      <c r="E586" t="s">
        <v>1749</v>
      </c>
      <c r="F586" t="s">
        <v>562</v>
      </c>
      <c r="G586" t="s">
        <v>562</v>
      </c>
      <c r="H586" t="s">
        <v>562</v>
      </c>
      <c r="I586">
        <v>4650</v>
      </c>
      <c r="J586" t="s">
        <v>564</v>
      </c>
      <c r="K586" s="698">
        <v>45957.547222222223</v>
      </c>
      <c r="L586" s="698">
        <v>45957.547222222223</v>
      </c>
      <c r="M586" t="s">
        <v>565</v>
      </c>
      <c r="N586" t="s">
        <v>565</v>
      </c>
      <c r="O586" t="s">
        <v>566</v>
      </c>
      <c r="P586" t="s">
        <v>567</v>
      </c>
      <c r="S586" t="s">
        <v>567</v>
      </c>
      <c r="T586" t="s">
        <v>567</v>
      </c>
      <c r="Z586" t="s">
        <v>568</v>
      </c>
      <c r="AA586" t="s">
        <v>568</v>
      </c>
    </row>
    <row r="587" spans="1:29">
      <c r="A587" t="s">
        <v>1714</v>
      </c>
      <c r="B587" t="s">
        <v>1750</v>
      </c>
      <c r="C587" t="s">
        <v>1751</v>
      </c>
      <c r="D587" t="s">
        <v>1717</v>
      </c>
      <c r="E587" t="s">
        <v>1752</v>
      </c>
      <c r="F587" t="s">
        <v>562</v>
      </c>
      <c r="G587" t="s">
        <v>562</v>
      </c>
      <c r="H587" t="s">
        <v>562</v>
      </c>
      <c r="I587">
        <v>4801</v>
      </c>
      <c r="J587" t="s">
        <v>564</v>
      </c>
      <c r="K587" s="698">
        <v>45957.552083333336</v>
      </c>
      <c r="L587" s="698">
        <v>45957.552083333336</v>
      </c>
      <c r="M587" t="s">
        <v>565</v>
      </c>
      <c r="N587" t="s">
        <v>565</v>
      </c>
      <c r="O587" t="s">
        <v>566</v>
      </c>
      <c r="P587" t="s">
        <v>567</v>
      </c>
      <c r="S587" t="s">
        <v>567</v>
      </c>
      <c r="T587" t="s">
        <v>567</v>
      </c>
      <c r="Z587" t="s">
        <v>568</v>
      </c>
      <c r="AA587" t="s">
        <v>568</v>
      </c>
    </row>
    <row r="588" spans="1:29">
      <c r="A588" t="s">
        <v>1714</v>
      </c>
      <c r="B588" t="s">
        <v>562</v>
      </c>
      <c r="C588" t="s">
        <v>562</v>
      </c>
      <c r="D588" t="s">
        <v>1717</v>
      </c>
      <c r="E588" t="s">
        <v>1753</v>
      </c>
      <c r="F588" t="s">
        <v>562</v>
      </c>
      <c r="G588" t="s">
        <v>562</v>
      </c>
      <c r="H588" t="s">
        <v>562</v>
      </c>
      <c r="I588">
        <v>4808</v>
      </c>
      <c r="J588" t="s">
        <v>564</v>
      </c>
      <c r="K588" s="698">
        <v>45957.552777777775</v>
      </c>
      <c r="L588" s="698">
        <v>45957.552777777775</v>
      </c>
      <c r="M588" t="s">
        <v>565</v>
      </c>
      <c r="N588" t="s">
        <v>565</v>
      </c>
      <c r="O588" t="s">
        <v>566</v>
      </c>
      <c r="P588" t="s">
        <v>567</v>
      </c>
      <c r="S588" t="s">
        <v>567</v>
      </c>
      <c r="T588" t="s">
        <v>567</v>
      </c>
      <c r="Z588" t="s">
        <v>568</v>
      </c>
      <c r="AA588" t="s">
        <v>568</v>
      </c>
    </row>
    <row r="589" spans="1:29">
      <c r="A589" t="s">
        <v>1714</v>
      </c>
      <c r="B589" t="s">
        <v>1715</v>
      </c>
      <c r="C589" t="s">
        <v>1716</v>
      </c>
      <c r="D589" t="s">
        <v>1717</v>
      </c>
      <c r="E589" t="s">
        <v>1754</v>
      </c>
      <c r="F589" t="s">
        <v>562</v>
      </c>
      <c r="G589" t="s">
        <v>562</v>
      </c>
      <c r="H589" t="s">
        <v>562</v>
      </c>
      <c r="I589">
        <v>4840</v>
      </c>
      <c r="J589" t="s">
        <v>564</v>
      </c>
      <c r="K589" s="698">
        <v>45957.553472222222</v>
      </c>
      <c r="L589" s="698">
        <v>45957.553472222222</v>
      </c>
      <c r="M589" t="s">
        <v>565</v>
      </c>
      <c r="N589" t="s">
        <v>565</v>
      </c>
      <c r="O589" t="s">
        <v>566</v>
      </c>
      <c r="P589" t="s">
        <v>567</v>
      </c>
      <c r="S589" t="s">
        <v>567</v>
      </c>
      <c r="T589" t="s">
        <v>567</v>
      </c>
      <c r="Z589" t="s">
        <v>568</v>
      </c>
      <c r="AA589" t="s">
        <v>568</v>
      </c>
    </row>
    <row r="590" spans="1:29">
      <c r="A590" t="s">
        <v>1714</v>
      </c>
      <c r="B590" t="s">
        <v>562</v>
      </c>
      <c r="C590" t="s">
        <v>562</v>
      </c>
      <c r="D590" t="s">
        <v>1717</v>
      </c>
      <c r="E590" t="s">
        <v>1755</v>
      </c>
      <c r="F590" t="s">
        <v>562</v>
      </c>
      <c r="G590" t="s">
        <v>562</v>
      </c>
      <c r="H590" t="s">
        <v>562</v>
      </c>
      <c r="I590">
        <v>4851</v>
      </c>
      <c r="J590" t="s">
        <v>564</v>
      </c>
      <c r="K590" s="698">
        <v>45957.554166666669</v>
      </c>
      <c r="L590" s="698">
        <v>45957.554166666669</v>
      </c>
      <c r="M590" t="s">
        <v>565</v>
      </c>
      <c r="N590" t="s">
        <v>565</v>
      </c>
      <c r="O590" t="s">
        <v>566</v>
      </c>
      <c r="P590" t="s">
        <v>567</v>
      </c>
      <c r="S590" t="s">
        <v>567</v>
      </c>
      <c r="T590" t="s">
        <v>567</v>
      </c>
      <c r="Z590" t="s">
        <v>568</v>
      </c>
      <c r="AA590" t="s">
        <v>568</v>
      </c>
    </row>
    <row r="591" spans="1:29">
      <c r="A591" t="s">
        <v>1714</v>
      </c>
      <c r="B591" t="s">
        <v>562</v>
      </c>
      <c r="C591" t="s">
        <v>562</v>
      </c>
      <c r="D591" t="s">
        <v>1717</v>
      </c>
      <c r="E591" t="s">
        <v>1756</v>
      </c>
      <c r="F591" t="s">
        <v>562</v>
      </c>
      <c r="G591" t="s">
        <v>562</v>
      </c>
      <c r="H591" t="s">
        <v>562</v>
      </c>
      <c r="I591">
        <v>4852</v>
      </c>
      <c r="J591" t="s">
        <v>564</v>
      </c>
      <c r="K591" s="698">
        <v>45957.554166666669</v>
      </c>
      <c r="L591" s="698">
        <v>45957.554166666669</v>
      </c>
      <c r="M591" t="s">
        <v>565</v>
      </c>
      <c r="N591" t="s">
        <v>565</v>
      </c>
      <c r="O591" t="s">
        <v>566</v>
      </c>
      <c r="P591" t="s">
        <v>567</v>
      </c>
      <c r="S591" t="s">
        <v>567</v>
      </c>
      <c r="T591" t="s">
        <v>567</v>
      </c>
      <c r="Z591" t="s">
        <v>568</v>
      </c>
      <c r="AA591" t="s">
        <v>568</v>
      </c>
    </row>
    <row r="592" spans="1:29">
      <c r="A592" t="s">
        <v>1714</v>
      </c>
      <c r="B592" t="s">
        <v>1715</v>
      </c>
      <c r="C592" t="s">
        <v>562</v>
      </c>
      <c r="D592" t="s">
        <v>562</v>
      </c>
      <c r="E592" t="s">
        <v>1757</v>
      </c>
      <c r="F592" t="s">
        <v>562</v>
      </c>
      <c r="G592" t="s">
        <v>562</v>
      </c>
      <c r="H592" t="s">
        <v>562</v>
      </c>
      <c r="I592">
        <v>4887</v>
      </c>
      <c r="J592" t="s">
        <v>564</v>
      </c>
      <c r="K592" s="698">
        <v>45957.554861111108</v>
      </c>
      <c r="L592" s="698">
        <v>45957.554861111108</v>
      </c>
      <c r="M592" t="s">
        <v>565</v>
      </c>
      <c r="N592" t="s">
        <v>565</v>
      </c>
      <c r="O592" t="s">
        <v>566</v>
      </c>
      <c r="P592" t="s">
        <v>567</v>
      </c>
      <c r="S592" t="s">
        <v>567</v>
      </c>
      <c r="T592" t="s">
        <v>567</v>
      </c>
      <c r="Z592" t="s">
        <v>568</v>
      </c>
      <c r="AA592" t="s">
        <v>568</v>
      </c>
    </row>
    <row r="593" spans="1:27">
      <c r="A593" t="s">
        <v>1714</v>
      </c>
      <c r="B593" t="s">
        <v>562</v>
      </c>
      <c r="C593" t="s">
        <v>562</v>
      </c>
      <c r="D593" t="s">
        <v>1717</v>
      </c>
      <c r="E593" t="s">
        <v>1758</v>
      </c>
      <c r="F593" t="s">
        <v>562</v>
      </c>
      <c r="G593" t="s">
        <v>562</v>
      </c>
      <c r="H593" t="s">
        <v>562</v>
      </c>
      <c r="I593">
        <v>4952</v>
      </c>
      <c r="J593" t="s">
        <v>564</v>
      </c>
      <c r="K593" s="698">
        <v>45957.556944444441</v>
      </c>
      <c r="L593" s="698">
        <v>45957.556944444441</v>
      </c>
      <c r="M593" t="s">
        <v>565</v>
      </c>
      <c r="N593" t="s">
        <v>565</v>
      </c>
      <c r="O593" t="s">
        <v>566</v>
      </c>
      <c r="P593" t="s">
        <v>567</v>
      </c>
      <c r="S593" t="s">
        <v>567</v>
      </c>
      <c r="T593" t="s">
        <v>567</v>
      </c>
      <c r="Z593" t="s">
        <v>568</v>
      </c>
      <c r="AA593" t="s">
        <v>568</v>
      </c>
    </row>
    <row r="594" spans="1:27">
      <c r="A594" t="s">
        <v>1714</v>
      </c>
      <c r="B594" t="s">
        <v>562</v>
      </c>
      <c r="C594" t="s">
        <v>562</v>
      </c>
      <c r="D594" t="s">
        <v>1717</v>
      </c>
      <c r="E594" t="s">
        <v>1759</v>
      </c>
      <c r="F594" t="s">
        <v>562</v>
      </c>
      <c r="G594" t="s">
        <v>562</v>
      </c>
      <c r="H594" t="s">
        <v>562</v>
      </c>
      <c r="I594">
        <v>4956</v>
      </c>
      <c r="J594" t="s">
        <v>564</v>
      </c>
      <c r="K594" s="698">
        <v>45957.556944444441</v>
      </c>
      <c r="L594" s="698">
        <v>45957.556944444441</v>
      </c>
      <c r="M594" t="s">
        <v>565</v>
      </c>
      <c r="N594" t="s">
        <v>565</v>
      </c>
      <c r="O594" t="s">
        <v>566</v>
      </c>
      <c r="P594" t="s">
        <v>567</v>
      </c>
      <c r="S594" t="s">
        <v>567</v>
      </c>
      <c r="T594" t="s">
        <v>567</v>
      </c>
      <c r="Z594" t="s">
        <v>568</v>
      </c>
      <c r="AA594" t="s">
        <v>568</v>
      </c>
    </row>
    <row r="595" spans="1:27">
      <c r="A595" t="s">
        <v>1714</v>
      </c>
      <c r="B595" t="s">
        <v>562</v>
      </c>
      <c r="C595" t="s">
        <v>562</v>
      </c>
      <c r="D595" t="s">
        <v>1717</v>
      </c>
      <c r="E595" t="s">
        <v>1760</v>
      </c>
      <c r="F595" t="s">
        <v>562</v>
      </c>
      <c r="G595" t="s">
        <v>562</v>
      </c>
      <c r="H595" t="s">
        <v>562</v>
      </c>
      <c r="I595">
        <v>5035</v>
      </c>
      <c r="J595" t="s">
        <v>564</v>
      </c>
      <c r="K595" s="698">
        <v>45957.55972222222</v>
      </c>
      <c r="L595" s="698">
        <v>45957.55972222222</v>
      </c>
      <c r="M595" t="s">
        <v>565</v>
      </c>
      <c r="N595" t="s">
        <v>565</v>
      </c>
      <c r="O595" t="s">
        <v>566</v>
      </c>
      <c r="P595" t="s">
        <v>567</v>
      </c>
      <c r="S595" t="s">
        <v>567</v>
      </c>
      <c r="T595" t="s">
        <v>567</v>
      </c>
      <c r="Z595" t="s">
        <v>568</v>
      </c>
      <c r="AA595" t="s">
        <v>568</v>
      </c>
    </row>
    <row r="596" spans="1:27">
      <c r="A596" t="s">
        <v>1714</v>
      </c>
      <c r="B596" t="s">
        <v>1715</v>
      </c>
      <c r="C596" t="s">
        <v>1716</v>
      </c>
      <c r="D596" t="s">
        <v>1717</v>
      </c>
      <c r="E596" t="s">
        <v>1761</v>
      </c>
      <c r="F596" t="s">
        <v>562</v>
      </c>
      <c r="G596" t="s">
        <v>562</v>
      </c>
      <c r="H596" t="s">
        <v>562</v>
      </c>
      <c r="I596">
        <v>5036</v>
      </c>
      <c r="J596" t="s">
        <v>564</v>
      </c>
      <c r="K596" s="698">
        <v>45957.55972222222</v>
      </c>
      <c r="L596" s="698">
        <v>45957.55972222222</v>
      </c>
      <c r="M596" t="s">
        <v>565</v>
      </c>
      <c r="N596" t="s">
        <v>565</v>
      </c>
      <c r="O596" t="s">
        <v>566</v>
      </c>
      <c r="P596" t="s">
        <v>567</v>
      </c>
      <c r="S596" t="s">
        <v>567</v>
      </c>
      <c r="T596" t="s">
        <v>567</v>
      </c>
      <c r="Z596" t="s">
        <v>568</v>
      </c>
      <c r="AA596" t="s">
        <v>568</v>
      </c>
    </row>
    <row r="597" spans="1:27">
      <c r="A597" t="s">
        <v>1714</v>
      </c>
      <c r="B597" t="s">
        <v>1720</v>
      </c>
      <c r="C597" t="s">
        <v>562</v>
      </c>
      <c r="D597" t="s">
        <v>1717</v>
      </c>
      <c r="E597" t="s">
        <v>1762</v>
      </c>
      <c r="F597" t="s">
        <v>562</v>
      </c>
      <c r="G597" t="s">
        <v>562</v>
      </c>
      <c r="H597" t="s">
        <v>562</v>
      </c>
      <c r="I597">
        <v>5039</v>
      </c>
      <c r="J597" t="s">
        <v>564</v>
      </c>
      <c r="K597" s="698">
        <v>45957.55972222222</v>
      </c>
      <c r="L597" s="698">
        <v>45957.55972222222</v>
      </c>
      <c r="M597" t="s">
        <v>565</v>
      </c>
      <c r="N597" t="s">
        <v>565</v>
      </c>
      <c r="O597" t="s">
        <v>566</v>
      </c>
      <c r="P597" t="s">
        <v>567</v>
      </c>
      <c r="S597" t="s">
        <v>567</v>
      </c>
      <c r="T597" t="s">
        <v>567</v>
      </c>
      <c r="Z597" t="s">
        <v>568</v>
      </c>
      <c r="AA597" t="s">
        <v>568</v>
      </c>
    </row>
    <row r="598" spans="1:27">
      <c r="A598" t="s">
        <v>1714</v>
      </c>
      <c r="B598" t="s">
        <v>1720</v>
      </c>
      <c r="C598" t="s">
        <v>562</v>
      </c>
      <c r="D598" t="s">
        <v>1717</v>
      </c>
      <c r="E598" t="s">
        <v>1763</v>
      </c>
      <c r="F598" t="s">
        <v>562</v>
      </c>
      <c r="G598" t="s">
        <v>562</v>
      </c>
      <c r="H598" t="s">
        <v>562</v>
      </c>
      <c r="I598">
        <v>5075</v>
      </c>
      <c r="J598" t="s">
        <v>564</v>
      </c>
      <c r="K598" s="698">
        <v>45957.560416666667</v>
      </c>
      <c r="L598" s="698">
        <v>45957.560416666667</v>
      </c>
      <c r="M598" t="s">
        <v>565</v>
      </c>
      <c r="N598" t="s">
        <v>565</v>
      </c>
      <c r="O598" t="s">
        <v>566</v>
      </c>
      <c r="P598" t="s">
        <v>567</v>
      </c>
      <c r="S598" t="s">
        <v>567</v>
      </c>
      <c r="T598" t="s">
        <v>567</v>
      </c>
      <c r="Z598" t="s">
        <v>568</v>
      </c>
      <c r="AA598" t="s">
        <v>568</v>
      </c>
    </row>
    <row r="599" spans="1:27">
      <c r="A599" t="s">
        <v>1714</v>
      </c>
      <c r="B599" t="s">
        <v>562</v>
      </c>
      <c r="C599" t="s">
        <v>1741</v>
      </c>
      <c r="D599" t="s">
        <v>1717</v>
      </c>
      <c r="E599" t="s">
        <v>1764</v>
      </c>
      <c r="F599" t="s">
        <v>562</v>
      </c>
      <c r="G599" t="s">
        <v>562</v>
      </c>
      <c r="H599" t="s">
        <v>562</v>
      </c>
      <c r="I599">
        <v>5095</v>
      </c>
      <c r="J599" t="s">
        <v>564</v>
      </c>
      <c r="K599" s="698">
        <v>45957.561111111114</v>
      </c>
      <c r="L599" s="698">
        <v>45957.561111111114</v>
      </c>
      <c r="M599" t="s">
        <v>565</v>
      </c>
      <c r="N599" t="s">
        <v>565</v>
      </c>
      <c r="O599" t="s">
        <v>566</v>
      </c>
      <c r="P599" t="s">
        <v>567</v>
      </c>
      <c r="S599" t="s">
        <v>567</v>
      </c>
      <c r="T599" t="s">
        <v>567</v>
      </c>
      <c r="Z599" t="s">
        <v>568</v>
      </c>
      <c r="AA599" t="s">
        <v>568</v>
      </c>
    </row>
    <row r="600" spans="1:27">
      <c r="A600" t="s">
        <v>1714</v>
      </c>
      <c r="B600" t="s">
        <v>562</v>
      </c>
      <c r="C600" t="s">
        <v>1741</v>
      </c>
      <c r="D600" t="s">
        <v>1717</v>
      </c>
      <c r="E600" t="s">
        <v>1765</v>
      </c>
      <c r="F600" t="s">
        <v>562</v>
      </c>
      <c r="G600" t="s">
        <v>562</v>
      </c>
      <c r="H600" t="s">
        <v>562</v>
      </c>
      <c r="I600">
        <v>5099</v>
      </c>
      <c r="J600" t="s">
        <v>564</v>
      </c>
      <c r="K600" s="698">
        <v>45957.561111111114</v>
      </c>
      <c r="L600" s="698">
        <v>45957.561111111114</v>
      </c>
      <c r="M600" t="s">
        <v>565</v>
      </c>
      <c r="N600" t="s">
        <v>565</v>
      </c>
      <c r="O600" t="s">
        <v>566</v>
      </c>
      <c r="P600" t="s">
        <v>567</v>
      </c>
      <c r="S600" t="s">
        <v>567</v>
      </c>
      <c r="T600" t="s">
        <v>567</v>
      </c>
      <c r="Z600" t="s">
        <v>568</v>
      </c>
      <c r="AA600" t="s">
        <v>568</v>
      </c>
    </row>
    <row r="601" spans="1:27">
      <c r="A601" t="s">
        <v>1766</v>
      </c>
      <c r="B601" t="s">
        <v>1767</v>
      </c>
      <c r="C601" t="s">
        <v>562</v>
      </c>
      <c r="D601" t="s">
        <v>562</v>
      </c>
      <c r="E601" t="s">
        <v>1768</v>
      </c>
      <c r="F601" t="s">
        <v>562</v>
      </c>
      <c r="G601" t="s">
        <v>562</v>
      </c>
      <c r="H601" t="s">
        <v>562</v>
      </c>
      <c r="I601">
        <v>3638</v>
      </c>
      <c r="J601" t="s">
        <v>564</v>
      </c>
      <c r="K601" s="698">
        <v>45957.424305555556</v>
      </c>
      <c r="L601" s="698">
        <v>45957.424305555556</v>
      </c>
      <c r="M601" t="s">
        <v>565</v>
      </c>
      <c r="N601" t="s">
        <v>565</v>
      </c>
      <c r="O601" t="s">
        <v>566</v>
      </c>
      <c r="P601" t="s">
        <v>567</v>
      </c>
      <c r="S601" t="s">
        <v>567</v>
      </c>
      <c r="T601" t="s">
        <v>567</v>
      </c>
      <c r="Z601" t="s">
        <v>568</v>
      </c>
      <c r="AA601" t="s">
        <v>568</v>
      </c>
    </row>
    <row r="602" spans="1:27">
      <c r="A602" t="s">
        <v>1766</v>
      </c>
      <c r="B602" t="s">
        <v>1165</v>
      </c>
      <c r="C602" t="s">
        <v>1769</v>
      </c>
      <c r="D602" t="s">
        <v>562</v>
      </c>
      <c r="E602" t="s">
        <v>1770</v>
      </c>
      <c r="F602" t="s">
        <v>562</v>
      </c>
      <c r="G602" t="s">
        <v>562</v>
      </c>
      <c r="H602" t="s">
        <v>562</v>
      </c>
      <c r="I602">
        <v>3774</v>
      </c>
      <c r="J602" t="s">
        <v>564</v>
      </c>
      <c r="K602" s="698">
        <v>45957.438888888886</v>
      </c>
      <c r="L602" s="698">
        <v>45957.438888888886</v>
      </c>
      <c r="M602" t="s">
        <v>565</v>
      </c>
      <c r="N602" t="s">
        <v>565</v>
      </c>
      <c r="O602" t="s">
        <v>566</v>
      </c>
      <c r="P602" t="s">
        <v>567</v>
      </c>
      <c r="S602" t="s">
        <v>567</v>
      </c>
      <c r="T602" t="s">
        <v>567</v>
      </c>
      <c r="Z602" t="s">
        <v>568</v>
      </c>
      <c r="AA602" t="s">
        <v>568</v>
      </c>
    </row>
    <row r="603" spans="1:27">
      <c r="A603" t="s">
        <v>1766</v>
      </c>
      <c r="B603" t="s">
        <v>1165</v>
      </c>
      <c r="C603" t="s">
        <v>1769</v>
      </c>
      <c r="D603" t="s">
        <v>562</v>
      </c>
      <c r="E603" t="s">
        <v>1771</v>
      </c>
      <c r="F603" t="s">
        <v>562</v>
      </c>
      <c r="G603" t="s">
        <v>562</v>
      </c>
      <c r="H603" t="s">
        <v>562</v>
      </c>
      <c r="I603">
        <v>3822</v>
      </c>
      <c r="J603" t="s">
        <v>564</v>
      </c>
      <c r="K603" s="698">
        <v>45957.444444444445</v>
      </c>
      <c r="L603" s="698">
        <v>45957.444444444445</v>
      </c>
      <c r="M603" t="s">
        <v>565</v>
      </c>
      <c r="N603" t="s">
        <v>565</v>
      </c>
      <c r="O603" t="s">
        <v>566</v>
      </c>
      <c r="P603" t="s">
        <v>567</v>
      </c>
      <c r="S603" t="s">
        <v>567</v>
      </c>
      <c r="T603" t="s">
        <v>567</v>
      </c>
      <c r="Z603" t="s">
        <v>568</v>
      </c>
      <c r="AA603" t="s">
        <v>568</v>
      </c>
    </row>
    <row r="604" spans="1:27">
      <c r="A604" t="s">
        <v>1766</v>
      </c>
      <c r="B604" t="s">
        <v>1165</v>
      </c>
      <c r="C604" t="s">
        <v>1769</v>
      </c>
      <c r="D604" t="s">
        <v>562</v>
      </c>
      <c r="E604" t="s">
        <v>1772</v>
      </c>
      <c r="F604" t="s">
        <v>562</v>
      </c>
      <c r="G604" t="s">
        <v>562</v>
      </c>
      <c r="H604" t="s">
        <v>562</v>
      </c>
      <c r="I604">
        <v>3921</v>
      </c>
      <c r="J604" t="s">
        <v>564</v>
      </c>
      <c r="K604" s="698">
        <v>45957.454861111109</v>
      </c>
      <c r="L604" s="698">
        <v>45957.454861111109</v>
      </c>
      <c r="M604" t="s">
        <v>565</v>
      </c>
      <c r="N604" t="s">
        <v>565</v>
      </c>
      <c r="O604" t="s">
        <v>566</v>
      </c>
      <c r="P604" t="s">
        <v>567</v>
      </c>
      <c r="S604" t="s">
        <v>567</v>
      </c>
      <c r="T604" t="s">
        <v>567</v>
      </c>
      <c r="Z604" t="s">
        <v>568</v>
      </c>
      <c r="AA604" t="s">
        <v>568</v>
      </c>
    </row>
    <row r="605" spans="1:27">
      <c r="A605" t="s">
        <v>1766</v>
      </c>
      <c r="B605" t="s">
        <v>1165</v>
      </c>
      <c r="C605" t="s">
        <v>1769</v>
      </c>
      <c r="D605" t="s">
        <v>562</v>
      </c>
      <c r="E605" t="s">
        <v>1773</v>
      </c>
      <c r="F605" t="s">
        <v>562</v>
      </c>
      <c r="G605" t="s">
        <v>562</v>
      </c>
      <c r="H605" t="s">
        <v>562</v>
      </c>
      <c r="I605">
        <v>3929</v>
      </c>
      <c r="J605" t="s">
        <v>564</v>
      </c>
      <c r="K605" s="698">
        <v>45957.455555555556</v>
      </c>
      <c r="L605" s="698">
        <v>45957.455555555556</v>
      </c>
      <c r="M605" t="s">
        <v>565</v>
      </c>
      <c r="N605" t="s">
        <v>565</v>
      </c>
      <c r="O605" t="s">
        <v>566</v>
      </c>
      <c r="P605" t="s">
        <v>567</v>
      </c>
      <c r="S605" t="s">
        <v>567</v>
      </c>
      <c r="T605" t="s">
        <v>567</v>
      </c>
      <c r="Z605" t="s">
        <v>568</v>
      </c>
      <c r="AA605" t="s">
        <v>568</v>
      </c>
    </row>
    <row r="606" spans="1:27">
      <c r="A606" t="s">
        <v>1766</v>
      </c>
      <c r="B606" t="s">
        <v>1165</v>
      </c>
      <c r="C606" t="s">
        <v>1774</v>
      </c>
      <c r="D606" t="s">
        <v>562</v>
      </c>
      <c r="E606" t="s">
        <v>1775</v>
      </c>
      <c r="F606" t="s">
        <v>562</v>
      </c>
      <c r="G606" t="s">
        <v>562</v>
      </c>
      <c r="H606" t="s">
        <v>562</v>
      </c>
      <c r="I606">
        <v>3977</v>
      </c>
      <c r="J606" t="s">
        <v>564</v>
      </c>
      <c r="K606" s="698">
        <v>45957.461805555555</v>
      </c>
      <c r="L606" s="698">
        <v>45957.461805555555</v>
      </c>
      <c r="M606" t="s">
        <v>565</v>
      </c>
      <c r="N606" t="s">
        <v>565</v>
      </c>
      <c r="O606" t="s">
        <v>566</v>
      </c>
      <c r="P606" t="s">
        <v>567</v>
      </c>
      <c r="S606" t="s">
        <v>567</v>
      </c>
      <c r="T606" t="s">
        <v>567</v>
      </c>
      <c r="Z606" t="s">
        <v>568</v>
      </c>
      <c r="AA606" t="s">
        <v>568</v>
      </c>
    </row>
    <row r="607" spans="1:27">
      <c r="A607" t="s">
        <v>1766</v>
      </c>
      <c r="B607" t="s">
        <v>1165</v>
      </c>
      <c r="C607" t="s">
        <v>1776</v>
      </c>
      <c r="D607" t="s">
        <v>562</v>
      </c>
      <c r="E607" t="s">
        <v>1777</v>
      </c>
      <c r="F607" t="s">
        <v>562</v>
      </c>
      <c r="G607" t="s">
        <v>562</v>
      </c>
      <c r="H607" t="s">
        <v>562</v>
      </c>
      <c r="I607">
        <v>3983</v>
      </c>
      <c r="J607" t="s">
        <v>564</v>
      </c>
      <c r="K607" s="698">
        <v>45957.461805555555</v>
      </c>
      <c r="L607" s="698">
        <v>45957.461805555555</v>
      </c>
      <c r="M607" t="s">
        <v>565</v>
      </c>
      <c r="N607" t="s">
        <v>565</v>
      </c>
      <c r="O607" t="s">
        <v>566</v>
      </c>
      <c r="P607" t="s">
        <v>567</v>
      </c>
      <c r="S607" t="s">
        <v>567</v>
      </c>
      <c r="T607" t="s">
        <v>567</v>
      </c>
      <c r="Z607" t="s">
        <v>568</v>
      </c>
      <c r="AA607" t="s">
        <v>568</v>
      </c>
    </row>
    <row r="608" spans="1:27">
      <c r="A608" t="s">
        <v>1766</v>
      </c>
      <c r="B608" t="s">
        <v>1778</v>
      </c>
      <c r="C608" t="s">
        <v>1779</v>
      </c>
      <c r="D608" t="s">
        <v>562</v>
      </c>
      <c r="E608" t="s">
        <v>1780</v>
      </c>
      <c r="F608" t="s">
        <v>562</v>
      </c>
      <c r="G608" t="s">
        <v>562</v>
      </c>
      <c r="H608" t="s">
        <v>562</v>
      </c>
      <c r="I608">
        <v>3994</v>
      </c>
      <c r="J608" t="s">
        <v>564</v>
      </c>
      <c r="K608" s="698">
        <v>45957.463888888888</v>
      </c>
      <c r="L608" s="698">
        <v>45957.463888888888</v>
      </c>
      <c r="M608" t="s">
        <v>565</v>
      </c>
      <c r="N608" t="s">
        <v>565</v>
      </c>
      <c r="O608" t="s">
        <v>566</v>
      </c>
      <c r="P608" t="s">
        <v>567</v>
      </c>
      <c r="S608" t="s">
        <v>567</v>
      </c>
      <c r="T608" t="s">
        <v>567</v>
      </c>
      <c r="Z608" t="s">
        <v>568</v>
      </c>
      <c r="AA608" t="s">
        <v>568</v>
      </c>
    </row>
    <row r="609" spans="1:27">
      <c r="A609" t="s">
        <v>1766</v>
      </c>
      <c r="B609" t="s">
        <v>1165</v>
      </c>
      <c r="C609" t="s">
        <v>1776</v>
      </c>
      <c r="D609" t="s">
        <v>562</v>
      </c>
      <c r="E609" t="s">
        <v>1781</v>
      </c>
      <c r="F609" t="s">
        <v>562</v>
      </c>
      <c r="G609" t="s">
        <v>562</v>
      </c>
      <c r="H609" t="s">
        <v>562</v>
      </c>
      <c r="I609">
        <v>4000</v>
      </c>
      <c r="J609" t="s">
        <v>564</v>
      </c>
      <c r="K609" s="698">
        <v>45957.464583333334</v>
      </c>
      <c r="L609" s="698">
        <v>45957.464583333334</v>
      </c>
      <c r="M609" t="s">
        <v>565</v>
      </c>
      <c r="N609" t="s">
        <v>565</v>
      </c>
      <c r="O609" t="s">
        <v>566</v>
      </c>
      <c r="P609" t="s">
        <v>567</v>
      </c>
      <c r="S609" t="s">
        <v>567</v>
      </c>
      <c r="T609" t="s">
        <v>567</v>
      </c>
      <c r="Z609" t="s">
        <v>568</v>
      </c>
      <c r="AA609" t="s">
        <v>568</v>
      </c>
    </row>
    <row r="610" spans="1:27">
      <c r="A610" t="s">
        <v>1766</v>
      </c>
      <c r="B610" t="s">
        <v>1165</v>
      </c>
      <c r="C610" t="s">
        <v>1769</v>
      </c>
      <c r="D610" t="s">
        <v>562</v>
      </c>
      <c r="E610" t="s">
        <v>1782</v>
      </c>
      <c r="F610" t="s">
        <v>562</v>
      </c>
      <c r="G610" t="s">
        <v>562</v>
      </c>
      <c r="H610" t="s">
        <v>562</v>
      </c>
      <c r="I610">
        <v>4023</v>
      </c>
      <c r="J610" t="s">
        <v>564</v>
      </c>
      <c r="K610" s="698">
        <v>45957.467361111114</v>
      </c>
      <c r="L610" s="698">
        <v>45957.467361111114</v>
      </c>
      <c r="M610" t="s">
        <v>565</v>
      </c>
      <c r="N610" t="s">
        <v>565</v>
      </c>
      <c r="O610" t="s">
        <v>566</v>
      </c>
      <c r="P610" t="s">
        <v>567</v>
      </c>
      <c r="S610" t="s">
        <v>567</v>
      </c>
      <c r="T610" t="s">
        <v>567</v>
      </c>
      <c r="Z610" t="s">
        <v>568</v>
      </c>
      <c r="AA610" t="s">
        <v>568</v>
      </c>
    </row>
    <row r="611" spans="1:27">
      <c r="A611" t="s">
        <v>1766</v>
      </c>
      <c r="B611" t="s">
        <v>1165</v>
      </c>
      <c r="C611" t="s">
        <v>1769</v>
      </c>
      <c r="D611" t="s">
        <v>562</v>
      </c>
      <c r="E611" t="s">
        <v>1783</v>
      </c>
      <c r="F611" t="s">
        <v>562</v>
      </c>
      <c r="G611" t="s">
        <v>562</v>
      </c>
      <c r="H611" t="s">
        <v>562</v>
      </c>
      <c r="I611">
        <v>4033</v>
      </c>
      <c r="J611" t="s">
        <v>564</v>
      </c>
      <c r="K611" s="698">
        <v>45957.468055555553</v>
      </c>
      <c r="L611" s="698">
        <v>45957.468055555553</v>
      </c>
      <c r="M611" t="s">
        <v>565</v>
      </c>
      <c r="N611" t="s">
        <v>565</v>
      </c>
      <c r="O611" t="s">
        <v>566</v>
      </c>
      <c r="P611" t="s">
        <v>567</v>
      </c>
      <c r="S611" t="s">
        <v>567</v>
      </c>
      <c r="T611" t="s">
        <v>567</v>
      </c>
      <c r="Z611" t="s">
        <v>568</v>
      </c>
      <c r="AA611" t="s">
        <v>568</v>
      </c>
    </row>
    <row r="612" spans="1:27">
      <c r="A612" t="s">
        <v>1766</v>
      </c>
      <c r="B612" t="s">
        <v>1165</v>
      </c>
      <c r="C612" t="s">
        <v>1769</v>
      </c>
      <c r="D612" t="s">
        <v>562</v>
      </c>
      <c r="E612" t="s">
        <v>1784</v>
      </c>
      <c r="F612" t="s">
        <v>562</v>
      </c>
      <c r="G612" t="s">
        <v>562</v>
      </c>
      <c r="H612" t="s">
        <v>562</v>
      </c>
      <c r="I612">
        <v>4034</v>
      </c>
      <c r="J612" t="s">
        <v>564</v>
      </c>
      <c r="K612" s="698">
        <v>45957.46875</v>
      </c>
      <c r="L612" s="698">
        <v>45957.46875</v>
      </c>
      <c r="M612" t="s">
        <v>565</v>
      </c>
      <c r="N612" t="s">
        <v>565</v>
      </c>
      <c r="O612" t="s">
        <v>566</v>
      </c>
      <c r="P612" t="s">
        <v>567</v>
      </c>
      <c r="S612" t="s">
        <v>567</v>
      </c>
      <c r="T612" t="s">
        <v>567</v>
      </c>
      <c r="Z612" t="s">
        <v>568</v>
      </c>
      <c r="AA612" t="s">
        <v>568</v>
      </c>
    </row>
    <row r="613" spans="1:27">
      <c r="A613" t="s">
        <v>1766</v>
      </c>
      <c r="B613" t="s">
        <v>1165</v>
      </c>
      <c r="C613" t="s">
        <v>1769</v>
      </c>
      <c r="D613" t="s">
        <v>562</v>
      </c>
      <c r="E613" t="s">
        <v>1785</v>
      </c>
      <c r="F613" t="s">
        <v>562</v>
      </c>
      <c r="G613" t="s">
        <v>562</v>
      </c>
      <c r="H613" t="s">
        <v>562</v>
      </c>
      <c r="I613">
        <v>4056</v>
      </c>
      <c r="J613" t="s">
        <v>564</v>
      </c>
      <c r="K613" s="698">
        <v>45957.470833333333</v>
      </c>
      <c r="L613" s="698">
        <v>45957.470833333333</v>
      </c>
      <c r="M613" t="s">
        <v>565</v>
      </c>
      <c r="N613" t="s">
        <v>565</v>
      </c>
      <c r="O613" t="s">
        <v>566</v>
      </c>
      <c r="P613" t="s">
        <v>567</v>
      </c>
      <c r="S613" t="s">
        <v>567</v>
      </c>
      <c r="T613" t="s">
        <v>567</v>
      </c>
      <c r="Z613" t="s">
        <v>568</v>
      </c>
      <c r="AA613" t="s">
        <v>568</v>
      </c>
    </row>
    <row r="614" spans="1:27">
      <c r="A614" t="s">
        <v>1766</v>
      </c>
      <c r="B614" t="s">
        <v>1778</v>
      </c>
      <c r="C614" t="s">
        <v>1779</v>
      </c>
      <c r="D614" t="s">
        <v>562</v>
      </c>
      <c r="E614" t="s">
        <v>1786</v>
      </c>
      <c r="F614" t="s">
        <v>562</v>
      </c>
      <c r="G614" t="s">
        <v>562</v>
      </c>
      <c r="H614" t="s">
        <v>562</v>
      </c>
      <c r="I614">
        <v>4090</v>
      </c>
      <c r="J614" t="s">
        <v>564</v>
      </c>
      <c r="K614" s="698">
        <v>45957.474999999999</v>
      </c>
      <c r="L614" s="698">
        <v>45957.474999999999</v>
      </c>
      <c r="M614" t="s">
        <v>565</v>
      </c>
      <c r="N614" t="s">
        <v>565</v>
      </c>
      <c r="O614" t="s">
        <v>566</v>
      </c>
      <c r="P614" t="s">
        <v>567</v>
      </c>
      <c r="S614" t="s">
        <v>567</v>
      </c>
      <c r="T614" t="s">
        <v>567</v>
      </c>
      <c r="Z614" t="s">
        <v>568</v>
      </c>
      <c r="AA614" t="s">
        <v>568</v>
      </c>
    </row>
    <row r="615" spans="1:27">
      <c r="A615" t="s">
        <v>1766</v>
      </c>
      <c r="B615" t="s">
        <v>1787</v>
      </c>
      <c r="C615" t="s">
        <v>1788</v>
      </c>
      <c r="D615" t="s">
        <v>562</v>
      </c>
      <c r="E615" t="s">
        <v>1789</v>
      </c>
      <c r="F615" t="s">
        <v>562</v>
      </c>
      <c r="G615" t="s">
        <v>562</v>
      </c>
      <c r="H615" t="s">
        <v>562</v>
      </c>
      <c r="I615">
        <v>4091</v>
      </c>
      <c r="J615" t="s">
        <v>564</v>
      </c>
      <c r="K615" s="698">
        <v>45957.474999999999</v>
      </c>
      <c r="L615" s="698">
        <v>45957.474999999999</v>
      </c>
      <c r="M615" t="s">
        <v>565</v>
      </c>
      <c r="N615" t="s">
        <v>565</v>
      </c>
      <c r="O615" t="s">
        <v>566</v>
      </c>
      <c r="P615" t="s">
        <v>567</v>
      </c>
      <c r="S615" t="s">
        <v>567</v>
      </c>
      <c r="T615" t="s">
        <v>567</v>
      </c>
      <c r="Z615" t="s">
        <v>568</v>
      </c>
      <c r="AA615" t="s">
        <v>568</v>
      </c>
    </row>
    <row r="616" spans="1:27">
      <c r="A616" t="s">
        <v>1766</v>
      </c>
      <c r="B616" t="s">
        <v>1790</v>
      </c>
      <c r="C616" t="s">
        <v>1791</v>
      </c>
      <c r="D616" t="s">
        <v>562</v>
      </c>
      <c r="E616" t="s">
        <v>1792</v>
      </c>
      <c r="F616" t="s">
        <v>562</v>
      </c>
      <c r="G616" t="s">
        <v>562</v>
      </c>
      <c r="H616" t="s">
        <v>562</v>
      </c>
      <c r="I616">
        <v>4293</v>
      </c>
      <c r="J616" t="s">
        <v>564</v>
      </c>
      <c r="K616" s="698">
        <v>45957.500694444447</v>
      </c>
      <c r="L616" s="698">
        <v>45957.500694444447</v>
      </c>
      <c r="M616" t="s">
        <v>565</v>
      </c>
      <c r="N616" t="s">
        <v>565</v>
      </c>
      <c r="O616" t="s">
        <v>566</v>
      </c>
      <c r="P616" t="s">
        <v>567</v>
      </c>
      <c r="S616" t="s">
        <v>567</v>
      </c>
      <c r="T616" t="s">
        <v>567</v>
      </c>
      <c r="Z616" t="s">
        <v>568</v>
      </c>
      <c r="AA616" t="s">
        <v>568</v>
      </c>
    </row>
    <row r="617" spans="1:27">
      <c r="A617" t="s">
        <v>1766</v>
      </c>
      <c r="B617" t="s">
        <v>1793</v>
      </c>
      <c r="C617" t="s">
        <v>562</v>
      </c>
      <c r="D617" t="s">
        <v>562</v>
      </c>
      <c r="E617" t="s">
        <v>1794</v>
      </c>
      <c r="F617" t="s">
        <v>562</v>
      </c>
      <c r="G617" t="s">
        <v>562</v>
      </c>
      <c r="H617" t="s">
        <v>562</v>
      </c>
      <c r="I617">
        <v>4297</v>
      </c>
      <c r="J617" t="s">
        <v>564</v>
      </c>
      <c r="K617" s="698">
        <v>45957.500694444447</v>
      </c>
      <c r="L617" s="698">
        <v>45957.500694444447</v>
      </c>
      <c r="M617" t="s">
        <v>565</v>
      </c>
      <c r="N617" t="s">
        <v>565</v>
      </c>
      <c r="O617" t="s">
        <v>566</v>
      </c>
      <c r="P617" t="s">
        <v>567</v>
      </c>
      <c r="S617" t="s">
        <v>567</v>
      </c>
      <c r="T617" t="s">
        <v>567</v>
      </c>
      <c r="Z617" t="s">
        <v>568</v>
      </c>
      <c r="AA617" t="s">
        <v>568</v>
      </c>
    </row>
    <row r="618" spans="1:27">
      <c r="A618" t="s">
        <v>1766</v>
      </c>
      <c r="B618" t="s">
        <v>1793</v>
      </c>
      <c r="C618" t="s">
        <v>562</v>
      </c>
      <c r="D618" t="s">
        <v>562</v>
      </c>
      <c r="E618" t="s">
        <v>1795</v>
      </c>
      <c r="F618" t="s">
        <v>562</v>
      </c>
      <c r="G618" t="s">
        <v>562</v>
      </c>
      <c r="H618" t="s">
        <v>562</v>
      </c>
      <c r="I618">
        <v>4333</v>
      </c>
      <c r="J618" t="s">
        <v>564</v>
      </c>
      <c r="K618" s="698">
        <v>45957.505555555559</v>
      </c>
      <c r="L618" s="698">
        <v>45957.505555555559</v>
      </c>
      <c r="M618" t="s">
        <v>565</v>
      </c>
      <c r="N618" t="s">
        <v>565</v>
      </c>
      <c r="O618" t="s">
        <v>566</v>
      </c>
      <c r="P618" t="s">
        <v>567</v>
      </c>
      <c r="S618" t="s">
        <v>567</v>
      </c>
      <c r="T618" t="s">
        <v>567</v>
      </c>
      <c r="Z618" t="s">
        <v>568</v>
      </c>
      <c r="AA618" t="s">
        <v>568</v>
      </c>
    </row>
    <row r="619" spans="1:27">
      <c r="A619" t="s">
        <v>1766</v>
      </c>
      <c r="B619" t="s">
        <v>1790</v>
      </c>
      <c r="C619" t="s">
        <v>1791</v>
      </c>
      <c r="D619" t="s">
        <v>562</v>
      </c>
      <c r="E619" t="s">
        <v>1796</v>
      </c>
      <c r="F619" t="s">
        <v>562</v>
      </c>
      <c r="G619" t="s">
        <v>562</v>
      </c>
      <c r="H619" t="s">
        <v>562</v>
      </c>
      <c r="I619">
        <v>4352</v>
      </c>
      <c r="J619" t="s">
        <v>564</v>
      </c>
      <c r="K619" s="698">
        <v>45957.508333333331</v>
      </c>
      <c r="L619" s="698">
        <v>45957.508333333331</v>
      </c>
      <c r="M619" t="s">
        <v>565</v>
      </c>
      <c r="N619" t="s">
        <v>565</v>
      </c>
      <c r="O619" t="s">
        <v>566</v>
      </c>
      <c r="P619" t="s">
        <v>567</v>
      </c>
      <c r="S619" t="s">
        <v>567</v>
      </c>
      <c r="T619" t="s">
        <v>567</v>
      </c>
      <c r="Z619" t="s">
        <v>568</v>
      </c>
      <c r="AA619" t="s">
        <v>568</v>
      </c>
    </row>
    <row r="620" spans="1:27">
      <c r="A620" t="s">
        <v>1766</v>
      </c>
      <c r="B620" t="s">
        <v>1165</v>
      </c>
      <c r="C620" t="s">
        <v>1769</v>
      </c>
      <c r="D620" t="s">
        <v>562</v>
      </c>
      <c r="E620" t="s">
        <v>1797</v>
      </c>
      <c r="F620" t="s">
        <v>562</v>
      </c>
      <c r="G620" t="s">
        <v>562</v>
      </c>
      <c r="H620" t="s">
        <v>562</v>
      </c>
      <c r="I620">
        <v>4358</v>
      </c>
      <c r="J620" t="s">
        <v>564</v>
      </c>
      <c r="K620" s="698">
        <v>45957.509027777778</v>
      </c>
      <c r="L620" s="698">
        <v>45957.509027777778</v>
      </c>
      <c r="M620" t="s">
        <v>565</v>
      </c>
      <c r="N620" t="s">
        <v>565</v>
      </c>
      <c r="O620" t="s">
        <v>566</v>
      </c>
      <c r="P620" t="s">
        <v>567</v>
      </c>
      <c r="S620" t="s">
        <v>567</v>
      </c>
      <c r="T620" t="s">
        <v>567</v>
      </c>
      <c r="Z620" t="s">
        <v>568</v>
      </c>
      <c r="AA620" t="s">
        <v>568</v>
      </c>
    </row>
    <row r="621" spans="1:27">
      <c r="A621" t="s">
        <v>1766</v>
      </c>
      <c r="B621" t="s">
        <v>1798</v>
      </c>
      <c r="C621" t="s">
        <v>1799</v>
      </c>
      <c r="D621" t="s">
        <v>562</v>
      </c>
      <c r="E621" t="s">
        <v>1800</v>
      </c>
      <c r="F621" t="s">
        <v>562</v>
      </c>
      <c r="G621" t="s">
        <v>562</v>
      </c>
      <c r="H621" t="s">
        <v>562</v>
      </c>
      <c r="I621">
        <v>4382</v>
      </c>
      <c r="J621" t="s">
        <v>564</v>
      </c>
      <c r="K621" s="698">
        <v>45957.511805555558</v>
      </c>
      <c r="L621" s="698">
        <v>45957.511805555558</v>
      </c>
      <c r="M621" t="s">
        <v>565</v>
      </c>
      <c r="N621" t="s">
        <v>565</v>
      </c>
      <c r="O621" t="s">
        <v>566</v>
      </c>
      <c r="P621" t="s">
        <v>567</v>
      </c>
      <c r="S621" t="s">
        <v>567</v>
      </c>
      <c r="T621" t="s">
        <v>567</v>
      </c>
      <c r="Z621" t="s">
        <v>568</v>
      </c>
      <c r="AA621" t="s">
        <v>568</v>
      </c>
    </row>
    <row r="622" spans="1:27">
      <c r="A622" t="s">
        <v>1766</v>
      </c>
      <c r="B622" t="s">
        <v>1793</v>
      </c>
      <c r="C622" t="s">
        <v>1801</v>
      </c>
      <c r="D622" t="s">
        <v>562</v>
      </c>
      <c r="E622" t="s">
        <v>1802</v>
      </c>
      <c r="F622" t="s">
        <v>562</v>
      </c>
      <c r="G622" t="s">
        <v>562</v>
      </c>
      <c r="H622" t="s">
        <v>562</v>
      </c>
      <c r="I622">
        <v>4502</v>
      </c>
      <c r="J622" t="s">
        <v>564</v>
      </c>
      <c r="K622" s="698">
        <v>45957.526388888888</v>
      </c>
      <c r="L622" s="698">
        <v>45957.526388888888</v>
      </c>
      <c r="M622" t="s">
        <v>565</v>
      </c>
      <c r="N622" t="s">
        <v>565</v>
      </c>
      <c r="O622" t="s">
        <v>566</v>
      </c>
      <c r="P622" t="s">
        <v>567</v>
      </c>
      <c r="S622" t="s">
        <v>567</v>
      </c>
      <c r="T622" t="s">
        <v>567</v>
      </c>
      <c r="Z622" t="s">
        <v>568</v>
      </c>
      <c r="AA622" t="s">
        <v>568</v>
      </c>
    </row>
    <row r="623" spans="1:27">
      <c r="A623" t="s">
        <v>1766</v>
      </c>
      <c r="B623" t="s">
        <v>1803</v>
      </c>
      <c r="C623" t="s">
        <v>562</v>
      </c>
      <c r="D623" t="s">
        <v>562</v>
      </c>
      <c r="E623" t="s">
        <v>1804</v>
      </c>
      <c r="F623" t="s">
        <v>562</v>
      </c>
      <c r="G623" t="s">
        <v>562</v>
      </c>
      <c r="H623" t="s">
        <v>562</v>
      </c>
      <c r="I623">
        <v>4515</v>
      </c>
      <c r="J623" t="s">
        <v>564</v>
      </c>
      <c r="K623" s="698">
        <v>45957.527777777781</v>
      </c>
      <c r="L623" s="698">
        <v>45957.527777777781</v>
      </c>
      <c r="M623" t="s">
        <v>565</v>
      </c>
      <c r="N623" t="s">
        <v>565</v>
      </c>
      <c r="O623" t="s">
        <v>566</v>
      </c>
      <c r="P623" t="s">
        <v>567</v>
      </c>
      <c r="S623" t="s">
        <v>567</v>
      </c>
      <c r="T623" t="s">
        <v>567</v>
      </c>
      <c r="Z623" t="s">
        <v>568</v>
      </c>
      <c r="AA623" t="s">
        <v>568</v>
      </c>
    </row>
    <row r="624" spans="1:27">
      <c r="A624" t="s">
        <v>1766</v>
      </c>
      <c r="B624" t="s">
        <v>1793</v>
      </c>
      <c r="C624" t="s">
        <v>1801</v>
      </c>
      <c r="D624" t="s">
        <v>562</v>
      </c>
      <c r="E624" t="s">
        <v>1805</v>
      </c>
      <c r="F624" t="s">
        <v>562</v>
      </c>
      <c r="G624" t="s">
        <v>562</v>
      </c>
      <c r="H624" t="s">
        <v>562</v>
      </c>
      <c r="I624">
        <v>4604</v>
      </c>
      <c r="J624" t="s">
        <v>564</v>
      </c>
      <c r="K624" s="698">
        <v>45957.538888888892</v>
      </c>
      <c r="L624" s="698">
        <v>45957.538888888892</v>
      </c>
      <c r="M624" t="s">
        <v>565</v>
      </c>
      <c r="N624" t="s">
        <v>565</v>
      </c>
      <c r="O624" t="s">
        <v>566</v>
      </c>
      <c r="P624" t="s">
        <v>567</v>
      </c>
      <c r="S624" t="s">
        <v>567</v>
      </c>
      <c r="T624" t="s">
        <v>567</v>
      </c>
      <c r="Z624" t="s">
        <v>568</v>
      </c>
      <c r="AA624" t="s">
        <v>568</v>
      </c>
    </row>
    <row r="625" spans="1:27">
      <c r="A625" t="s">
        <v>1766</v>
      </c>
      <c r="B625" t="s">
        <v>1793</v>
      </c>
      <c r="C625" t="s">
        <v>562</v>
      </c>
      <c r="D625" t="s">
        <v>562</v>
      </c>
      <c r="E625" t="s">
        <v>1806</v>
      </c>
      <c r="F625" t="s">
        <v>562</v>
      </c>
      <c r="G625" t="s">
        <v>562</v>
      </c>
      <c r="H625" t="s">
        <v>562</v>
      </c>
      <c r="I625">
        <v>4949</v>
      </c>
      <c r="J625" t="s">
        <v>564</v>
      </c>
      <c r="K625" s="698">
        <v>45957.556944444441</v>
      </c>
      <c r="L625" s="698">
        <v>45957.556944444441</v>
      </c>
      <c r="M625" t="s">
        <v>565</v>
      </c>
      <c r="N625" t="s">
        <v>565</v>
      </c>
      <c r="O625" t="s">
        <v>566</v>
      </c>
      <c r="P625" t="s">
        <v>567</v>
      </c>
      <c r="S625" t="s">
        <v>567</v>
      </c>
      <c r="T625" t="s">
        <v>567</v>
      </c>
      <c r="Z625" t="s">
        <v>568</v>
      </c>
      <c r="AA625" t="s">
        <v>568</v>
      </c>
    </row>
    <row r="626" spans="1:27">
      <c r="A626" t="s">
        <v>1766</v>
      </c>
      <c r="B626" t="s">
        <v>1807</v>
      </c>
      <c r="C626" t="s">
        <v>1808</v>
      </c>
      <c r="D626" t="s">
        <v>562</v>
      </c>
      <c r="E626" t="s">
        <v>1809</v>
      </c>
      <c r="F626" t="s">
        <v>562</v>
      </c>
      <c r="G626" t="s">
        <v>562</v>
      </c>
      <c r="H626" t="s">
        <v>562</v>
      </c>
      <c r="I626">
        <v>4970</v>
      </c>
      <c r="J626" t="s">
        <v>564</v>
      </c>
      <c r="K626" s="698">
        <v>45957.557638888888</v>
      </c>
      <c r="L626" s="698">
        <v>45957.557638888888</v>
      </c>
      <c r="M626" t="s">
        <v>565</v>
      </c>
      <c r="N626" t="s">
        <v>565</v>
      </c>
      <c r="O626" t="s">
        <v>566</v>
      </c>
      <c r="P626" t="s">
        <v>567</v>
      </c>
      <c r="S626" t="s">
        <v>567</v>
      </c>
      <c r="T626" t="s">
        <v>567</v>
      </c>
      <c r="Z626" t="s">
        <v>568</v>
      </c>
      <c r="AA626" t="s">
        <v>568</v>
      </c>
    </row>
    <row r="627" spans="1:27">
      <c r="A627" t="s">
        <v>1766</v>
      </c>
      <c r="B627" t="s">
        <v>1165</v>
      </c>
      <c r="C627" t="s">
        <v>1776</v>
      </c>
      <c r="D627" t="s">
        <v>562</v>
      </c>
      <c r="E627" t="s">
        <v>1810</v>
      </c>
      <c r="F627" t="s">
        <v>562</v>
      </c>
      <c r="G627" t="s">
        <v>562</v>
      </c>
      <c r="H627" t="s">
        <v>562</v>
      </c>
      <c r="I627">
        <v>5040</v>
      </c>
      <c r="J627" t="s">
        <v>564</v>
      </c>
      <c r="K627" s="698">
        <v>45957.55972222222</v>
      </c>
      <c r="L627" s="698">
        <v>45957.55972222222</v>
      </c>
      <c r="M627" t="s">
        <v>565</v>
      </c>
      <c r="N627" t="s">
        <v>565</v>
      </c>
      <c r="O627" t="s">
        <v>566</v>
      </c>
      <c r="P627" t="s">
        <v>567</v>
      </c>
      <c r="S627" t="s">
        <v>567</v>
      </c>
      <c r="T627" t="s">
        <v>567</v>
      </c>
      <c r="Z627" t="s">
        <v>568</v>
      </c>
      <c r="AA627" t="s">
        <v>568</v>
      </c>
    </row>
    <row r="628" spans="1:27">
      <c r="A628" t="s">
        <v>1766</v>
      </c>
      <c r="B628" t="s">
        <v>1790</v>
      </c>
      <c r="C628" t="s">
        <v>1791</v>
      </c>
      <c r="D628" t="s">
        <v>562</v>
      </c>
      <c r="E628" t="s">
        <v>1811</v>
      </c>
      <c r="F628" t="s">
        <v>562</v>
      </c>
      <c r="G628" t="s">
        <v>562</v>
      </c>
      <c r="H628" t="s">
        <v>562</v>
      </c>
      <c r="I628">
        <v>5090</v>
      </c>
      <c r="J628" t="s">
        <v>564</v>
      </c>
      <c r="K628" s="698">
        <v>45957.561111111114</v>
      </c>
      <c r="L628" s="698">
        <v>45957.561111111114</v>
      </c>
      <c r="M628" t="s">
        <v>565</v>
      </c>
      <c r="N628" t="s">
        <v>565</v>
      </c>
      <c r="O628" t="s">
        <v>566</v>
      </c>
      <c r="P628" t="s">
        <v>567</v>
      </c>
      <c r="S628" t="s">
        <v>567</v>
      </c>
      <c r="T628" t="s">
        <v>567</v>
      </c>
      <c r="Z628" t="s">
        <v>568</v>
      </c>
      <c r="AA628" t="s">
        <v>568</v>
      </c>
    </row>
    <row r="629" spans="1:27">
      <c r="A629" t="s">
        <v>1812</v>
      </c>
      <c r="B629" t="s">
        <v>1813</v>
      </c>
      <c r="C629" t="s">
        <v>1814</v>
      </c>
      <c r="D629" t="s">
        <v>1815</v>
      </c>
      <c r="E629" t="s">
        <v>1816</v>
      </c>
      <c r="F629" t="s">
        <v>562</v>
      </c>
      <c r="G629" t="s">
        <v>562</v>
      </c>
      <c r="H629" t="s">
        <v>562</v>
      </c>
      <c r="I629">
        <v>4420</v>
      </c>
      <c r="J629" t="s">
        <v>564</v>
      </c>
      <c r="K629" s="698">
        <v>45957.51666666667</v>
      </c>
      <c r="L629" s="698">
        <v>45957.51666666667</v>
      </c>
      <c r="M629" t="s">
        <v>565</v>
      </c>
      <c r="N629" t="s">
        <v>565</v>
      </c>
      <c r="O629" t="s">
        <v>566</v>
      </c>
      <c r="P629" t="s">
        <v>567</v>
      </c>
      <c r="S629" t="s">
        <v>567</v>
      </c>
      <c r="T629" t="s">
        <v>567</v>
      </c>
      <c r="Z629" t="s">
        <v>568</v>
      </c>
      <c r="AA629" t="s">
        <v>568</v>
      </c>
    </row>
    <row r="630" spans="1:27">
      <c r="A630" t="s">
        <v>1817</v>
      </c>
      <c r="B630" t="s">
        <v>1818</v>
      </c>
      <c r="C630" t="s">
        <v>1819</v>
      </c>
      <c r="D630" t="s">
        <v>562</v>
      </c>
      <c r="E630" t="s">
        <v>1820</v>
      </c>
      <c r="F630" t="s">
        <v>562</v>
      </c>
      <c r="G630" t="s">
        <v>562</v>
      </c>
      <c r="H630" t="s">
        <v>562</v>
      </c>
      <c r="I630">
        <v>3814</v>
      </c>
      <c r="J630" t="s">
        <v>564</v>
      </c>
      <c r="K630" s="698">
        <v>45957.443055555559</v>
      </c>
      <c r="L630" s="698">
        <v>45957.443055555559</v>
      </c>
      <c r="M630" t="s">
        <v>565</v>
      </c>
      <c r="N630" t="s">
        <v>565</v>
      </c>
      <c r="O630" t="s">
        <v>566</v>
      </c>
      <c r="P630" t="s">
        <v>567</v>
      </c>
      <c r="S630" t="s">
        <v>567</v>
      </c>
      <c r="T630" t="s">
        <v>567</v>
      </c>
      <c r="Z630" t="s">
        <v>568</v>
      </c>
      <c r="AA630" t="s">
        <v>568</v>
      </c>
    </row>
    <row r="631" spans="1:27">
      <c r="A631" t="s">
        <v>1821</v>
      </c>
      <c r="B631" t="s">
        <v>1822</v>
      </c>
      <c r="C631" t="s">
        <v>1823</v>
      </c>
      <c r="D631" t="s">
        <v>1824</v>
      </c>
      <c r="E631" t="s">
        <v>1825</v>
      </c>
      <c r="F631" t="s">
        <v>562</v>
      </c>
      <c r="G631" t="s">
        <v>562</v>
      </c>
      <c r="H631" t="s">
        <v>562</v>
      </c>
      <c r="I631">
        <v>3587</v>
      </c>
      <c r="J631" t="s">
        <v>564</v>
      </c>
      <c r="K631" s="698">
        <v>45957.418749999997</v>
      </c>
      <c r="L631" s="698">
        <v>45957.418749999997</v>
      </c>
      <c r="M631" t="s">
        <v>565</v>
      </c>
      <c r="N631" t="s">
        <v>565</v>
      </c>
      <c r="O631" t="s">
        <v>566</v>
      </c>
      <c r="P631" t="s">
        <v>567</v>
      </c>
      <c r="S631" t="s">
        <v>567</v>
      </c>
      <c r="T631" t="s">
        <v>567</v>
      </c>
      <c r="Z631" t="s">
        <v>568</v>
      </c>
      <c r="AA631" t="s">
        <v>568</v>
      </c>
    </row>
    <row r="632" spans="1:27">
      <c r="A632" t="s">
        <v>1821</v>
      </c>
      <c r="B632" t="s">
        <v>1822</v>
      </c>
      <c r="C632" t="s">
        <v>1823</v>
      </c>
      <c r="D632" t="s">
        <v>1824</v>
      </c>
      <c r="E632" t="s">
        <v>1826</v>
      </c>
      <c r="F632" t="s">
        <v>562</v>
      </c>
      <c r="G632" t="s">
        <v>562</v>
      </c>
      <c r="H632" t="s">
        <v>562</v>
      </c>
      <c r="I632">
        <v>3588</v>
      </c>
      <c r="J632" t="s">
        <v>564</v>
      </c>
      <c r="K632" s="698">
        <v>45957.418749999997</v>
      </c>
      <c r="L632" s="698">
        <v>45957.418749999997</v>
      </c>
      <c r="M632" t="s">
        <v>565</v>
      </c>
      <c r="N632" t="s">
        <v>565</v>
      </c>
      <c r="O632" t="s">
        <v>566</v>
      </c>
      <c r="P632" t="s">
        <v>567</v>
      </c>
      <c r="S632" t="s">
        <v>567</v>
      </c>
      <c r="T632" t="s">
        <v>567</v>
      </c>
      <c r="Z632" t="s">
        <v>568</v>
      </c>
      <c r="AA632" t="s">
        <v>568</v>
      </c>
    </row>
    <row r="633" spans="1:27">
      <c r="A633" t="s">
        <v>1821</v>
      </c>
      <c r="B633" t="s">
        <v>1827</v>
      </c>
      <c r="C633" t="s">
        <v>1828</v>
      </c>
      <c r="D633" t="s">
        <v>1824</v>
      </c>
      <c r="E633" t="s">
        <v>1829</v>
      </c>
      <c r="F633" t="s">
        <v>562</v>
      </c>
      <c r="G633" t="s">
        <v>562</v>
      </c>
      <c r="H633" t="s">
        <v>562</v>
      </c>
      <c r="I633">
        <v>3625</v>
      </c>
      <c r="J633" t="s">
        <v>564</v>
      </c>
      <c r="K633" s="698">
        <v>45957.42291666667</v>
      </c>
      <c r="L633" s="698">
        <v>45957.42291666667</v>
      </c>
      <c r="M633" t="s">
        <v>565</v>
      </c>
      <c r="N633" t="s">
        <v>565</v>
      </c>
      <c r="O633" t="s">
        <v>566</v>
      </c>
      <c r="P633" t="s">
        <v>567</v>
      </c>
      <c r="S633" t="s">
        <v>567</v>
      </c>
      <c r="T633" t="s">
        <v>567</v>
      </c>
      <c r="Z633" t="s">
        <v>568</v>
      </c>
      <c r="AA633" t="s">
        <v>568</v>
      </c>
    </row>
    <row r="634" spans="1:27">
      <c r="A634" t="s">
        <v>1821</v>
      </c>
      <c r="B634" t="s">
        <v>1830</v>
      </c>
      <c r="C634" t="s">
        <v>562</v>
      </c>
      <c r="D634" t="s">
        <v>1824</v>
      </c>
      <c r="E634" t="s">
        <v>1831</v>
      </c>
      <c r="F634" t="s">
        <v>562</v>
      </c>
      <c r="G634" t="s">
        <v>562</v>
      </c>
      <c r="H634" t="s">
        <v>562</v>
      </c>
      <c r="I634">
        <v>3639</v>
      </c>
      <c r="J634" t="s">
        <v>564</v>
      </c>
      <c r="K634" s="698">
        <v>45957.424305555556</v>
      </c>
      <c r="L634" s="698">
        <v>45957.424305555556</v>
      </c>
      <c r="M634" t="s">
        <v>565</v>
      </c>
      <c r="N634" t="s">
        <v>565</v>
      </c>
      <c r="O634" t="s">
        <v>566</v>
      </c>
      <c r="P634" t="s">
        <v>567</v>
      </c>
      <c r="S634" t="s">
        <v>567</v>
      </c>
      <c r="T634" t="s">
        <v>567</v>
      </c>
      <c r="Z634" t="s">
        <v>568</v>
      </c>
      <c r="AA634" t="s">
        <v>568</v>
      </c>
    </row>
    <row r="635" spans="1:27">
      <c r="A635" t="s">
        <v>1821</v>
      </c>
      <c r="B635" t="s">
        <v>1832</v>
      </c>
      <c r="C635" t="s">
        <v>1833</v>
      </c>
      <c r="D635" t="s">
        <v>1824</v>
      </c>
      <c r="E635" t="s">
        <v>1834</v>
      </c>
      <c r="F635" t="s">
        <v>562</v>
      </c>
      <c r="G635" t="s">
        <v>562</v>
      </c>
      <c r="H635" t="s">
        <v>562</v>
      </c>
      <c r="I635">
        <v>3751</v>
      </c>
      <c r="J635" t="s">
        <v>564</v>
      </c>
      <c r="K635" s="698">
        <v>45957.436111111114</v>
      </c>
      <c r="L635" s="698">
        <v>45957.436111111114</v>
      </c>
      <c r="M635" t="s">
        <v>565</v>
      </c>
      <c r="N635" t="s">
        <v>565</v>
      </c>
      <c r="O635" t="s">
        <v>566</v>
      </c>
      <c r="P635" t="s">
        <v>567</v>
      </c>
      <c r="S635" t="s">
        <v>567</v>
      </c>
      <c r="T635" t="s">
        <v>567</v>
      </c>
      <c r="Z635" t="s">
        <v>568</v>
      </c>
      <c r="AA635" t="s">
        <v>568</v>
      </c>
    </row>
    <row r="636" spans="1:27">
      <c r="A636" t="s">
        <v>1821</v>
      </c>
      <c r="B636" t="s">
        <v>1832</v>
      </c>
      <c r="C636" t="s">
        <v>1833</v>
      </c>
      <c r="D636" t="s">
        <v>1824</v>
      </c>
      <c r="E636" t="s">
        <v>1835</v>
      </c>
      <c r="F636" t="s">
        <v>562</v>
      </c>
      <c r="G636" t="s">
        <v>562</v>
      </c>
      <c r="H636" t="s">
        <v>562</v>
      </c>
      <c r="I636">
        <v>3780</v>
      </c>
      <c r="J636" t="s">
        <v>564</v>
      </c>
      <c r="K636" s="698">
        <v>45957.439583333333</v>
      </c>
      <c r="L636" s="698">
        <v>45957.439583333333</v>
      </c>
      <c r="M636" t="s">
        <v>565</v>
      </c>
      <c r="N636" t="s">
        <v>565</v>
      </c>
      <c r="O636" t="s">
        <v>566</v>
      </c>
      <c r="P636" t="s">
        <v>567</v>
      </c>
      <c r="S636" t="s">
        <v>567</v>
      </c>
      <c r="T636" t="s">
        <v>567</v>
      </c>
      <c r="Z636" t="s">
        <v>568</v>
      </c>
      <c r="AA636" t="s">
        <v>568</v>
      </c>
    </row>
    <row r="637" spans="1:27">
      <c r="A637" t="s">
        <v>1821</v>
      </c>
      <c r="B637" t="s">
        <v>1822</v>
      </c>
      <c r="C637" t="s">
        <v>1823</v>
      </c>
      <c r="D637" t="s">
        <v>1824</v>
      </c>
      <c r="E637" t="s">
        <v>1836</v>
      </c>
      <c r="F637" t="s">
        <v>562</v>
      </c>
      <c r="G637" t="s">
        <v>562</v>
      </c>
      <c r="H637" t="s">
        <v>562</v>
      </c>
      <c r="I637">
        <v>3847</v>
      </c>
      <c r="J637" t="s">
        <v>564</v>
      </c>
      <c r="K637" s="698">
        <v>45957.447222222225</v>
      </c>
      <c r="L637" s="698">
        <v>45957.447222222225</v>
      </c>
      <c r="M637" t="s">
        <v>565</v>
      </c>
      <c r="N637" t="s">
        <v>565</v>
      </c>
      <c r="O637" t="s">
        <v>566</v>
      </c>
      <c r="P637" t="s">
        <v>567</v>
      </c>
      <c r="S637" t="s">
        <v>567</v>
      </c>
      <c r="T637" t="s">
        <v>567</v>
      </c>
      <c r="Z637" t="s">
        <v>568</v>
      </c>
      <c r="AA637" t="s">
        <v>568</v>
      </c>
    </row>
    <row r="638" spans="1:27">
      <c r="A638" t="s">
        <v>1821</v>
      </c>
      <c r="B638" t="s">
        <v>1837</v>
      </c>
      <c r="C638" t="s">
        <v>1838</v>
      </c>
      <c r="D638" t="s">
        <v>1824</v>
      </c>
      <c r="E638" t="s">
        <v>1839</v>
      </c>
      <c r="F638" t="s">
        <v>562</v>
      </c>
      <c r="G638" t="s">
        <v>562</v>
      </c>
      <c r="H638" t="s">
        <v>562</v>
      </c>
      <c r="I638">
        <v>4037</v>
      </c>
      <c r="J638" t="s">
        <v>564</v>
      </c>
      <c r="K638" s="698">
        <v>45957.46875</v>
      </c>
      <c r="L638" s="698">
        <v>45957.46875</v>
      </c>
      <c r="M638" t="s">
        <v>565</v>
      </c>
      <c r="N638" t="s">
        <v>565</v>
      </c>
      <c r="O638" t="s">
        <v>566</v>
      </c>
      <c r="P638" t="s">
        <v>567</v>
      </c>
      <c r="S638" t="s">
        <v>567</v>
      </c>
      <c r="T638" t="s">
        <v>567</v>
      </c>
      <c r="Z638" t="s">
        <v>568</v>
      </c>
      <c r="AA638" t="s">
        <v>568</v>
      </c>
    </row>
    <row r="639" spans="1:27">
      <c r="A639" t="s">
        <v>1821</v>
      </c>
      <c r="B639" t="s">
        <v>1822</v>
      </c>
      <c r="C639" t="s">
        <v>1823</v>
      </c>
      <c r="D639" t="s">
        <v>1824</v>
      </c>
      <c r="E639" t="s">
        <v>1840</v>
      </c>
      <c r="F639" t="s">
        <v>562</v>
      </c>
      <c r="G639" t="s">
        <v>562</v>
      </c>
      <c r="H639" t="s">
        <v>562</v>
      </c>
      <c r="I639">
        <v>4039</v>
      </c>
      <c r="J639" t="s">
        <v>564</v>
      </c>
      <c r="K639" s="698">
        <v>45957.46875</v>
      </c>
      <c r="L639" s="698">
        <v>45957.46875</v>
      </c>
      <c r="M639" t="s">
        <v>565</v>
      </c>
      <c r="N639" t="s">
        <v>565</v>
      </c>
      <c r="O639" t="s">
        <v>566</v>
      </c>
      <c r="P639" t="s">
        <v>567</v>
      </c>
      <c r="S639" t="s">
        <v>567</v>
      </c>
      <c r="T639" t="s">
        <v>567</v>
      </c>
      <c r="Z639" t="s">
        <v>568</v>
      </c>
      <c r="AA639" t="s">
        <v>568</v>
      </c>
    </row>
    <row r="640" spans="1:27">
      <c r="A640" t="s">
        <v>1821</v>
      </c>
      <c r="B640" t="s">
        <v>1841</v>
      </c>
      <c r="C640" t="s">
        <v>1833</v>
      </c>
      <c r="D640" t="s">
        <v>1824</v>
      </c>
      <c r="E640" t="s">
        <v>1842</v>
      </c>
      <c r="F640" t="s">
        <v>562</v>
      </c>
      <c r="G640" t="s">
        <v>562</v>
      </c>
      <c r="H640" t="s">
        <v>562</v>
      </c>
      <c r="I640">
        <v>4104</v>
      </c>
      <c r="J640" t="s">
        <v>564</v>
      </c>
      <c r="K640" s="698">
        <v>45957.477083333331</v>
      </c>
      <c r="L640" s="698">
        <v>45957.477083333331</v>
      </c>
      <c r="M640" t="s">
        <v>565</v>
      </c>
      <c r="N640" t="s">
        <v>565</v>
      </c>
      <c r="O640" t="s">
        <v>566</v>
      </c>
      <c r="P640" t="s">
        <v>567</v>
      </c>
      <c r="S640" t="s">
        <v>567</v>
      </c>
      <c r="T640" t="s">
        <v>567</v>
      </c>
      <c r="Z640" t="s">
        <v>568</v>
      </c>
      <c r="AA640" t="s">
        <v>568</v>
      </c>
    </row>
    <row r="641" spans="1:27">
      <c r="A641" t="s">
        <v>1821</v>
      </c>
      <c r="B641" t="s">
        <v>1832</v>
      </c>
      <c r="C641" t="s">
        <v>1833</v>
      </c>
      <c r="D641" t="s">
        <v>1824</v>
      </c>
      <c r="E641" t="s">
        <v>1843</v>
      </c>
      <c r="F641" t="s">
        <v>562</v>
      </c>
      <c r="G641" t="s">
        <v>562</v>
      </c>
      <c r="H641" t="s">
        <v>562</v>
      </c>
      <c r="I641">
        <v>4127</v>
      </c>
      <c r="J641" t="s">
        <v>564</v>
      </c>
      <c r="K641" s="698">
        <v>45957.479861111111</v>
      </c>
      <c r="L641" s="698">
        <v>45957.479861111111</v>
      </c>
      <c r="M641" t="s">
        <v>565</v>
      </c>
      <c r="N641" t="s">
        <v>565</v>
      </c>
      <c r="O641" t="s">
        <v>566</v>
      </c>
      <c r="P641" t="s">
        <v>567</v>
      </c>
      <c r="S641" t="s">
        <v>567</v>
      </c>
      <c r="T641" t="s">
        <v>567</v>
      </c>
      <c r="Z641" t="s">
        <v>568</v>
      </c>
      <c r="AA641" t="s">
        <v>568</v>
      </c>
    </row>
    <row r="642" spans="1:27">
      <c r="A642" t="s">
        <v>1821</v>
      </c>
      <c r="B642" t="s">
        <v>562</v>
      </c>
      <c r="C642" t="s">
        <v>562</v>
      </c>
      <c r="D642" t="s">
        <v>1824</v>
      </c>
      <c r="E642" t="s">
        <v>1844</v>
      </c>
      <c r="F642" t="s">
        <v>562</v>
      </c>
      <c r="G642" t="s">
        <v>562</v>
      </c>
      <c r="H642" t="s">
        <v>562</v>
      </c>
      <c r="I642">
        <v>4269</v>
      </c>
      <c r="J642" t="s">
        <v>564</v>
      </c>
      <c r="K642" s="698">
        <v>45957.49722222222</v>
      </c>
      <c r="L642" s="698">
        <v>45957.49722222222</v>
      </c>
      <c r="M642" t="s">
        <v>565</v>
      </c>
      <c r="N642" t="s">
        <v>565</v>
      </c>
      <c r="O642" t="s">
        <v>566</v>
      </c>
      <c r="P642" t="s">
        <v>567</v>
      </c>
      <c r="S642" t="s">
        <v>567</v>
      </c>
      <c r="T642" t="s">
        <v>567</v>
      </c>
      <c r="Z642" t="s">
        <v>568</v>
      </c>
      <c r="AA642" t="s">
        <v>568</v>
      </c>
    </row>
    <row r="643" spans="1:27">
      <c r="A643" t="s">
        <v>1821</v>
      </c>
      <c r="B643" t="s">
        <v>1830</v>
      </c>
      <c r="C643" t="s">
        <v>562</v>
      </c>
      <c r="D643" t="s">
        <v>1824</v>
      </c>
      <c r="E643" t="s">
        <v>1845</v>
      </c>
      <c r="F643" t="s">
        <v>562</v>
      </c>
      <c r="G643" t="s">
        <v>562</v>
      </c>
      <c r="H643" t="s">
        <v>562</v>
      </c>
      <c r="I643">
        <v>4300</v>
      </c>
      <c r="J643" t="s">
        <v>564</v>
      </c>
      <c r="K643" s="698">
        <v>45957.501388888886</v>
      </c>
      <c r="L643" s="698">
        <v>45957.501388888886</v>
      </c>
      <c r="M643" t="s">
        <v>565</v>
      </c>
      <c r="N643" t="s">
        <v>565</v>
      </c>
      <c r="O643" t="s">
        <v>566</v>
      </c>
      <c r="P643" t="s">
        <v>567</v>
      </c>
      <c r="S643" t="s">
        <v>567</v>
      </c>
      <c r="T643" t="s">
        <v>567</v>
      </c>
      <c r="Z643" t="s">
        <v>568</v>
      </c>
      <c r="AA643" t="s">
        <v>568</v>
      </c>
    </row>
    <row r="644" spans="1:27">
      <c r="A644" t="s">
        <v>1821</v>
      </c>
      <c r="B644" t="s">
        <v>1822</v>
      </c>
      <c r="C644" t="s">
        <v>1823</v>
      </c>
      <c r="D644" t="s">
        <v>1824</v>
      </c>
      <c r="E644" t="s">
        <v>1846</v>
      </c>
      <c r="F644" t="s">
        <v>562</v>
      </c>
      <c r="G644" t="s">
        <v>562</v>
      </c>
      <c r="H644" t="s">
        <v>562</v>
      </c>
      <c r="I644">
        <v>4308</v>
      </c>
      <c r="J644" t="s">
        <v>564</v>
      </c>
      <c r="K644" s="698">
        <v>45957.502083333333</v>
      </c>
      <c r="L644" s="698">
        <v>45957.502083333333</v>
      </c>
      <c r="M644" t="s">
        <v>565</v>
      </c>
      <c r="N644" t="s">
        <v>565</v>
      </c>
      <c r="O644" t="s">
        <v>566</v>
      </c>
      <c r="P644" t="s">
        <v>567</v>
      </c>
      <c r="S644" t="s">
        <v>567</v>
      </c>
      <c r="T644" t="s">
        <v>567</v>
      </c>
      <c r="Z644" t="s">
        <v>568</v>
      </c>
      <c r="AA644" t="s">
        <v>568</v>
      </c>
    </row>
    <row r="645" spans="1:27">
      <c r="A645" t="s">
        <v>1821</v>
      </c>
      <c r="B645" t="s">
        <v>1822</v>
      </c>
      <c r="C645" t="s">
        <v>1823</v>
      </c>
      <c r="D645" t="s">
        <v>1824</v>
      </c>
      <c r="E645" t="s">
        <v>1847</v>
      </c>
      <c r="F645" t="s">
        <v>562</v>
      </c>
      <c r="G645" t="s">
        <v>562</v>
      </c>
      <c r="H645" t="s">
        <v>562</v>
      </c>
      <c r="I645">
        <v>4312</v>
      </c>
      <c r="J645" t="s">
        <v>564</v>
      </c>
      <c r="K645" s="698">
        <v>45957.50277777778</v>
      </c>
      <c r="L645" s="698">
        <v>45957.50277777778</v>
      </c>
      <c r="M645" t="s">
        <v>565</v>
      </c>
      <c r="N645" t="s">
        <v>565</v>
      </c>
      <c r="O645" t="s">
        <v>566</v>
      </c>
      <c r="P645" t="s">
        <v>567</v>
      </c>
      <c r="S645" t="s">
        <v>567</v>
      </c>
      <c r="T645" t="s">
        <v>567</v>
      </c>
      <c r="Z645" t="s">
        <v>568</v>
      </c>
      <c r="AA645" t="s">
        <v>568</v>
      </c>
    </row>
    <row r="646" spans="1:27">
      <c r="A646" t="s">
        <v>1821</v>
      </c>
      <c r="B646" t="s">
        <v>1837</v>
      </c>
      <c r="C646" t="s">
        <v>1838</v>
      </c>
      <c r="D646" t="s">
        <v>1824</v>
      </c>
      <c r="E646" t="s">
        <v>1848</v>
      </c>
      <c r="F646" t="s">
        <v>562</v>
      </c>
      <c r="G646" t="s">
        <v>562</v>
      </c>
      <c r="H646" t="s">
        <v>562</v>
      </c>
      <c r="I646">
        <v>4384</v>
      </c>
      <c r="J646" t="s">
        <v>564</v>
      </c>
      <c r="K646" s="698">
        <v>45957.511805555558</v>
      </c>
      <c r="L646" s="698">
        <v>45957.511805555558</v>
      </c>
      <c r="M646" t="s">
        <v>565</v>
      </c>
      <c r="N646" t="s">
        <v>565</v>
      </c>
      <c r="O646" t="s">
        <v>566</v>
      </c>
      <c r="P646" t="s">
        <v>567</v>
      </c>
      <c r="S646" t="s">
        <v>567</v>
      </c>
      <c r="T646" t="s">
        <v>567</v>
      </c>
      <c r="Z646" t="s">
        <v>568</v>
      </c>
      <c r="AA646" t="s">
        <v>568</v>
      </c>
    </row>
    <row r="647" spans="1:27">
      <c r="A647" t="s">
        <v>1821</v>
      </c>
      <c r="B647" t="s">
        <v>1832</v>
      </c>
      <c r="C647" t="s">
        <v>1833</v>
      </c>
      <c r="D647" t="s">
        <v>1824</v>
      </c>
      <c r="E647" t="s">
        <v>1849</v>
      </c>
      <c r="F647" t="s">
        <v>562</v>
      </c>
      <c r="G647" t="s">
        <v>562</v>
      </c>
      <c r="H647" t="s">
        <v>562</v>
      </c>
      <c r="I647">
        <v>4430</v>
      </c>
      <c r="J647" t="s">
        <v>564</v>
      </c>
      <c r="K647" s="698">
        <v>45957.518055555556</v>
      </c>
      <c r="L647" s="698">
        <v>45957.518055555556</v>
      </c>
      <c r="M647" t="s">
        <v>565</v>
      </c>
      <c r="N647" t="s">
        <v>565</v>
      </c>
      <c r="O647" t="s">
        <v>566</v>
      </c>
      <c r="P647" t="s">
        <v>567</v>
      </c>
      <c r="S647" t="s">
        <v>567</v>
      </c>
      <c r="T647" t="s">
        <v>567</v>
      </c>
      <c r="Z647" t="s">
        <v>568</v>
      </c>
      <c r="AA647" t="s">
        <v>568</v>
      </c>
    </row>
    <row r="648" spans="1:27">
      <c r="A648" t="s">
        <v>1821</v>
      </c>
      <c r="B648" t="s">
        <v>1850</v>
      </c>
      <c r="C648" t="s">
        <v>1851</v>
      </c>
      <c r="D648" t="s">
        <v>1824</v>
      </c>
      <c r="E648" t="s">
        <v>1852</v>
      </c>
      <c r="F648" t="s">
        <v>562</v>
      </c>
      <c r="G648" t="s">
        <v>562</v>
      </c>
      <c r="H648" t="s">
        <v>562</v>
      </c>
      <c r="I648">
        <v>4445</v>
      </c>
      <c r="J648" t="s">
        <v>564</v>
      </c>
      <c r="K648" s="698">
        <v>45957.519444444442</v>
      </c>
      <c r="L648" s="698">
        <v>45957.519444444442</v>
      </c>
      <c r="M648" t="s">
        <v>565</v>
      </c>
      <c r="N648" t="s">
        <v>565</v>
      </c>
      <c r="O648" t="s">
        <v>566</v>
      </c>
      <c r="P648" t="s">
        <v>567</v>
      </c>
      <c r="S648" t="s">
        <v>567</v>
      </c>
      <c r="T648" t="s">
        <v>567</v>
      </c>
      <c r="Z648" t="s">
        <v>568</v>
      </c>
      <c r="AA648" t="s">
        <v>568</v>
      </c>
    </row>
    <row r="649" spans="1:27">
      <c r="A649" t="s">
        <v>1821</v>
      </c>
      <c r="B649" t="s">
        <v>1853</v>
      </c>
      <c r="C649" t="s">
        <v>1838</v>
      </c>
      <c r="D649" t="s">
        <v>1824</v>
      </c>
      <c r="E649" t="s">
        <v>1854</v>
      </c>
      <c r="F649" t="s">
        <v>562</v>
      </c>
      <c r="G649" t="s">
        <v>562</v>
      </c>
      <c r="H649" t="s">
        <v>562</v>
      </c>
      <c r="I649">
        <v>4927</v>
      </c>
      <c r="J649" t="s">
        <v>564</v>
      </c>
      <c r="K649" s="698">
        <v>45957.556250000001</v>
      </c>
      <c r="L649" s="698">
        <v>45957.556250000001</v>
      </c>
      <c r="M649" t="s">
        <v>565</v>
      </c>
      <c r="N649" t="s">
        <v>565</v>
      </c>
      <c r="O649" t="s">
        <v>566</v>
      </c>
      <c r="P649" t="s">
        <v>567</v>
      </c>
      <c r="S649" t="s">
        <v>567</v>
      </c>
      <c r="T649" t="s">
        <v>567</v>
      </c>
      <c r="Z649" t="s">
        <v>568</v>
      </c>
      <c r="AA649" t="s">
        <v>568</v>
      </c>
    </row>
    <row r="650" spans="1:27">
      <c r="A650" t="s">
        <v>1821</v>
      </c>
      <c r="B650" t="s">
        <v>1827</v>
      </c>
      <c r="C650" t="s">
        <v>1828</v>
      </c>
      <c r="D650" t="s">
        <v>1824</v>
      </c>
      <c r="E650" t="s">
        <v>1855</v>
      </c>
      <c r="F650" t="s">
        <v>562</v>
      </c>
      <c r="G650" t="s">
        <v>562</v>
      </c>
      <c r="H650" t="s">
        <v>562</v>
      </c>
      <c r="I650">
        <v>4936</v>
      </c>
      <c r="J650" t="s">
        <v>564</v>
      </c>
      <c r="K650" s="698">
        <v>45957.556250000001</v>
      </c>
      <c r="L650" s="698">
        <v>45957.556250000001</v>
      </c>
      <c r="M650" t="s">
        <v>565</v>
      </c>
      <c r="N650" t="s">
        <v>565</v>
      </c>
      <c r="O650" t="s">
        <v>566</v>
      </c>
      <c r="P650" t="s">
        <v>567</v>
      </c>
      <c r="S650" t="s">
        <v>567</v>
      </c>
      <c r="T650" t="s">
        <v>567</v>
      </c>
      <c r="Z650" t="s">
        <v>568</v>
      </c>
      <c r="AA650" t="s">
        <v>568</v>
      </c>
    </row>
    <row r="651" spans="1:27">
      <c r="A651" t="s">
        <v>1821</v>
      </c>
      <c r="B651" t="s">
        <v>1856</v>
      </c>
      <c r="C651" t="s">
        <v>562</v>
      </c>
      <c r="D651" t="s">
        <v>1824</v>
      </c>
      <c r="E651" t="s">
        <v>1857</v>
      </c>
      <c r="F651" t="s">
        <v>562</v>
      </c>
      <c r="G651" t="s">
        <v>562</v>
      </c>
      <c r="H651" t="s">
        <v>562</v>
      </c>
      <c r="I651">
        <v>4981</v>
      </c>
      <c r="J651" t="s">
        <v>564</v>
      </c>
      <c r="K651" s="698">
        <v>45957.557638888888</v>
      </c>
      <c r="L651" s="698">
        <v>45957.557638888888</v>
      </c>
      <c r="M651" t="s">
        <v>565</v>
      </c>
      <c r="N651" t="s">
        <v>565</v>
      </c>
      <c r="O651" t="s">
        <v>566</v>
      </c>
      <c r="P651" t="s">
        <v>567</v>
      </c>
      <c r="S651" t="s">
        <v>567</v>
      </c>
      <c r="T651" t="s">
        <v>567</v>
      </c>
      <c r="Z651" t="s">
        <v>568</v>
      </c>
      <c r="AA651" t="s">
        <v>568</v>
      </c>
    </row>
    <row r="652" spans="1:27">
      <c r="A652" t="s">
        <v>1821</v>
      </c>
      <c r="B652" t="s">
        <v>1837</v>
      </c>
      <c r="C652" t="s">
        <v>1838</v>
      </c>
      <c r="D652" t="s">
        <v>1824</v>
      </c>
      <c r="E652" t="s">
        <v>1858</v>
      </c>
      <c r="F652" t="s">
        <v>562</v>
      </c>
      <c r="G652" t="s">
        <v>562</v>
      </c>
      <c r="H652" t="s">
        <v>562</v>
      </c>
      <c r="I652">
        <v>5062</v>
      </c>
      <c r="J652" t="s">
        <v>564</v>
      </c>
      <c r="K652" s="698">
        <v>45957.560416666667</v>
      </c>
      <c r="L652" s="698">
        <v>45957.560416666667</v>
      </c>
      <c r="M652" t="s">
        <v>565</v>
      </c>
      <c r="N652" t="s">
        <v>565</v>
      </c>
      <c r="O652" t="s">
        <v>566</v>
      </c>
      <c r="P652" t="s">
        <v>567</v>
      </c>
      <c r="S652" t="s">
        <v>567</v>
      </c>
      <c r="T652" t="s">
        <v>567</v>
      </c>
      <c r="Z652" t="s">
        <v>568</v>
      </c>
      <c r="AA652" t="s">
        <v>568</v>
      </c>
    </row>
    <row r="653" spans="1:27">
      <c r="A653" t="s">
        <v>1859</v>
      </c>
      <c r="B653" t="s">
        <v>562</v>
      </c>
      <c r="C653" t="s">
        <v>562</v>
      </c>
      <c r="D653" t="s">
        <v>1860</v>
      </c>
      <c r="E653" t="s">
        <v>1861</v>
      </c>
      <c r="F653" t="s">
        <v>562</v>
      </c>
      <c r="G653" t="s">
        <v>562</v>
      </c>
      <c r="H653" t="s">
        <v>562</v>
      </c>
      <c r="I653">
        <v>4682</v>
      </c>
      <c r="J653" t="s">
        <v>564</v>
      </c>
      <c r="K653" s="698">
        <v>45957.548611111109</v>
      </c>
      <c r="L653" s="698">
        <v>45957.548611111109</v>
      </c>
      <c r="M653" t="s">
        <v>565</v>
      </c>
      <c r="N653" t="s">
        <v>565</v>
      </c>
      <c r="O653" t="s">
        <v>566</v>
      </c>
      <c r="P653" t="s">
        <v>567</v>
      </c>
      <c r="S653" t="s">
        <v>567</v>
      </c>
      <c r="T653" t="s">
        <v>567</v>
      </c>
      <c r="Z653" t="s">
        <v>568</v>
      </c>
      <c r="AA653" t="s">
        <v>568</v>
      </c>
    </row>
    <row r="654" spans="1:27">
      <c r="A654" t="s">
        <v>1859</v>
      </c>
      <c r="B654" t="s">
        <v>562</v>
      </c>
      <c r="C654" t="s">
        <v>562</v>
      </c>
      <c r="D654" t="s">
        <v>1860</v>
      </c>
      <c r="E654" t="s">
        <v>1862</v>
      </c>
      <c r="F654" t="s">
        <v>562</v>
      </c>
      <c r="G654" t="s">
        <v>562</v>
      </c>
      <c r="H654" t="s">
        <v>562</v>
      </c>
      <c r="I654">
        <v>5085</v>
      </c>
      <c r="J654" t="s">
        <v>564</v>
      </c>
      <c r="K654" s="698">
        <v>45957.561111111114</v>
      </c>
      <c r="L654" s="698">
        <v>45957.561111111114</v>
      </c>
      <c r="M654" t="s">
        <v>565</v>
      </c>
      <c r="N654" t="s">
        <v>565</v>
      </c>
      <c r="O654" t="s">
        <v>566</v>
      </c>
      <c r="P654" t="s">
        <v>567</v>
      </c>
      <c r="S654" t="s">
        <v>567</v>
      </c>
      <c r="T654" t="s">
        <v>567</v>
      </c>
      <c r="Z654" t="s">
        <v>568</v>
      </c>
      <c r="AA654" t="s">
        <v>568</v>
      </c>
    </row>
    <row r="655" spans="1:27">
      <c r="A655" t="s">
        <v>1863</v>
      </c>
      <c r="B655" t="s">
        <v>1864</v>
      </c>
      <c r="C655" t="s">
        <v>562</v>
      </c>
      <c r="D655" t="s">
        <v>562</v>
      </c>
      <c r="E655" t="s">
        <v>1865</v>
      </c>
      <c r="F655" t="s">
        <v>562</v>
      </c>
      <c r="G655" t="s">
        <v>562</v>
      </c>
      <c r="H655" t="s">
        <v>562</v>
      </c>
      <c r="I655">
        <v>4381</v>
      </c>
      <c r="J655" t="s">
        <v>564</v>
      </c>
      <c r="K655" s="698">
        <v>45957.511805555558</v>
      </c>
      <c r="L655" s="698">
        <v>45957.511805555558</v>
      </c>
      <c r="M655" t="s">
        <v>565</v>
      </c>
      <c r="N655" t="s">
        <v>565</v>
      </c>
      <c r="O655" t="s">
        <v>566</v>
      </c>
      <c r="P655" t="s">
        <v>567</v>
      </c>
      <c r="S655" t="s">
        <v>567</v>
      </c>
      <c r="T655" t="s">
        <v>567</v>
      </c>
      <c r="Z655" t="s">
        <v>568</v>
      </c>
      <c r="AA655" t="s">
        <v>568</v>
      </c>
    </row>
    <row r="656" spans="1:27">
      <c r="A656" t="s">
        <v>1866</v>
      </c>
      <c r="B656" t="s">
        <v>1866</v>
      </c>
      <c r="C656" t="s">
        <v>1867</v>
      </c>
      <c r="D656" t="s">
        <v>1868</v>
      </c>
      <c r="E656" t="s">
        <v>1869</v>
      </c>
      <c r="F656" t="s">
        <v>562</v>
      </c>
      <c r="G656" t="s">
        <v>562</v>
      </c>
      <c r="H656" t="s">
        <v>562</v>
      </c>
      <c r="I656">
        <v>3786</v>
      </c>
      <c r="J656" t="s">
        <v>564</v>
      </c>
      <c r="K656" s="698">
        <v>45957.44027777778</v>
      </c>
      <c r="L656" s="698">
        <v>45957.44027777778</v>
      </c>
      <c r="M656" t="s">
        <v>565</v>
      </c>
      <c r="N656" t="s">
        <v>565</v>
      </c>
      <c r="O656" t="s">
        <v>566</v>
      </c>
      <c r="P656" t="s">
        <v>567</v>
      </c>
      <c r="S656" t="s">
        <v>567</v>
      </c>
      <c r="T656" t="s">
        <v>567</v>
      </c>
      <c r="Z656" t="s">
        <v>568</v>
      </c>
      <c r="AA656" t="s">
        <v>568</v>
      </c>
    </row>
    <row r="657" spans="1:27">
      <c r="A657" t="s">
        <v>1870</v>
      </c>
      <c r="B657" t="s">
        <v>1870</v>
      </c>
      <c r="C657" t="s">
        <v>1871</v>
      </c>
      <c r="D657" t="s">
        <v>1872</v>
      </c>
      <c r="E657" t="s">
        <v>1873</v>
      </c>
      <c r="F657" t="s">
        <v>562</v>
      </c>
      <c r="G657" t="s">
        <v>562</v>
      </c>
      <c r="H657" t="s">
        <v>562</v>
      </c>
      <c r="I657">
        <v>3678</v>
      </c>
      <c r="J657" t="s">
        <v>564</v>
      </c>
      <c r="K657" s="698">
        <v>45957.428472222222</v>
      </c>
      <c r="L657" s="698">
        <v>45957.428472222222</v>
      </c>
      <c r="M657" t="s">
        <v>565</v>
      </c>
      <c r="N657" t="s">
        <v>565</v>
      </c>
      <c r="O657" t="s">
        <v>566</v>
      </c>
      <c r="P657" t="s">
        <v>567</v>
      </c>
      <c r="S657" t="s">
        <v>567</v>
      </c>
      <c r="T657" t="s">
        <v>567</v>
      </c>
      <c r="Z657" t="s">
        <v>568</v>
      </c>
      <c r="AA657" t="s">
        <v>568</v>
      </c>
    </row>
    <row r="658" spans="1:27">
      <c r="A658" t="s">
        <v>1874</v>
      </c>
      <c r="B658" t="s">
        <v>1874</v>
      </c>
      <c r="C658" t="s">
        <v>1875</v>
      </c>
      <c r="D658" t="s">
        <v>1876</v>
      </c>
      <c r="E658" t="s">
        <v>1877</v>
      </c>
      <c r="F658" t="s">
        <v>562</v>
      </c>
      <c r="G658" t="s">
        <v>562</v>
      </c>
      <c r="H658" t="s">
        <v>562</v>
      </c>
      <c r="I658">
        <v>4088</v>
      </c>
      <c r="J658" t="s">
        <v>564</v>
      </c>
      <c r="K658" s="698">
        <v>45957.474999999999</v>
      </c>
      <c r="L658" s="698">
        <v>45957.474999999999</v>
      </c>
      <c r="M658" t="s">
        <v>565</v>
      </c>
      <c r="N658" t="s">
        <v>565</v>
      </c>
      <c r="O658" t="s">
        <v>566</v>
      </c>
      <c r="P658" t="s">
        <v>567</v>
      </c>
      <c r="S658" t="s">
        <v>567</v>
      </c>
      <c r="T658" t="s">
        <v>567</v>
      </c>
      <c r="Z658" t="s">
        <v>568</v>
      </c>
      <c r="AA658" t="s">
        <v>568</v>
      </c>
    </row>
    <row r="659" spans="1:27">
      <c r="A659" t="s">
        <v>1878</v>
      </c>
      <c r="B659" t="s">
        <v>1879</v>
      </c>
      <c r="C659" t="s">
        <v>562</v>
      </c>
      <c r="D659" t="s">
        <v>562</v>
      </c>
      <c r="E659" t="s">
        <v>1880</v>
      </c>
      <c r="F659" t="s">
        <v>562</v>
      </c>
      <c r="G659" t="s">
        <v>562</v>
      </c>
      <c r="H659" t="s">
        <v>562</v>
      </c>
      <c r="I659">
        <v>5143</v>
      </c>
      <c r="J659" t="s">
        <v>564</v>
      </c>
      <c r="K659" s="698">
        <v>45957.5625</v>
      </c>
      <c r="L659" s="698">
        <v>45957.5625</v>
      </c>
      <c r="M659" t="s">
        <v>565</v>
      </c>
      <c r="N659" t="s">
        <v>565</v>
      </c>
      <c r="O659" t="s">
        <v>566</v>
      </c>
      <c r="P659" t="s">
        <v>567</v>
      </c>
      <c r="S659" t="s">
        <v>567</v>
      </c>
      <c r="T659" t="s">
        <v>567</v>
      </c>
      <c r="Z659" t="s">
        <v>568</v>
      </c>
      <c r="AA659" t="s">
        <v>568</v>
      </c>
    </row>
    <row r="660" spans="1:27">
      <c r="A660" t="s">
        <v>1878</v>
      </c>
      <c r="B660" t="s">
        <v>1879</v>
      </c>
      <c r="C660" t="s">
        <v>562</v>
      </c>
      <c r="D660" t="s">
        <v>1881</v>
      </c>
      <c r="E660" t="s">
        <v>1882</v>
      </c>
      <c r="F660" t="s">
        <v>562</v>
      </c>
      <c r="G660" t="s">
        <v>562</v>
      </c>
      <c r="H660" t="s">
        <v>562</v>
      </c>
      <c r="I660">
        <v>5217</v>
      </c>
      <c r="J660" t="s">
        <v>564</v>
      </c>
      <c r="K660" s="698">
        <v>45957.564583333333</v>
      </c>
      <c r="L660" s="698">
        <v>45957.564583333333</v>
      </c>
      <c r="M660" t="s">
        <v>565</v>
      </c>
      <c r="N660" t="s">
        <v>565</v>
      </c>
      <c r="O660" t="s">
        <v>566</v>
      </c>
      <c r="P660" t="s">
        <v>567</v>
      </c>
      <c r="S660" t="s">
        <v>567</v>
      </c>
      <c r="T660" t="s">
        <v>567</v>
      </c>
      <c r="Z660" t="s">
        <v>568</v>
      </c>
      <c r="AA660" t="s">
        <v>568</v>
      </c>
    </row>
    <row r="661" spans="1:27">
      <c r="A661" t="s">
        <v>1883</v>
      </c>
      <c r="B661" t="s">
        <v>1884</v>
      </c>
      <c r="C661" t="s">
        <v>562</v>
      </c>
      <c r="D661" t="s">
        <v>562</v>
      </c>
      <c r="E661" t="s">
        <v>1885</v>
      </c>
      <c r="F661" t="s">
        <v>562</v>
      </c>
      <c r="G661" t="s">
        <v>562</v>
      </c>
      <c r="H661" t="s">
        <v>562</v>
      </c>
      <c r="I661">
        <v>3964</v>
      </c>
      <c r="J661" t="s">
        <v>564</v>
      </c>
      <c r="K661" s="698">
        <v>45957.459722222222</v>
      </c>
      <c r="L661" s="698">
        <v>45957.459722222222</v>
      </c>
      <c r="M661" t="s">
        <v>565</v>
      </c>
      <c r="N661" t="s">
        <v>565</v>
      </c>
      <c r="O661" t="s">
        <v>566</v>
      </c>
      <c r="P661" t="s">
        <v>567</v>
      </c>
      <c r="S661" t="s">
        <v>567</v>
      </c>
      <c r="T661" t="s">
        <v>567</v>
      </c>
      <c r="Z661" t="s">
        <v>568</v>
      </c>
      <c r="AA661" t="s">
        <v>568</v>
      </c>
    </row>
    <row r="662" spans="1:27">
      <c r="A662" t="s">
        <v>1883</v>
      </c>
      <c r="B662" t="s">
        <v>1886</v>
      </c>
      <c r="C662" t="s">
        <v>1887</v>
      </c>
      <c r="D662" t="s">
        <v>562</v>
      </c>
      <c r="E662" t="s">
        <v>1888</v>
      </c>
      <c r="F662" t="s">
        <v>562</v>
      </c>
      <c r="G662" t="s">
        <v>562</v>
      </c>
      <c r="H662" t="s">
        <v>562</v>
      </c>
      <c r="I662">
        <v>4506</v>
      </c>
      <c r="J662" t="s">
        <v>564</v>
      </c>
      <c r="K662" s="698">
        <v>45957.526388888888</v>
      </c>
      <c r="L662" s="698">
        <v>45957.526388888888</v>
      </c>
      <c r="M662" t="s">
        <v>565</v>
      </c>
      <c r="N662" t="s">
        <v>565</v>
      </c>
      <c r="O662" t="s">
        <v>566</v>
      </c>
      <c r="P662" t="s">
        <v>567</v>
      </c>
      <c r="S662" t="s">
        <v>567</v>
      </c>
      <c r="T662" t="s">
        <v>567</v>
      </c>
      <c r="Z662" t="s">
        <v>568</v>
      </c>
      <c r="AA662" t="s">
        <v>568</v>
      </c>
    </row>
    <row r="663" spans="1:27">
      <c r="A663" t="s">
        <v>1883</v>
      </c>
      <c r="B663" t="s">
        <v>1889</v>
      </c>
      <c r="C663" t="s">
        <v>1890</v>
      </c>
      <c r="D663" t="s">
        <v>562</v>
      </c>
      <c r="E663" t="s">
        <v>1820</v>
      </c>
      <c r="F663" t="s">
        <v>562</v>
      </c>
      <c r="G663" t="s">
        <v>562</v>
      </c>
      <c r="H663" t="s">
        <v>562</v>
      </c>
      <c r="I663">
        <v>4595</v>
      </c>
      <c r="J663" t="s">
        <v>564</v>
      </c>
      <c r="K663" s="698">
        <v>45957.538194444445</v>
      </c>
      <c r="L663" s="698">
        <v>45957.538194444445</v>
      </c>
      <c r="M663" t="s">
        <v>565</v>
      </c>
      <c r="N663" t="s">
        <v>565</v>
      </c>
      <c r="O663" t="s">
        <v>566</v>
      </c>
      <c r="P663" t="s">
        <v>567</v>
      </c>
      <c r="S663" t="s">
        <v>567</v>
      </c>
      <c r="T663" t="s">
        <v>567</v>
      </c>
      <c r="Z663" t="s">
        <v>568</v>
      </c>
      <c r="AA663" t="s">
        <v>568</v>
      </c>
    </row>
    <row r="664" spans="1:27">
      <c r="A664" t="s">
        <v>1883</v>
      </c>
      <c r="B664" t="s">
        <v>1891</v>
      </c>
      <c r="C664" t="s">
        <v>1887</v>
      </c>
      <c r="D664" t="s">
        <v>562</v>
      </c>
      <c r="E664" t="s">
        <v>1892</v>
      </c>
      <c r="F664" t="s">
        <v>562</v>
      </c>
      <c r="G664" t="s">
        <v>562</v>
      </c>
      <c r="H664" t="s">
        <v>562</v>
      </c>
      <c r="I664">
        <v>4657</v>
      </c>
      <c r="J664" t="s">
        <v>564</v>
      </c>
      <c r="K664" s="698">
        <v>45957.54791666667</v>
      </c>
      <c r="L664" s="698">
        <v>45957.54791666667</v>
      </c>
      <c r="M664" t="s">
        <v>565</v>
      </c>
      <c r="N664" t="s">
        <v>565</v>
      </c>
      <c r="O664" t="s">
        <v>566</v>
      </c>
      <c r="P664" t="s">
        <v>567</v>
      </c>
      <c r="S664" t="s">
        <v>567</v>
      </c>
      <c r="T664" t="s">
        <v>567</v>
      </c>
      <c r="Z664" t="s">
        <v>568</v>
      </c>
      <c r="AA664" t="s">
        <v>568</v>
      </c>
    </row>
    <row r="665" spans="1:27">
      <c r="A665" t="s">
        <v>1883</v>
      </c>
      <c r="B665" t="s">
        <v>1886</v>
      </c>
      <c r="C665" t="s">
        <v>1887</v>
      </c>
      <c r="D665" t="s">
        <v>562</v>
      </c>
      <c r="E665" t="s">
        <v>1893</v>
      </c>
      <c r="F665" t="s">
        <v>562</v>
      </c>
      <c r="G665" t="s">
        <v>562</v>
      </c>
      <c r="H665" t="s">
        <v>562</v>
      </c>
      <c r="I665">
        <v>4658</v>
      </c>
      <c r="J665" t="s">
        <v>564</v>
      </c>
      <c r="K665" s="698">
        <v>45957.54791666667</v>
      </c>
      <c r="L665" s="698">
        <v>45957.54791666667</v>
      </c>
      <c r="M665" t="s">
        <v>565</v>
      </c>
      <c r="N665" t="s">
        <v>565</v>
      </c>
      <c r="O665" t="s">
        <v>566</v>
      </c>
      <c r="P665" t="s">
        <v>567</v>
      </c>
      <c r="S665" t="s">
        <v>567</v>
      </c>
      <c r="T665" t="s">
        <v>567</v>
      </c>
      <c r="Z665" t="s">
        <v>568</v>
      </c>
      <c r="AA665" t="s">
        <v>568</v>
      </c>
    </row>
    <row r="666" spans="1:27">
      <c r="A666" t="s">
        <v>1883</v>
      </c>
      <c r="B666" t="s">
        <v>1889</v>
      </c>
      <c r="C666" t="s">
        <v>1890</v>
      </c>
      <c r="D666" t="s">
        <v>562</v>
      </c>
      <c r="E666" t="s">
        <v>1894</v>
      </c>
      <c r="F666" t="s">
        <v>562</v>
      </c>
      <c r="G666" t="s">
        <v>562</v>
      </c>
      <c r="H666" t="s">
        <v>562</v>
      </c>
      <c r="I666">
        <v>4738</v>
      </c>
      <c r="J666" t="s">
        <v>564</v>
      </c>
      <c r="K666" s="698">
        <v>45957.550694444442</v>
      </c>
      <c r="L666" s="698">
        <v>45957.550694444442</v>
      </c>
      <c r="M666" t="s">
        <v>565</v>
      </c>
      <c r="N666" t="s">
        <v>565</v>
      </c>
      <c r="O666" t="s">
        <v>566</v>
      </c>
      <c r="P666" t="s">
        <v>567</v>
      </c>
      <c r="S666" t="s">
        <v>567</v>
      </c>
      <c r="T666" t="s">
        <v>567</v>
      </c>
      <c r="Z666" t="s">
        <v>568</v>
      </c>
      <c r="AA666" t="s">
        <v>568</v>
      </c>
    </row>
    <row r="667" spans="1:27">
      <c r="A667" t="s">
        <v>1883</v>
      </c>
      <c r="B667" t="s">
        <v>1884</v>
      </c>
      <c r="C667" t="s">
        <v>1895</v>
      </c>
      <c r="D667" t="s">
        <v>562</v>
      </c>
      <c r="E667" t="s">
        <v>1896</v>
      </c>
      <c r="F667" t="s">
        <v>562</v>
      </c>
      <c r="G667" t="s">
        <v>562</v>
      </c>
      <c r="H667" t="s">
        <v>562</v>
      </c>
      <c r="I667">
        <v>5043</v>
      </c>
      <c r="J667" t="s">
        <v>564</v>
      </c>
      <c r="K667" s="698">
        <v>45957.55972222222</v>
      </c>
      <c r="L667" s="698">
        <v>45957.55972222222</v>
      </c>
      <c r="M667" t="s">
        <v>565</v>
      </c>
      <c r="N667" t="s">
        <v>565</v>
      </c>
      <c r="O667" t="s">
        <v>566</v>
      </c>
      <c r="P667" t="s">
        <v>567</v>
      </c>
      <c r="S667" t="s">
        <v>567</v>
      </c>
      <c r="T667" t="s">
        <v>567</v>
      </c>
      <c r="Z667" t="s">
        <v>568</v>
      </c>
      <c r="AA667" t="s">
        <v>568</v>
      </c>
    </row>
    <row r="668" spans="1:27">
      <c r="A668" t="s">
        <v>1883</v>
      </c>
      <c r="B668" t="s">
        <v>1886</v>
      </c>
      <c r="C668" t="s">
        <v>1887</v>
      </c>
      <c r="D668" t="s">
        <v>562</v>
      </c>
      <c r="E668" t="s">
        <v>1897</v>
      </c>
      <c r="F668" t="s">
        <v>562</v>
      </c>
      <c r="G668" t="s">
        <v>562</v>
      </c>
      <c r="H668" t="s">
        <v>562</v>
      </c>
      <c r="I668">
        <v>5106</v>
      </c>
      <c r="J668" t="s">
        <v>564</v>
      </c>
      <c r="K668" s="698">
        <v>45957.561805555553</v>
      </c>
      <c r="L668" s="698">
        <v>45957.561805555553</v>
      </c>
      <c r="M668" t="s">
        <v>565</v>
      </c>
      <c r="N668" t="s">
        <v>565</v>
      </c>
      <c r="O668" t="s">
        <v>566</v>
      </c>
      <c r="P668" t="s">
        <v>567</v>
      </c>
      <c r="S668" t="s">
        <v>567</v>
      </c>
      <c r="T668" t="s">
        <v>567</v>
      </c>
      <c r="Z668" t="s">
        <v>568</v>
      </c>
      <c r="AA668" t="s">
        <v>568</v>
      </c>
    </row>
    <row r="669" spans="1:27">
      <c r="A669" t="s">
        <v>1898</v>
      </c>
      <c r="B669" t="s">
        <v>1274</v>
      </c>
      <c r="C669" t="s">
        <v>1899</v>
      </c>
      <c r="D669" t="s">
        <v>562</v>
      </c>
      <c r="E669" t="s">
        <v>1900</v>
      </c>
      <c r="F669" t="s">
        <v>562</v>
      </c>
      <c r="G669" t="s">
        <v>562</v>
      </c>
      <c r="H669" t="s">
        <v>562</v>
      </c>
      <c r="I669">
        <v>4493</v>
      </c>
      <c r="J669" t="s">
        <v>564</v>
      </c>
      <c r="K669" s="698">
        <v>45957.525000000001</v>
      </c>
      <c r="L669" s="698">
        <v>45957.525000000001</v>
      </c>
      <c r="M669" t="s">
        <v>565</v>
      </c>
      <c r="N669" t="s">
        <v>565</v>
      </c>
      <c r="O669" t="s">
        <v>566</v>
      </c>
      <c r="P669" t="s">
        <v>567</v>
      </c>
      <c r="S669" t="s">
        <v>567</v>
      </c>
      <c r="T669" t="s">
        <v>567</v>
      </c>
      <c r="Z669" t="s">
        <v>568</v>
      </c>
      <c r="AA669" t="s">
        <v>568</v>
      </c>
    </row>
    <row r="670" spans="1:27">
      <c r="A670" t="s">
        <v>1898</v>
      </c>
      <c r="B670" t="s">
        <v>1901</v>
      </c>
      <c r="C670" t="s">
        <v>1902</v>
      </c>
      <c r="D670" t="s">
        <v>562</v>
      </c>
      <c r="E670" t="s">
        <v>1903</v>
      </c>
      <c r="F670" t="s">
        <v>562</v>
      </c>
      <c r="G670" t="s">
        <v>562</v>
      </c>
      <c r="H670" t="s">
        <v>562</v>
      </c>
      <c r="I670">
        <v>4494</v>
      </c>
      <c r="J670" t="s">
        <v>564</v>
      </c>
      <c r="K670" s="698">
        <v>45957.525694444441</v>
      </c>
      <c r="L670" s="698">
        <v>45957.525694444441</v>
      </c>
      <c r="M670" t="s">
        <v>565</v>
      </c>
      <c r="N670" t="s">
        <v>565</v>
      </c>
      <c r="O670" t="s">
        <v>566</v>
      </c>
      <c r="P670" t="s">
        <v>567</v>
      </c>
      <c r="S670" t="s">
        <v>567</v>
      </c>
      <c r="T670" t="s">
        <v>567</v>
      </c>
      <c r="Z670" t="s">
        <v>568</v>
      </c>
      <c r="AA670" t="s">
        <v>568</v>
      </c>
    </row>
    <row r="671" spans="1:27">
      <c r="A671" t="s">
        <v>1898</v>
      </c>
      <c r="B671" t="s">
        <v>1904</v>
      </c>
      <c r="C671" t="s">
        <v>1905</v>
      </c>
      <c r="D671" t="s">
        <v>562</v>
      </c>
      <c r="E671" t="s">
        <v>1906</v>
      </c>
      <c r="F671" t="s">
        <v>562</v>
      </c>
      <c r="G671" t="s">
        <v>562</v>
      </c>
      <c r="H671" t="s">
        <v>562</v>
      </c>
      <c r="I671">
        <v>4495</v>
      </c>
      <c r="J671" t="s">
        <v>564</v>
      </c>
      <c r="K671" s="698">
        <v>45957.525694444441</v>
      </c>
      <c r="L671" s="698">
        <v>45957.525694444441</v>
      </c>
      <c r="M671" t="s">
        <v>565</v>
      </c>
      <c r="N671" t="s">
        <v>565</v>
      </c>
      <c r="O671" t="s">
        <v>566</v>
      </c>
      <c r="P671" t="s">
        <v>567</v>
      </c>
      <c r="S671" t="s">
        <v>567</v>
      </c>
      <c r="T671" t="s">
        <v>567</v>
      </c>
      <c r="Z671" t="s">
        <v>568</v>
      </c>
      <c r="AA671" t="s">
        <v>568</v>
      </c>
    </row>
    <row r="672" spans="1:27">
      <c r="A672" t="s">
        <v>1898</v>
      </c>
      <c r="B672" t="s">
        <v>1907</v>
      </c>
      <c r="C672" t="s">
        <v>1908</v>
      </c>
      <c r="D672" t="s">
        <v>562</v>
      </c>
      <c r="E672" t="s">
        <v>1909</v>
      </c>
      <c r="F672" t="s">
        <v>562</v>
      </c>
      <c r="G672" t="s">
        <v>562</v>
      </c>
      <c r="H672" t="s">
        <v>562</v>
      </c>
      <c r="I672">
        <v>4715</v>
      </c>
      <c r="J672" t="s">
        <v>564</v>
      </c>
      <c r="K672" s="698">
        <v>45957.55</v>
      </c>
      <c r="L672" s="698">
        <v>45957.55</v>
      </c>
      <c r="M672" t="s">
        <v>565</v>
      </c>
      <c r="N672" t="s">
        <v>565</v>
      </c>
      <c r="O672" t="s">
        <v>566</v>
      </c>
      <c r="P672" t="s">
        <v>567</v>
      </c>
      <c r="S672" t="s">
        <v>567</v>
      </c>
      <c r="T672" t="s">
        <v>567</v>
      </c>
      <c r="Z672" t="s">
        <v>568</v>
      </c>
      <c r="AA672" t="s">
        <v>568</v>
      </c>
    </row>
    <row r="673" spans="1:27">
      <c r="A673" t="s">
        <v>1910</v>
      </c>
      <c r="B673" t="s">
        <v>1345</v>
      </c>
      <c r="C673" t="s">
        <v>1911</v>
      </c>
      <c r="D673" t="s">
        <v>562</v>
      </c>
      <c r="E673" t="s">
        <v>1912</v>
      </c>
      <c r="F673" t="s">
        <v>562</v>
      </c>
      <c r="G673" t="s">
        <v>562</v>
      </c>
      <c r="H673" t="s">
        <v>562</v>
      </c>
      <c r="I673">
        <v>4831</v>
      </c>
      <c r="J673" t="s">
        <v>564</v>
      </c>
      <c r="K673" s="698">
        <v>45957.553472222222</v>
      </c>
      <c r="L673" s="698">
        <v>45957.553472222222</v>
      </c>
      <c r="M673" t="s">
        <v>565</v>
      </c>
      <c r="N673" t="s">
        <v>565</v>
      </c>
      <c r="O673" t="s">
        <v>566</v>
      </c>
      <c r="P673" t="s">
        <v>567</v>
      </c>
      <c r="S673" t="s">
        <v>567</v>
      </c>
      <c r="T673" t="s">
        <v>567</v>
      </c>
      <c r="Z673" t="s">
        <v>568</v>
      </c>
      <c r="AA673" t="s">
        <v>568</v>
      </c>
    </row>
    <row r="674" spans="1:27">
      <c r="A674" t="s">
        <v>1910</v>
      </c>
      <c r="B674" t="s">
        <v>1913</v>
      </c>
      <c r="C674" t="s">
        <v>1911</v>
      </c>
      <c r="D674" t="s">
        <v>562</v>
      </c>
      <c r="E674" t="s">
        <v>1914</v>
      </c>
      <c r="F674" t="s">
        <v>562</v>
      </c>
      <c r="G674" t="s">
        <v>562</v>
      </c>
      <c r="H674" t="s">
        <v>562</v>
      </c>
      <c r="I674">
        <v>4885</v>
      </c>
      <c r="J674" t="s">
        <v>564</v>
      </c>
      <c r="K674" s="698">
        <v>45957.554861111108</v>
      </c>
      <c r="L674" s="698">
        <v>45957.554861111108</v>
      </c>
      <c r="M674" t="s">
        <v>565</v>
      </c>
      <c r="N674" t="s">
        <v>565</v>
      </c>
      <c r="O674" t="s">
        <v>566</v>
      </c>
      <c r="P674" t="s">
        <v>567</v>
      </c>
      <c r="S674" t="s">
        <v>567</v>
      </c>
      <c r="T674" t="s">
        <v>567</v>
      </c>
      <c r="Z674" t="s">
        <v>568</v>
      </c>
      <c r="AA674" t="s">
        <v>568</v>
      </c>
    </row>
    <row r="675" spans="1:27">
      <c r="A675" t="s">
        <v>1915</v>
      </c>
      <c r="B675" t="s">
        <v>1913</v>
      </c>
      <c r="C675" t="s">
        <v>1911</v>
      </c>
      <c r="D675" t="s">
        <v>562</v>
      </c>
      <c r="E675" t="s">
        <v>1916</v>
      </c>
      <c r="F675" t="s">
        <v>562</v>
      </c>
      <c r="G675" t="s">
        <v>562</v>
      </c>
      <c r="H675" t="s">
        <v>562</v>
      </c>
      <c r="I675">
        <v>4961</v>
      </c>
      <c r="J675" t="s">
        <v>564</v>
      </c>
      <c r="K675" s="698">
        <v>45957.556944444441</v>
      </c>
      <c r="L675" s="698">
        <v>45957.556944444441</v>
      </c>
      <c r="M675" t="s">
        <v>565</v>
      </c>
      <c r="N675" t="s">
        <v>565</v>
      </c>
      <c r="O675" t="s">
        <v>566</v>
      </c>
      <c r="P675" t="s">
        <v>567</v>
      </c>
      <c r="S675" t="s">
        <v>567</v>
      </c>
      <c r="T675" t="s">
        <v>567</v>
      </c>
      <c r="Z675" t="s">
        <v>568</v>
      </c>
      <c r="AA675" t="s">
        <v>568</v>
      </c>
    </row>
    <row r="676" spans="1:27">
      <c r="A676" t="s">
        <v>1917</v>
      </c>
      <c r="B676" t="s">
        <v>1918</v>
      </c>
      <c r="C676" t="s">
        <v>562</v>
      </c>
      <c r="D676" t="s">
        <v>562</v>
      </c>
      <c r="E676" t="s">
        <v>1919</v>
      </c>
      <c r="F676" t="s">
        <v>562</v>
      </c>
      <c r="G676" t="s">
        <v>562</v>
      </c>
      <c r="H676" t="s">
        <v>562</v>
      </c>
      <c r="I676">
        <v>3950</v>
      </c>
      <c r="J676" t="s">
        <v>564</v>
      </c>
      <c r="K676" s="698">
        <v>45957.458333333336</v>
      </c>
      <c r="L676" s="698">
        <v>45957.458333333336</v>
      </c>
      <c r="M676" t="s">
        <v>565</v>
      </c>
      <c r="N676" t="s">
        <v>565</v>
      </c>
      <c r="O676" t="s">
        <v>566</v>
      </c>
      <c r="P676" t="s">
        <v>567</v>
      </c>
      <c r="S676" t="s">
        <v>567</v>
      </c>
      <c r="T676" t="s">
        <v>567</v>
      </c>
      <c r="Z676" t="s">
        <v>568</v>
      </c>
      <c r="AA676" t="s">
        <v>568</v>
      </c>
    </row>
    <row r="677" spans="1:27">
      <c r="A677" t="s">
        <v>1920</v>
      </c>
      <c r="B677" t="s">
        <v>1921</v>
      </c>
      <c r="C677" t="s">
        <v>562</v>
      </c>
      <c r="D677" t="s">
        <v>1922</v>
      </c>
      <c r="E677" t="s">
        <v>1923</v>
      </c>
      <c r="F677" t="s">
        <v>562</v>
      </c>
      <c r="G677" t="s">
        <v>562</v>
      </c>
      <c r="H677" t="s">
        <v>562</v>
      </c>
      <c r="I677">
        <v>5002</v>
      </c>
      <c r="J677" t="s">
        <v>564</v>
      </c>
      <c r="K677" s="698">
        <v>45957.558333333334</v>
      </c>
      <c r="L677" s="698">
        <v>45957.558333333334</v>
      </c>
      <c r="M677" t="s">
        <v>565</v>
      </c>
      <c r="N677" t="s">
        <v>565</v>
      </c>
      <c r="O677" t="s">
        <v>566</v>
      </c>
      <c r="P677" t="s">
        <v>567</v>
      </c>
      <c r="S677" t="s">
        <v>567</v>
      </c>
      <c r="T677" t="s">
        <v>567</v>
      </c>
      <c r="Z677" t="s">
        <v>568</v>
      </c>
      <c r="AA677" t="s">
        <v>568</v>
      </c>
    </row>
    <row r="678" spans="1:27">
      <c r="A678" t="s">
        <v>1924</v>
      </c>
      <c r="B678" t="s">
        <v>1925</v>
      </c>
      <c r="C678" t="s">
        <v>1926</v>
      </c>
      <c r="D678" t="s">
        <v>562</v>
      </c>
      <c r="E678" t="s">
        <v>1927</v>
      </c>
      <c r="F678" t="s">
        <v>562</v>
      </c>
      <c r="G678" t="s">
        <v>562</v>
      </c>
      <c r="H678" t="s">
        <v>562</v>
      </c>
      <c r="I678">
        <v>3630</v>
      </c>
      <c r="J678" t="s">
        <v>564</v>
      </c>
      <c r="K678" s="698">
        <v>45957.423611111109</v>
      </c>
      <c r="L678" s="698">
        <v>45957.423611111109</v>
      </c>
      <c r="M678" t="s">
        <v>565</v>
      </c>
      <c r="N678" t="s">
        <v>565</v>
      </c>
      <c r="O678" t="s">
        <v>566</v>
      </c>
      <c r="P678" t="s">
        <v>567</v>
      </c>
      <c r="S678" t="s">
        <v>567</v>
      </c>
      <c r="T678" t="s">
        <v>567</v>
      </c>
      <c r="Z678" t="s">
        <v>568</v>
      </c>
      <c r="AA678" t="s">
        <v>568</v>
      </c>
    </row>
    <row r="679" spans="1:27">
      <c r="A679" t="s">
        <v>1928</v>
      </c>
      <c r="B679" t="s">
        <v>1929</v>
      </c>
      <c r="C679" t="s">
        <v>1930</v>
      </c>
      <c r="D679" t="s">
        <v>562</v>
      </c>
      <c r="E679" t="s">
        <v>1320</v>
      </c>
      <c r="F679" t="s">
        <v>562</v>
      </c>
      <c r="G679" t="s">
        <v>562</v>
      </c>
      <c r="H679" t="s">
        <v>562</v>
      </c>
      <c r="I679">
        <v>4405</v>
      </c>
      <c r="J679" t="s">
        <v>564</v>
      </c>
      <c r="K679" s="698">
        <v>45957.51458333333</v>
      </c>
      <c r="L679" s="698">
        <v>45957.51458333333</v>
      </c>
      <c r="M679" t="s">
        <v>565</v>
      </c>
      <c r="N679" t="s">
        <v>565</v>
      </c>
      <c r="O679" t="s">
        <v>566</v>
      </c>
      <c r="P679" t="s">
        <v>567</v>
      </c>
      <c r="S679" t="s">
        <v>567</v>
      </c>
      <c r="T679" t="s">
        <v>567</v>
      </c>
      <c r="Z679" t="s">
        <v>568</v>
      </c>
      <c r="AA679" t="s">
        <v>568</v>
      </c>
    </row>
    <row r="680" spans="1:27">
      <c r="A680" t="s">
        <v>1931</v>
      </c>
      <c r="B680" t="s">
        <v>562</v>
      </c>
      <c r="C680" t="s">
        <v>1932</v>
      </c>
      <c r="D680" t="s">
        <v>1933</v>
      </c>
      <c r="E680" t="s">
        <v>562</v>
      </c>
      <c r="F680" t="s">
        <v>562</v>
      </c>
      <c r="G680" t="s">
        <v>562</v>
      </c>
      <c r="H680" t="s">
        <v>562</v>
      </c>
      <c r="I680">
        <v>3519</v>
      </c>
      <c r="J680" t="s">
        <v>564</v>
      </c>
      <c r="K680" s="698">
        <v>45957.412499999999</v>
      </c>
      <c r="L680" s="698">
        <v>45957.412499999999</v>
      </c>
      <c r="M680" t="s">
        <v>565</v>
      </c>
      <c r="N680" t="s">
        <v>565</v>
      </c>
      <c r="O680" t="s">
        <v>566</v>
      </c>
      <c r="P680" t="s">
        <v>567</v>
      </c>
      <c r="S680" t="s">
        <v>567</v>
      </c>
      <c r="T680" t="s">
        <v>567</v>
      </c>
      <c r="Z680" t="s">
        <v>568</v>
      </c>
      <c r="AA680" t="s">
        <v>568</v>
      </c>
    </row>
    <row r="681" spans="1:27">
      <c r="A681" t="s">
        <v>1934</v>
      </c>
      <c r="B681" t="s">
        <v>1935</v>
      </c>
      <c r="C681" t="s">
        <v>1936</v>
      </c>
      <c r="D681" t="s">
        <v>1937</v>
      </c>
      <c r="E681" t="s">
        <v>1938</v>
      </c>
      <c r="F681" t="s">
        <v>562</v>
      </c>
      <c r="G681" t="s">
        <v>562</v>
      </c>
      <c r="H681" t="s">
        <v>562</v>
      </c>
      <c r="I681">
        <v>3641</v>
      </c>
      <c r="J681" t="s">
        <v>564</v>
      </c>
      <c r="K681" s="698">
        <v>45957.424305555556</v>
      </c>
      <c r="L681" s="698">
        <v>45957.424305555556</v>
      </c>
      <c r="M681" t="s">
        <v>565</v>
      </c>
      <c r="N681" t="s">
        <v>565</v>
      </c>
      <c r="O681" t="s">
        <v>566</v>
      </c>
      <c r="P681" t="s">
        <v>567</v>
      </c>
      <c r="S681" t="s">
        <v>567</v>
      </c>
      <c r="T681" t="s">
        <v>567</v>
      </c>
      <c r="Z681" t="s">
        <v>568</v>
      </c>
      <c r="AA681" t="s">
        <v>568</v>
      </c>
    </row>
    <row r="682" spans="1:27">
      <c r="A682" t="s">
        <v>1934</v>
      </c>
      <c r="B682" t="s">
        <v>1935</v>
      </c>
      <c r="C682" t="s">
        <v>1936</v>
      </c>
      <c r="D682" t="s">
        <v>1937</v>
      </c>
      <c r="E682" t="s">
        <v>1939</v>
      </c>
      <c r="F682" t="s">
        <v>562</v>
      </c>
      <c r="G682" t="s">
        <v>562</v>
      </c>
      <c r="H682" t="s">
        <v>562</v>
      </c>
      <c r="I682">
        <v>3859</v>
      </c>
      <c r="J682" t="s">
        <v>564</v>
      </c>
      <c r="K682" s="698">
        <v>45957.448611111111</v>
      </c>
      <c r="L682" s="698">
        <v>45957.448611111111</v>
      </c>
      <c r="M682" t="s">
        <v>565</v>
      </c>
      <c r="N682" t="s">
        <v>565</v>
      </c>
      <c r="O682" t="s">
        <v>566</v>
      </c>
      <c r="P682" t="s">
        <v>567</v>
      </c>
      <c r="S682" t="s">
        <v>567</v>
      </c>
      <c r="T682" t="s">
        <v>567</v>
      </c>
      <c r="Z682" t="s">
        <v>568</v>
      </c>
      <c r="AA682" t="s">
        <v>568</v>
      </c>
    </row>
    <row r="683" spans="1:27">
      <c r="A683" t="s">
        <v>1934</v>
      </c>
      <c r="B683" t="s">
        <v>1940</v>
      </c>
      <c r="C683" t="s">
        <v>1941</v>
      </c>
      <c r="D683" t="s">
        <v>1937</v>
      </c>
      <c r="E683" t="s">
        <v>1942</v>
      </c>
      <c r="F683" t="s">
        <v>562</v>
      </c>
      <c r="G683" t="s">
        <v>562</v>
      </c>
      <c r="H683" t="s">
        <v>562</v>
      </c>
      <c r="I683">
        <v>4394</v>
      </c>
      <c r="J683" t="s">
        <v>564</v>
      </c>
      <c r="K683" s="698">
        <v>45957.513194444444</v>
      </c>
      <c r="L683" s="698">
        <v>45957.513194444444</v>
      </c>
      <c r="M683" t="s">
        <v>565</v>
      </c>
      <c r="N683" t="s">
        <v>565</v>
      </c>
      <c r="O683" t="s">
        <v>566</v>
      </c>
      <c r="P683" t="s">
        <v>567</v>
      </c>
      <c r="S683" t="s">
        <v>567</v>
      </c>
      <c r="T683" t="s">
        <v>567</v>
      </c>
      <c r="Z683" t="s">
        <v>568</v>
      </c>
      <c r="AA683" t="s">
        <v>568</v>
      </c>
    </row>
    <row r="684" spans="1:27">
      <c r="A684" t="s">
        <v>1934</v>
      </c>
      <c r="B684" t="s">
        <v>1123</v>
      </c>
      <c r="C684" t="s">
        <v>562</v>
      </c>
      <c r="D684" t="s">
        <v>1937</v>
      </c>
      <c r="E684" t="s">
        <v>1943</v>
      </c>
      <c r="F684" t="s">
        <v>562</v>
      </c>
      <c r="G684" t="s">
        <v>562</v>
      </c>
      <c r="H684" t="s">
        <v>562</v>
      </c>
      <c r="I684">
        <v>4469</v>
      </c>
      <c r="J684" t="s">
        <v>564</v>
      </c>
      <c r="K684" s="698">
        <v>45957.522222222222</v>
      </c>
      <c r="L684" s="698">
        <v>45957.522222222222</v>
      </c>
      <c r="M684" t="s">
        <v>565</v>
      </c>
      <c r="N684" t="s">
        <v>565</v>
      </c>
      <c r="O684" t="s">
        <v>566</v>
      </c>
      <c r="P684" t="s">
        <v>567</v>
      </c>
      <c r="S684" t="s">
        <v>567</v>
      </c>
      <c r="T684" t="s">
        <v>567</v>
      </c>
      <c r="Z684" t="s">
        <v>568</v>
      </c>
      <c r="AA684" t="s">
        <v>568</v>
      </c>
    </row>
    <row r="685" spans="1:27">
      <c r="A685" t="s">
        <v>1944</v>
      </c>
      <c r="B685" t="s">
        <v>1945</v>
      </c>
      <c r="C685" t="s">
        <v>1946</v>
      </c>
      <c r="D685" t="s">
        <v>1947</v>
      </c>
      <c r="E685" t="s">
        <v>1948</v>
      </c>
      <c r="F685" t="s">
        <v>562</v>
      </c>
      <c r="G685" t="s">
        <v>562</v>
      </c>
      <c r="H685" t="s">
        <v>562</v>
      </c>
      <c r="I685">
        <v>5044</v>
      </c>
      <c r="J685" t="s">
        <v>564</v>
      </c>
      <c r="K685" s="698">
        <v>45957.55972222222</v>
      </c>
      <c r="L685" s="698">
        <v>45957.55972222222</v>
      </c>
      <c r="M685" t="s">
        <v>565</v>
      </c>
      <c r="N685" t="s">
        <v>565</v>
      </c>
      <c r="O685" t="s">
        <v>566</v>
      </c>
      <c r="P685" t="s">
        <v>567</v>
      </c>
      <c r="S685" t="s">
        <v>567</v>
      </c>
      <c r="T685" t="s">
        <v>567</v>
      </c>
      <c r="Z685" t="s">
        <v>568</v>
      </c>
      <c r="AA685" t="s">
        <v>568</v>
      </c>
    </row>
    <row r="686" spans="1:27">
      <c r="A686" t="s">
        <v>1949</v>
      </c>
      <c r="B686" t="s">
        <v>1949</v>
      </c>
      <c r="C686" t="s">
        <v>1950</v>
      </c>
      <c r="D686" t="s">
        <v>562</v>
      </c>
      <c r="E686" t="s">
        <v>1951</v>
      </c>
      <c r="F686" t="s">
        <v>562</v>
      </c>
      <c r="G686" t="s">
        <v>562</v>
      </c>
      <c r="H686" t="s">
        <v>562</v>
      </c>
      <c r="I686">
        <v>5163</v>
      </c>
      <c r="J686" t="s">
        <v>564</v>
      </c>
      <c r="K686" s="698">
        <v>45957.563194444447</v>
      </c>
      <c r="L686" s="698">
        <v>45957.563194444447</v>
      </c>
      <c r="M686" t="s">
        <v>565</v>
      </c>
      <c r="N686" t="s">
        <v>565</v>
      </c>
      <c r="O686" t="s">
        <v>566</v>
      </c>
      <c r="P686" t="s">
        <v>567</v>
      </c>
      <c r="S686" t="s">
        <v>567</v>
      </c>
      <c r="T686" t="s">
        <v>567</v>
      </c>
      <c r="Z686" t="s">
        <v>568</v>
      </c>
      <c r="AA686" t="s">
        <v>568</v>
      </c>
    </row>
    <row r="687" spans="1:27">
      <c r="A687" t="s">
        <v>1952</v>
      </c>
      <c r="B687" t="s">
        <v>562</v>
      </c>
      <c r="C687" t="s">
        <v>1953</v>
      </c>
      <c r="D687" t="s">
        <v>1954</v>
      </c>
      <c r="E687" t="s">
        <v>562</v>
      </c>
      <c r="F687" t="s">
        <v>562</v>
      </c>
      <c r="G687" t="s">
        <v>562</v>
      </c>
      <c r="H687" t="s">
        <v>562</v>
      </c>
      <c r="I687">
        <v>3520</v>
      </c>
      <c r="J687" t="s">
        <v>564</v>
      </c>
      <c r="K687" s="698">
        <v>45957.412499999999</v>
      </c>
      <c r="L687" s="698">
        <v>45957.412499999999</v>
      </c>
      <c r="M687" t="s">
        <v>565</v>
      </c>
      <c r="N687" t="s">
        <v>565</v>
      </c>
      <c r="O687" t="s">
        <v>566</v>
      </c>
      <c r="P687" t="s">
        <v>567</v>
      </c>
      <c r="S687" t="s">
        <v>567</v>
      </c>
      <c r="T687" t="s">
        <v>567</v>
      </c>
      <c r="Z687" t="s">
        <v>568</v>
      </c>
      <c r="AA687" t="s">
        <v>568</v>
      </c>
    </row>
    <row r="688" spans="1:27">
      <c r="A688" t="s">
        <v>1952</v>
      </c>
      <c r="B688" t="s">
        <v>1955</v>
      </c>
      <c r="C688" t="s">
        <v>1956</v>
      </c>
      <c r="D688" t="s">
        <v>1957</v>
      </c>
      <c r="E688" t="s">
        <v>1958</v>
      </c>
      <c r="F688" t="s">
        <v>562</v>
      </c>
      <c r="G688" t="s">
        <v>562</v>
      </c>
      <c r="H688" t="s">
        <v>562</v>
      </c>
      <c r="I688">
        <v>3877</v>
      </c>
      <c r="J688" t="s">
        <v>564</v>
      </c>
      <c r="K688" s="698">
        <v>45957.45</v>
      </c>
      <c r="L688" s="698">
        <v>45957.45</v>
      </c>
      <c r="M688" t="s">
        <v>565</v>
      </c>
      <c r="N688" t="s">
        <v>565</v>
      </c>
      <c r="O688" t="s">
        <v>566</v>
      </c>
      <c r="P688" t="s">
        <v>567</v>
      </c>
      <c r="S688" t="s">
        <v>567</v>
      </c>
      <c r="T688" t="s">
        <v>567</v>
      </c>
      <c r="Z688" t="s">
        <v>568</v>
      </c>
      <c r="AA688" t="s">
        <v>568</v>
      </c>
    </row>
    <row r="689" spans="1:27">
      <c r="A689" t="s">
        <v>1952</v>
      </c>
      <c r="B689" t="s">
        <v>771</v>
      </c>
      <c r="C689" t="s">
        <v>1959</v>
      </c>
      <c r="D689" t="s">
        <v>1957</v>
      </c>
      <c r="E689" t="s">
        <v>1960</v>
      </c>
      <c r="F689" t="s">
        <v>562</v>
      </c>
      <c r="G689" t="s">
        <v>562</v>
      </c>
      <c r="H689" t="s">
        <v>562</v>
      </c>
      <c r="I689">
        <v>3930</v>
      </c>
      <c r="J689" t="s">
        <v>564</v>
      </c>
      <c r="K689" s="698">
        <v>45957.456250000003</v>
      </c>
      <c r="L689" s="698">
        <v>45957.456250000003</v>
      </c>
      <c r="M689" t="s">
        <v>565</v>
      </c>
      <c r="N689" t="s">
        <v>565</v>
      </c>
      <c r="O689" t="s">
        <v>566</v>
      </c>
      <c r="P689" t="s">
        <v>567</v>
      </c>
      <c r="S689" t="s">
        <v>567</v>
      </c>
      <c r="T689" t="s">
        <v>567</v>
      </c>
      <c r="Z689" t="s">
        <v>568</v>
      </c>
      <c r="AA689" t="s">
        <v>568</v>
      </c>
    </row>
    <row r="690" spans="1:27">
      <c r="A690" t="s">
        <v>1952</v>
      </c>
      <c r="B690" t="s">
        <v>1961</v>
      </c>
      <c r="C690" t="s">
        <v>1962</v>
      </c>
      <c r="D690" t="s">
        <v>1957</v>
      </c>
      <c r="E690" t="s">
        <v>1963</v>
      </c>
      <c r="F690" t="s">
        <v>562</v>
      </c>
      <c r="G690" t="s">
        <v>562</v>
      </c>
      <c r="H690" t="s">
        <v>562</v>
      </c>
      <c r="I690">
        <v>4059</v>
      </c>
      <c r="J690" t="s">
        <v>564</v>
      </c>
      <c r="K690" s="698">
        <v>45957.47152777778</v>
      </c>
      <c r="L690" s="698">
        <v>45957.47152777778</v>
      </c>
      <c r="M690" t="s">
        <v>565</v>
      </c>
      <c r="N690" t="s">
        <v>565</v>
      </c>
      <c r="O690" t="s">
        <v>566</v>
      </c>
      <c r="P690" t="s">
        <v>567</v>
      </c>
      <c r="S690" t="s">
        <v>567</v>
      </c>
      <c r="T690" t="s">
        <v>567</v>
      </c>
      <c r="Z690" t="s">
        <v>568</v>
      </c>
      <c r="AA690" t="s">
        <v>568</v>
      </c>
    </row>
    <row r="691" spans="1:27">
      <c r="A691" t="s">
        <v>1952</v>
      </c>
      <c r="B691" t="s">
        <v>1964</v>
      </c>
      <c r="C691" t="s">
        <v>1965</v>
      </c>
      <c r="D691" t="s">
        <v>1957</v>
      </c>
      <c r="E691" t="s">
        <v>1966</v>
      </c>
      <c r="F691" t="s">
        <v>562</v>
      </c>
      <c r="G691" t="s">
        <v>562</v>
      </c>
      <c r="H691" t="s">
        <v>562</v>
      </c>
      <c r="I691">
        <v>4553</v>
      </c>
      <c r="J691" t="s">
        <v>564</v>
      </c>
      <c r="K691" s="698">
        <v>45957.532638888886</v>
      </c>
      <c r="L691" s="698">
        <v>45957.532638888886</v>
      </c>
      <c r="M691" t="s">
        <v>565</v>
      </c>
      <c r="N691" t="s">
        <v>565</v>
      </c>
      <c r="O691" t="s">
        <v>566</v>
      </c>
      <c r="P691" t="s">
        <v>567</v>
      </c>
      <c r="S691" t="s">
        <v>567</v>
      </c>
      <c r="T691" t="s">
        <v>567</v>
      </c>
      <c r="Z691" t="s">
        <v>568</v>
      </c>
      <c r="AA691" t="s">
        <v>568</v>
      </c>
    </row>
    <row r="692" spans="1:27">
      <c r="A692" t="s">
        <v>1952</v>
      </c>
      <c r="B692" t="s">
        <v>562</v>
      </c>
      <c r="C692" t="s">
        <v>562</v>
      </c>
      <c r="D692" t="s">
        <v>1957</v>
      </c>
      <c r="E692" t="s">
        <v>1967</v>
      </c>
      <c r="F692" t="s">
        <v>562</v>
      </c>
      <c r="G692" t="s">
        <v>562</v>
      </c>
      <c r="H692" t="s">
        <v>562</v>
      </c>
      <c r="I692">
        <v>4593</v>
      </c>
      <c r="J692" t="s">
        <v>564</v>
      </c>
      <c r="K692" s="698">
        <v>45957.537499999999</v>
      </c>
      <c r="L692" s="698">
        <v>45957.537499999999</v>
      </c>
      <c r="M692" t="s">
        <v>565</v>
      </c>
      <c r="N692" t="s">
        <v>565</v>
      </c>
      <c r="O692" t="s">
        <v>566</v>
      </c>
      <c r="P692" t="s">
        <v>567</v>
      </c>
      <c r="S692" t="s">
        <v>567</v>
      </c>
      <c r="T692" t="s">
        <v>567</v>
      </c>
      <c r="Z692" t="s">
        <v>568</v>
      </c>
      <c r="AA692" t="s">
        <v>568</v>
      </c>
    </row>
    <row r="693" spans="1:27">
      <c r="A693" t="s">
        <v>1952</v>
      </c>
      <c r="B693" t="s">
        <v>1964</v>
      </c>
      <c r="C693" t="s">
        <v>1965</v>
      </c>
      <c r="D693" t="s">
        <v>1957</v>
      </c>
      <c r="E693" t="s">
        <v>1968</v>
      </c>
      <c r="F693" t="s">
        <v>562</v>
      </c>
      <c r="G693" t="s">
        <v>562</v>
      </c>
      <c r="H693" t="s">
        <v>562</v>
      </c>
      <c r="I693">
        <v>4899</v>
      </c>
      <c r="J693" t="s">
        <v>564</v>
      </c>
      <c r="K693" s="698">
        <v>45957.555555555555</v>
      </c>
      <c r="L693" s="698">
        <v>45957.555555555555</v>
      </c>
      <c r="M693" t="s">
        <v>565</v>
      </c>
      <c r="N693" t="s">
        <v>565</v>
      </c>
      <c r="O693" t="s">
        <v>566</v>
      </c>
      <c r="P693" t="s">
        <v>567</v>
      </c>
      <c r="S693" t="s">
        <v>567</v>
      </c>
      <c r="T693" t="s">
        <v>567</v>
      </c>
      <c r="Z693" t="s">
        <v>568</v>
      </c>
      <c r="AA693" t="s">
        <v>568</v>
      </c>
    </row>
    <row r="694" spans="1:27">
      <c r="A694" t="s">
        <v>1952</v>
      </c>
      <c r="B694" t="s">
        <v>1964</v>
      </c>
      <c r="C694" t="s">
        <v>1965</v>
      </c>
      <c r="D694" t="s">
        <v>1957</v>
      </c>
      <c r="E694" t="s">
        <v>1969</v>
      </c>
      <c r="F694" t="s">
        <v>562</v>
      </c>
      <c r="G694" t="s">
        <v>562</v>
      </c>
      <c r="H694" t="s">
        <v>562</v>
      </c>
      <c r="I694">
        <v>4908</v>
      </c>
      <c r="J694" t="s">
        <v>564</v>
      </c>
      <c r="K694" s="698">
        <v>45957.555555555555</v>
      </c>
      <c r="L694" s="698">
        <v>45957.555555555555</v>
      </c>
      <c r="M694" t="s">
        <v>565</v>
      </c>
      <c r="N694" t="s">
        <v>565</v>
      </c>
      <c r="O694" t="s">
        <v>566</v>
      </c>
      <c r="P694" t="s">
        <v>567</v>
      </c>
      <c r="S694" t="s">
        <v>567</v>
      </c>
      <c r="T694" t="s">
        <v>567</v>
      </c>
      <c r="Z694" t="s">
        <v>568</v>
      </c>
      <c r="AA694" t="s">
        <v>568</v>
      </c>
    </row>
    <row r="695" spans="1:27">
      <c r="A695" t="s">
        <v>1952</v>
      </c>
      <c r="B695" t="s">
        <v>562</v>
      </c>
      <c r="C695" t="s">
        <v>562</v>
      </c>
      <c r="D695" t="s">
        <v>1957</v>
      </c>
      <c r="E695" t="s">
        <v>1970</v>
      </c>
      <c r="F695" t="s">
        <v>562</v>
      </c>
      <c r="G695" t="s">
        <v>562</v>
      </c>
      <c r="H695" t="s">
        <v>562</v>
      </c>
      <c r="I695">
        <v>4911</v>
      </c>
      <c r="J695" t="s">
        <v>564</v>
      </c>
      <c r="K695" s="698">
        <v>45957.555555555555</v>
      </c>
      <c r="L695" s="698">
        <v>45957.555555555555</v>
      </c>
      <c r="M695" t="s">
        <v>565</v>
      </c>
      <c r="N695" t="s">
        <v>565</v>
      </c>
      <c r="O695" t="s">
        <v>566</v>
      </c>
      <c r="P695" t="s">
        <v>567</v>
      </c>
      <c r="S695" t="s">
        <v>567</v>
      </c>
      <c r="T695" t="s">
        <v>567</v>
      </c>
      <c r="Z695" t="s">
        <v>568</v>
      </c>
      <c r="AA695" t="s">
        <v>568</v>
      </c>
    </row>
    <row r="696" spans="1:27">
      <c r="A696" t="s">
        <v>1952</v>
      </c>
      <c r="B696" t="s">
        <v>777</v>
      </c>
      <c r="C696" t="s">
        <v>1971</v>
      </c>
      <c r="D696" t="s">
        <v>1957</v>
      </c>
      <c r="E696" t="s">
        <v>1972</v>
      </c>
      <c r="F696" t="s">
        <v>562</v>
      </c>
      <c r="G696" t="s">
        <v>562</v>
      </c>
      <c r="H696" t="s">
        <v>562</v>
      </c>
      <c r="I696">
        <v>4931</v>
      </c>
      <c r="J696" t="s">
        <v>564</v>
      </c>
      <c r="K696" s="698">
        <v>45957.556250000001</v>
      </c>
      <c r="L696" s="698">
        <v>45957.556250000001</v>
      </c>
      <c r="M696" t="s">
        <v>565</v>
      </c>
      <c r="N696" t="s">
        <v>565</v>
      </c>
      <c r="O696" t="s">
        <v>566</v>
      </c>
      <c r="P696" t="s">
        <v>567</v>
      </c>
      <c r="S696" t="s">
        <v>567</v>
      </c>
      <c r="T696" t="s">
        <v>567</v>
      </c>
      <c r="Z696" t="s">
        <v>568</v>
      </c>
      <c r="AA696" t="s">
        <v>568</v>
      </c>
    </row>
    <row r="697" spans="1:27">
      <c r="A697" t="s">
        <v>1973</v>
      </c>
      <c r="B697" t="s">
        <v>1973</v>
      </c>
      <c r="C697" t="s">
        <v>1974</v>
      </c>
      <c r="D697" t="s">
        <v>562</v>
      </c>
      <c r="E697" t="s">
        <v>1975</v>
      </c>
      <c r="F697" t="s">
        <v>562</v>
      </c>
      <c r="G697" t="s">
        <v>562</v>
      </c>
      <c r="H697" t="s">
        <v>562</v>
      </c>
      <c r="I697">
        <v>3631</v>
      </c>
      <c r="J697" t="s">
        <v>564</v>
      </c>
      <c r="K697" s="698">
        <v>45957.423611111109</v>
      </c>
      <c r="L697" s="698">
        <v>45957.423611111109</v>
      </c>
      <c r="M697" t="s">
        <v>565</v>
      </c>
      <c r="N697" t="s">
        <v>565</v>
      </c>
      <c r="O697" t="s">
        <v>566</v>
      </c>
      <c r="P697" t="s">
        <v>567</v>
      </c>
      <c r="S697" t="s">
        <v>567</v>
      </c>
      <c r="T697" t="s">
        <v>567</v>
      </c>
      <c r="Z697" t="s">
        <v>568</v>
      </c>
      <c r="AA697" t="s">
        <v>568</v>
      </c>
    </row>
    <row r="698" spans="1:27">
      <c r="A698" t="s">
        <v>1976</v>
      </c>
      <c r="B698" t="s">
        <v>562</v>
      </c>
      <c r="C698" t="s">
        <v>1977</v>
      </c>
      <c r="D698" t="s">
        <v>1978</v>
      </c>
      <c r="E698" t="s">
        <v>562</v>
      </c>
      <c r="F698" t="s">
        <v>562</v>
      </c>
      <c r="G698" t="s">
        <v>562</v>
      </c>
      <c r="H698" t="s">
        <v>562</v>
      </c>
      <c r="I698">
        <v>3521</v>
      </c>
      <c r="J698" t="s">
        <v>564</v>
      </c>
      <c r="K698" s="698">
        <v>45957.412499999999</v>
      </c>
      <c r="L698" s="698">
        <v>45957.412499999999</v>
      </c>
      <c r="M698" t="s">
        <v>565</v>
      </c>
      <c r="N698" t="s">
        <v>565</v>
      </c>
      <c r="O698" t="s">
        <v>566</v>
      </c>
      <c r="P698" t="s">
        <v>567</v>
      </c>
      <c r="S698" t="s">
        <v>567</v>
      </c>
      <c r="T698" t="s">
        <v>567</v>
      </c>
      <c r="Z698" t="s">
        <v>568</v>
      </c>
      <c r="AA698" t="s">
        <v>568</v>
      </c>
    </row>
    <row r="699" spans="1:27">
      <c r="A699" t="s">
        <v>1979</v>
      </c>
      <c r="B699" t="s">
        <v>1980</v>
      </c>
      <c r="C699" t="s">
        <v>562</v>
      </c>
      <c r="D699" t="s">
        <v>562</v>
      </c>
      <c r="E699" t="s">
        <v>1981</v>
      </c>
      <c r="F699" t="s">
        <v>562</v>
      </c>
      <c r="G699" t="s">
        <v>562</v>
      </c>
      <c r="H699" t="s">
        <v>562</v>
      </c>
      <c r="I699">
        <v>3738</v>
      </c>
      <c r="J699" t="s">
        <v>564</v>
      </c>
      <c r="K699" s="698">
        <v>45957.435416666667</v>
      </c>
      <c r="L699" s="698">
        <v>45957.435416666667</v>
      </c>
      <c r="M699" t="s">
        <v>565</v>
      </c>
      <c r="N699" t="s">
        <v>565</v>
      </c>
      <c r="O699" t="s">
        <v>566</v>
      </c>
      <c r="P699" t="s">
        <v>567</v>
      </c>
      <c r="S699" t="s">
        <v>567</v>
      </c>
      <c r="T699" t="s">
        <v>567</v>
      </c>
      <c r="Z699" t="s">
        <v>568</v>
      </c>
      <c r="AA699" t="s">
        <v>568</v>
      </c>
    </row>
    <row r="700" spans="1:27">
      <c r="A700" t="s">
        <v>1982</v>
      </c>
      <c r="B700" t="s">
        <v>562</v>
      </c>
      <c r="C700" t="s">
        <v>1983</v>
      </c>
      <c r="D700" t="s">
        <v>1984</v>
      </c>
      <c r="E700" t="s">
        <v>562</v>
      </c>
      <c r="F700" t="s">
        <v>562</v>
      </c>
      <c r="G700" t="s">
        <v>562</v>
      </c>
      <c r="H700" t="s">
        <v>562</v>
      </c>
      <c r="I700">
        <v>3522</v>
      </c>
      <c r="J700" t="s">
        <v>564</v>
      </c>
      <c r="K700" s="698">
        <v>45957.412499999999</v>
      </c>
      <c r="L700" s="698">
        <v>45957.412499999999</v>
      </c>
      <c r="M700" t="s">
        <v>565</v>
      </c>
      <c r="N700" t="s">
        <v>565</v>
      </c>
      <c r="O700" t="s">
        <v>566</v>
      </c>
      <c r="P700" t="s">
        <v>567</v>
      </c>
      <c r="S700" t="s">
        <v>567</v>
      </c>
      <c r="T700" t="s">
        <v>567</v>
      </c>
      <c r="Z700" t="s">
        <v>568</v>
      </c>
      <c r="AA700" t="s">
        <v>568</v>
      </c>
    </row>
    <row r="701" spans="1:27">
      <c r="A701" t="s">
        <v>1982</v>
      </c>
      <c r="B701" t="s">
        <v>1240</v>
      </c>
      <c r="C701" t="s">
        <v>1985</v>
      </c>
      <c r="D701" t="s">
        <v>1986</v>
      </c>
      <c r="E701" t="s">
        <v>1987</v>
      </c>
      <c r="F701" t="s">
        <v>562</v>
      </c>
      <c r="G701" t="s">
        <v>562</v>
      </c>
      <c r="H701" t="s">
        <v>562</v>
      </c>
      <c r="I701">
        <v>3854</v>
      </c>
      <c r="J701" t="s">
        <v>564</v>
      </c>
      <c r="K701" s="698">
        <v>45957.447916666664</v>
      </c>
      <c r="L701" s="698">
        <v>45957.447916666664</v>
      </c>
      <c r="M701" t="s">
        <v>565</v>
      </c>
      <c r="N701" t="s">
        <v>565</v>
      </c>
      <c r="O701" t="s">
        <v>566</v>
      </c>
      <c r="P701" t="s">
        <v>567</v>
      </c>
      <c r="S701" t="s">
        <v>567</v>
      </c>
      <c r="T701" t="s">
        <v>567</v>
      </c>
      <c r="Z701" t="s">
        <v>568</v>
      </c>
      <c r="AA701" t="s">
        <v>568</v>
      </c>
    </row>
    <row r="702" spans="1:27">
      <c r="A702" t="s">
        <v>1982</v>
      </c>
      <c r="B702" t="s">
        <v>562</v>
      </c>
      <c r="C702" t="s">
        <v>562</v>
      </c>
      <c r="D702" t="s">
        <v>1986</v>
      </c>
      <c r="E702" t="s">
        <v>1988</v>
      </c>
      <c r="F702" t="s">
        <v>562</v>
      </c>
      <c r="G702" t="s">
        <v>562</v>
      </c>
      <c r="H702" t="s">
        <v>562</v>
      </c>
      <c r="I702">
        <v>3895</v>
      </c>
      <c r="J702" t="s">
        <v>564</v>
      </c>
      <c r="K702" s="698">
        <v>45957.45208333333</v>
      </c>
      <c r="L702" s="698">
        <v>45957.45208333333</v>
      </c>
      <c r="M702" t="s">
        <v>565</v>
      </c>
      <c r="N702" t="s">
        <v>565</v>
      </c>
      <c r="O702" t="s">
        <v>566</v>
      </c>
      <c r="P702" t="s">
        <v>567</v>
      </c>
      <c r="S702" t="s">
        <v>567</v>
      </c>
      <c r="T702" t="s">
        <v>567</v>
      </c>
      <c r="Z702" t="s">
        <v>568</v>
      </c>
      <c r="AA702" t="s">
        <v>568</v>
      </c>
    </row>
    <row r="703" spans="1:27">
      <c r="A703" t="s">
        <v>1982</v>
      </c>
      <c r="B703" t="s">
        <v>562</v>
      </c>
      <c r="C703" t="s">
        <v>562</v>
      </c>
      <c r="D703" t="s">
        <v>1986</v>
      </c>
      <c r="E703" t="s">
        <v>1989</v>
      </c>
      <c r="F703" t="s">
        <v>562</v>
      </c>
      <c r="G703" t="s">
        <v>562</v>
      </c>
      <c r="H703" t="s">
        <v>562</v>
      </c>
      <c r="I703">
        <v>3915</v>
      </c>
      <c r="J703" t="s">
        <v>564</v>
      </c>
      <c r="K703" s="698">
        <v>45957.45416666667</v>
      </c>
      <c r="L703" s="698">
        <v>45957.45416666667</v>
      </c>
      <c r="M703" t="s">
        <v>565</v>
      </c>
      <c r="N703" t="s">
        <v>565</v>
      </c>
      <c r="O703" t="s">
        <v>566</v>
      </c>
      <c r="P703" t="s">
        <v>567</v>
      </c>
      <c r="S703" t="s">
        <v>567</v>
      </c>
      <c r="T703" t="s">
        <v>567</v>
      </c>
      <c r="Z703" t="s">
        <v>568</v>
      </c>
      <c r="AA703" t="s">
        <v>568</v>
      </c>
    </row>
    <row r="704" spans="1:27">
      <c r="A704" t="s">
        <v>1982</v>
      </c>
      <c r="B704" t="s">
        <v>1990</v>
      </c>
      <c r="C704" t="s">
        <v>1991</v>
      </c>
      <c r="D704" t="s">
        <v>1986</v>
      </c>
      <c r="E704" t="s">
        <v>1992</v>
      </c>
      <c r="F704" t="s">
        <v>562</v>
      </c>
      <c r="G704" t="s">
        <v>562</v>
      </c>
      <c r="H704" t="s">
        <v>562</v>
      </c>
      <c r="I704">
        <v>4117</v>
      </c>
      <c r="J704" t="s">
        <v>564</v>
      </c>
      <c r="K704" s="698">
        <v>45957.478472222225</v>
      </c>
      <c r="L704" s="698">
        <v>45957.478472222225</v>
      </c>
      <c r="M704" t="s">
        <v>565</v>
      </c>
      <c r="N704" t="s">
        <v>565</v>
      </c>
      <c r="O704" t="s">
        <v>566</v>
      </c>
      <c r="P704" t="s">
        <v>567</v>
      </c>
      <c r="S704" t="s">
        <v>567</v>
      </c>
      <c r="T704" t="s">
        <v>567</v>
      </c>
      <c r="Z704" t="s">
        <v>568</v>
      </c>
      <c r="AA704" t="s">
        <v>568</v>
      </c>
    </row>
    <row r="705" spans="1:27">
      <c r="A705" t="s">
        <v>1982</v>
      </c>
      <c r="B705" t="s">
        <v>1432</v>
      </c>
      <c r="C705" t="s">
        <v>1991</v>
      </c>
      <c r="D705" t="s">
        <v>1986</v>
      </c>
      <c r="E705" t="s">
        <v>1993</v>
      </c>
      <c r="F705" t="s">
        <v>562</v>
      </c>
      <c r="G705" t="s">
        <v>562</v>
      </c>
      <c r="H705" t="s">
        <v>562</v>
      </c>
      <c r="I705">
        <v>4162</v>
      </c>
      <c r="J705" t="s">
        <v>564</v>
      </c>
      <c r="K705" s="698">
        <v>45957.484027777777</v>
      </c>
      <c r="L705" s="698">
        <v>45957.484027777777</v>
      </c>
      <c r="M705" t="s">
        <v>565</v>
      </c>
      <c r="N705" t="s">
        <v>565</v>
      </c>
      <c r="O705" t="s">
        <v>566</v>
      </c>
      <c r="P705" t="s">
        <v>567</v>
      </c>
      <c r="S705" t="s">
        <v>567</v>
      </c>
      <c r="T705" t="s">
        <v>567</v>
      </c>
      <c r="Z705" t="s">
        <v>568</v>
      </c>
      <c r="AA705" t="s">
        <v>568</v>
      </c>
    </row>
    <row r="706" spans="1:27">
      <c r="A706" t="s">
        <v>1982</v>
      </c>
      <c r="B706" t="s">
        <v>562</v>
      </c>
      <c r="C706" t="s">
        <v>562</v>
      </c>
      <c r="D706" t="s">
        <v>1986</v>
      </c>
      <c r="E706" t="s">
        <v>1994</v>
      </c>
      <c r="F706" t="s">
        <v>562</v>
      </c>
      <c r="G706" t="s">
        <v>562</v>
      </c>
      <c r="H706" t="s">
        <v>562</v>
      </c>
      <c r="I706">
        <v>4283</v>
      </c>
      <c r="J706" t="s">
        <v>564</v>
      </c>
      <c r="K706" s="698">
        <v>45957.499305555553</v>
      </c>
      <c r="L706" s="698">
        <v>45957.499305555553</v>
      </c>
      <c r="M706" t="s">
        <v>565</v>
      </c>
      <c r="N706" t="s">
        <v>565</v>
      </c>
      <c r="O706" t="s">
        <v>566</v>
      </c>
      <c r="P706" t="s">
        <v>567</v>
      </c>
      <c r="S706" t="s">
        <v>567</v>
      </c>
      <c r="T706" t="s">
        <v>567</v>
      </c>
      <c r="Z706" t="s">
        <v>568</v>
      </c>
      <c r="AA706" t="s">
        <v>568</v>
      </c>
    </row>
    <row r="707" spans="1:27">
      <c r="A707" t="s">
        <v>1982</v>
      </c>
      <c r="B707" t="s">
        <v>562</v>
      </c>
      <c r="C707" t="s">
        <v>562</v>
      </c>
      <c r="D707" t="s">
        <v>1986</v>
      </c>
      <c r="E707" t="s">
        <v>1995</v>
      </c>
      <c r="F707" t="s">
        <v>562</v>
      </c>
      <c r="G707" t="s">
        <v>562</v>
      </c>
      <c r="H707" t="s">
        <v>562</v>
      </c>
      <c r="I707">
        <v>4439</v>
      </c>
      <c r="J707" t="s">
        <v>564</v>
      </c>
      <c r="K707" s="698">
        <v>45957.518750000003</v>
      </c>
      <c r="L707" s="698">
        <v>45957.518750000003</v>
      </c>
      <c r="M707" t="s">
        <v>565</v>
      </c>
      <c r="N707" t="s">
        <v>565</v>
      </c>
      <c r="O707" t="s">
        <v>566</v>
      </c>
      <c r="P707" t="s">
        <v>567</v>
      </c>
      <c r="S707" t="s">
        <v>567</v>
      </c>
      <c r="T707" t="s">
        <v>567</v>
      </c>
      <c r="Z707" t="s">
        <v>568</v>
      </c>
      <c r="AA707" t="s">
        <v>568</v>
      </c>
    </row>
    <row r="708" spans="1:27">
      <c r="A708" t="s">
        <v>1982</v>
      </c>
      <c r="B708" t="s">
        <v>1996</v>
      </c>
      <c r="C708" t="s">
        <v>1991</v>
      </c>
      <c r="D708" t="s">
        <v>1986</v>
      </c>
      <c r="E708" t="s">
        <v>1997</v>
      </c>
      <c r="F708" t="s">
        <v>562</v>
      </c>
      <c r="G708" t="s">
        <v>562</v>
      </c>
      <c r="H708" t="s">
        <v>562</v>
      </c>
      <c r="I708">
        <v>4481</v>
      </c>
      <c r="J708" t="s">
        <v>564</v>
      </c>
      <c r="K708" s="698">
        <v>45957.523611111108</v>
      </c>
      <c r="L708" s="698">
        <v>45957.523611111108</v>
      </c>
      <c r="M708" t="s">
        <v>565</v>
      </c>
      <c r="N708" t="s">
        <v>565</v>
      </c>
      <c r="O708" t="s">
        <v>566</v>
      </c>
      <c r="P708" t="s">
        <v>567</v>
      </c>
      <c r="S708" t="s">
        <v>567</v>
      </c>
      <c r="T708" t="s">
        <v>567</v>
      </c>
      <c r="Z708" t="s">
        <v>568</v>
      </c>
      <c r="AA708" t="s">
        <v>568</v>
      </c>
    </row>
    <row r="709" spans="1:27">
      <c r="A709" t="s">
        <v>1982</v>
      </c>
      <c r="B709" t="s">
        <v>1998</v>
      </c>
      <c r="C709" t="s">
        <v>1999</v>
      </c>
      <c r="D709" t="s">
        <v>1986</v>
      </c>
      <c r="E709" t="s">
        <v>2000</v>
      </c>
      <c r="F709" t="s">
        <v>562</v>
      </c>
      <c r="G709" t="s">
        <v>562</v>
      </c>
      <c r="H709" t="s">
        <v>562</v>
      </c>
      <c r="I709">
        <v>4777</v>
      </c>
      <c r="J709" t="s">
        <v>564</v>
      </c>
      <c r="K709" s="698">
        <v>45957.551388888889</v>
      </c>
      <c r="L709" s="698">
        <v>45957.551388888889</v>
      </c>
      <c r="M709" t="s">
        <v>565</v>
      </c>
      <c r="N709" t="s">
        <v>565</v>
      </c>
      <c r="O709" t="s">
        <v>566</v>
      </c>
      <c r="P709" t="s">
        <v>567</v>
      </c>
      <c r="S709" t="s">
        <v>567</v>
      </c>
      <c r="T709" t="s">
        <v>567</v>
      </c>
      <c r="Z709" t="s">
        <v>568</v>
      </c>
      <c r="AA709" t="s">
        <v>568</v>
      </c>
    </row>
    <row r="710" spans="1:27">
      <c r="A710" t="s">
        <v>1982</v>
      </c>
      <c r="B710" t="s">
        <v>2001</v>
      </c>
      <c r="C710" t="s">
        <v>1983</v>
      </c>
      <c r="D710" t="s">
        <v>1986</v>
      </c>
      <c r="E710" t="s">
        <v>2002</v>
      </c>
      <c r="F710" t="s">
        <v>562</v>
      </c>
      <c r="G710" t="s">
        <v>562</v>
      </c>
      <c r="H710" t="s">
        <v>562</v>
      </c>
      <c r="I710">
        <v>4803</v>
      </c>
      <c r="J710" t="s">
        <v>564</v>
      </c>
      <c r="K710" s="698">
        <v>45957.552083333336</v>
      </c>
      <c r="L710" s="698">
        <v>45957.552083333336</v>
      </c>
      <c r="M710" t="s">
        <v>565</v>
      </c>
      <c r="N710" t="s">
        <v>565</v>
      </c>
      <c r="O710" t="s">
        <v>566</v>
      </c>
      <c r="P710" t="s">
        <v>567</v>
      </c>
      <c r="S710" t="s">
        <v>567</v>
      </c>
      <c r="T710" t="s">
        <v>567</v>
      </c>
      <c r="Z710" t="s">
        <v>568</v>
      </c>
      <c r="AA710" t="s">
        <v>568</v>
      </c>
    </row>
    <row r="711" spans="1:27">
      <c r="A711" t="s">
        <v>1982</v>
      </c>
      <c r="B711" t="s">
        <v>2003</v>
      </c>
      <c r="C711" t="s">
        <v>2004</v>
      </c>
      <c r="D711" t="s">
        <v>1986</v>
      </c>
      <c r="E711" t="s">
        <v>2005</v>
      </c>
      <c r="F711" t="s">
        <v>562</v>
      </c>
      <c r="G711" t="s">
        <v>562</v>
      </c>
      <c r="H711" t="s">
        <v>562</v>
      </c>
      <c r="I711">
        <v>4867</v>
      </c>
      <c r="J711" t="s">
        <v>564</v>
      </c>
      <c r="K711" s="698">
        <v>45957.554166666669</v>
      </c>
      <c r="L711" s="698">
        <v>45957.554166666669</v>
      </c>
      <c r="M711" t="s">
        <v>565</v>
      </c>
      <c r="N711" t="s">
        <v>565</v>
      </c>
      <c r="O711" t="s">
        <v>566</v>
      </c>
      <c r="P711" t="s">
        <v>567</v>
      </c>
      <c r="S711" t="s">
        <v>567</v>
      </c>
      <c r="T711" t="s">
        <v>567</v>
      </c>
      <c r="Z711" t="s">
        <v>568</v>
      </c>
      <c r="AA711" t="s">
        <v>568</v>
      </c>
    </row>
    <row r="712" spans="1:27">
      <c r="A712" t="s">
        <v>1982</v>
      </c>
      <c r="B712" t="s">
        <v>1998</v>
      </c>
      <c r="C712" t="s">
        <v>1999</v>
      </c>
      <c r="D712" t="s">
        <v>1986</v>
      </c>
      <c r="E712" t="s">
        <v>2006</v>
      </c>
      <c r="F712" t="s">
        <v>562</v>
      </c>
      <c r="G712" t="s">
        <v>562</v>
      </c>
      <c r="H712" t="s">
        <v>562</v>
      </c>
      <c r="I712">
        <v>4976</v>
      </c>
      <c r="J712" t="s">
        <v>564</v>
      </c>
      <c r="K712" s="698">
        <v>45957.557638888888</v>
      </c>
      <c r="L712" s="698">
        <v>45957.557638888888</v>
      </c>
      <c r="M712" t="s">
        <v>565</v>
      </c>
      <c r="N712" t="s">
        <v>565</v>
      </c>
      <c r="O712" t="s">
        <v>566</v>
      </c>
      <c r="P712" t="s">
        <v>567</v>
      </c>
      <c r="S712" t="s">
        <v>567</v>
      </c>
      <c r="T712" t="s">
        <v>567</v>
      </c>
      <c r="Z712" t="s">
        <v>568</v>
      </c>
      <c r="AA712" t="s">
        <v>568</v>
      </c>
    </row>
    <row r="713" spans="1:27">
      <c r="A713" t="s">
        <v>1982</v>
      </c>
      <c r="B713" t="s">
        <v>2007</v>
      </c>
      <c r="C713" t="s">
        <v>562</v>
      </c>
      <c r="D713" t="s">
        <v>1986</v>
      </c>
      <c r="E713" t="s">
        <v>2008</v>
      </c>
      <c r="F713" t="s">
        <v>562</v>
      </c>
      <c r="G713" t="s">
        <v>562</v>
      </c>
      <c r="H713" t="s">
        <v>562</v>
      </c>
      <c r="I713">
        <v>5053</v>
      </c>
      <c r="J713" t="s">
        <v>564</v>
      </c>
      <c r="K713" s="698">
        <v>45957.55972222222</v>
      </c>
      <c r="L713" s="698">
        <v>45957.55972222222</v>
      </c>
      <c r="M713" t="s">
        <v>565</v>
      </c>
      <c r="N713" t="s">
        <v>565</v>
      </c>
      <c r="O713" t="s">
        <v>566</v>
      </c>
      <c r="P713" t="s">
        <v>567</v>
      </c>
      <c r="S713" t="s">
        <v>567</v>
      </c>
      <c r="T713" t="s">
        <v>567</v>
      </c>
      <c r="Z713" t="s">
        <v>568</v>
      </c>
      <c r="AA713" t="s">
        <v>568</v>
      </c>
    </row>
    <row r="714" spans="1:27">
      <c r="A714" t="s">
        <v>833</v>
      </c>
      <c r="B714" t="s">
        <v>847</v>
      </c>
      <c r="C714" t="s">
        <v>834</v>
      </c>
      <c r="D714" t="s">
        <v>562</v>
      </c>
      <c r="E714" t="s">
        <v>2009</v>
      </c>
      <c r="F714" t="s">
        <v>562</v>
      </c>
      <c r="G714" t="s">
        <v>562</v>
      </c>
      <c r="H714" t="s">
        <v>562</v>
      </c>
      <c r="I714">
        <v>4747</v>
      </c>
      <c r="J714" t="s">
        <v>564</v>
      </c>
      <c r="K714" s="698">
        <v>45957.550694444442</v>
      </c>
      <c r="L714" s="698">
        <v>45957.550694444442</v>
      </c>
      <c r="M714" t="s">
        <v>565</v>
      </c>
      <c r="N714" t="s">
        <v>565</v>
      </c>
      <c r="O714" t="s">
        <v>566</v>
      </c>
      <c r="P714" t="s">
        <v>567</v>
      </c>
      <c r="S714" t="s">
        <v>567</v>
      </c>
      <c r="T714" t="s">
        <v>567</v>
      </c>
      <c r="Z714" t="s">
        <v>568</v>
      </c>
      <c r="AA714" t="s">
        <v>568</v>
      </c>
    </row>
    <row r="715" spans="1:27">
      <c r="A715" t="s">
        <v>2010</v>
      </c>
      <c r="B715" t="s">
        <v>2010</v>
      </c>
      <c r="C715" t="s">
        <v>2011</v>
      </c>
      <c r="D715" t="s">
        <v>562</v>
      </c>
      <c r="E715" t="s">
        <v>2012</v>
      </c>
      <c r="F715" t="s">
        <v>562</v>
      </c>
      <c r="G715" t="s">
        <v>562</v>
      </c>
      <c r="H715" t="s">
        <v>562</v>
      </c>
      <c r="I715">
        <v>3582</v>
      </c>
      <c r="J715" t="s">
        <v>564</v>
      </c>
      <c r="K715" s="698">
        <v>45957.418055555558</v>
      </c>
      <c r="L715" s="698">
        <v>45957.418055555558</v>
      </c>
      <c r="M715" t="s">
        <v>565</v>
      </c>
      <c r="N715" t="s">
        <v>565</v>
      </c>
      <c r="O715" t="s">
        <v>566</v>
      </c>
      <c r="P715" t="s">
        <v>567</v>
      </c>
      <c r="S715" t="s">
        <v>567</v>
      </c>
      <c r="T715" t="s">
        <v>567</v>
      </c>
      <c r="Z715" t="s">
        <v>568</v>
      </c>
      <c r="AA715" t="s">
        <v>568</v>
      </c>
    </row>
    <row r="716" spans="1:27">
      <c r="A716" t="s">
        <v>2013</v>
      </c>
      <c r="B716" t="s">
        <v>2014</v>
      </c>
      <c r="C716" t="s">
        <v>2015</v>
      </c>
      <c r="D716" t="s">
        <v>562</v>
      </c>
      <c r="E716" t="s">
        <v>2016</v>
      </c>
      <c r="F716" t="s">
        <v>562</v>
      </c>
      <c r="G716" t="s">
        <v>562</v>
      </c>
      <c r="H716" t="s">
        <v>562</v>
      </c>
      <c r="I716">
        <v>5176</v>
      </c>
      <c r="J716" t="s">
        <v>564</v>
      </c>
      <c r="K716" s="698">
        <v>45957.563888888886</v>
      </c>
      <c r="L716" s="698">
        <v>45957.563888888886</v>
      </c>
      <c r="M716" t="s">
        <v>565</v>
      </c>
      <c r="N716" t="s">
        <v>565</v>
      </c>
      <c r="O716" t="s">
        <v>566</v>
      </c>
      <c r="P716" t="s">
        <v>567</v>
      </c>
      <c r="S716" t="s">
        <v>567</v>
      </c>
      <c r="T716" t="s">
        <v>567</v>
      </c>
      <c r="Z716" t="s">
        <v>568</v>
      </c>
      <c r="AA716" t="s">
        <v>568</v>
      </c>
    </row>
    <row r="717" spans="1:27">
      <c r="A717" t="s">
        <v>2017</v>
      </c>
      <c r="B717" t="s">
        <v>2018</v>
      </c>
      <c r="C717" t="s">
        <v>562</v>
      </c>
      <c r="D717" t="s">
        <v>562</v>
      </c>
      <c r="E717" t="s">
        <v>2019</v>
      </c>
      <c r="F717" t="s">
        <v>562</v>
      </c>
      <c r="G717" t="s">
        <v>562</v>
      </c>
      <c r="H717" t="s">
        <v>562</v>
      </c>
      <c r="I717">
        <v>4844</v>
      </c>
      <c r="J717" t="s">
        <v>564</v>
      </c>
      <c r="K717" s="698">
        <v>45957.553472222222</v>
      </c>
      <c r="L717" s="698">
        <v>45957.553472222222</v>
      </c>
      <c r="M717" t="s">
        <v>565</v>
      </c>
      <c r="N717" t="s">
        <v>565</v>
      </c>
      <c r="O717" t="s">
        <v>566</v>
      </c>
      <c r="P717" t="s">
        <v>567</v>
      </c>
      <c r="S717" t="s">
        <v>567</v>
      </c>
      <c r="T717" t="s">
        <v>567</v>
      </c>
      <c r="Z717" t="s">
        <v>568</v>
      </c>
      <c r="AA717" t="s">
        <v>568</v>
      </c>
    </row>
    <row r="718" spans="1:27">
      <c r="A718" t="s">
        <v>2020</v>
      </c>
      <c r="B718" t="s">
        <v>562</v>
      </c>
      <c r="C718" t="s">
        <v>2021</v>
      </c>
      <c r="D718" t="s">
        <v>2022</v>
      </c>
      <c r="E718" t="s">
        <v>562</v>
      </c>
      <c r="F718" t="s">
        <v>562</v>
      </c>
      <c r="G718" t="s">
        <v>562</v>
      </c>
      <c r="H718" t="s">
        <v>562</v>
      </c>
      <c r="I718">
        <v>3523</v>
      </c>
      <c r="J718" t="s">
        <v>564</v>
      </c>
      <c r="K718" s="698">
        <v>45957.412499999999</v>
      </c>
      <c r="L718" s="698">
        <v>45957.412499999999</v>
      </c>
      <c r="M718" t="s">
        <v>565</v>
      </c>
      <c r="N718" t="s">
        <v>565</v>
      </c>
      <c r="O718" t="s">
        <v>566</v>
      </c>
      <c r="P718" t="s">
        <v>567</v>
      </c>
      <c r="S718" t="s">
        <v>567</v>
      </c>
      <c r="T718" t="s">
        <v>567</v>
      </c>
      <c r="Z718" t="s">
        <v>568</v>
      </c>
      <c r="AA718" t="s">
        <v>568</v>
      </c>
    </row>
    <row r="719" spans="1:27">
      <c r="A719" t="s">
        <v>2023</v>
      </c>
      <c r="B719" t="s">
        <v>2024</v>
      </c>
      <c r="C719" t="s">
        <v>2025</v>
      </c>
      <c r="D719" t="s">
        <v>562</v>
      </c>
      <c r="E719" t="s">
        <v>2026</v>
      </c>
      <c r="F719" t="s">
        <v>562</v>
      </c>
      <c r="G719" t="s">
        <v>562</v>
      </c>
      <c r="H719" t="s">
        <v>562</v>
      </c>
      <c r="I719">
        <v>4372</v>
      </c>
      <c r="J719" t="s">
        <v>564</v>
      </c>
      <c r="K719" s="698">
        <v>45957.510416666664</v>
      </c>
      <c r="L719" s="698">
        <v>45957.510416666664</v>
      </c>
      <c r="M719" t="s">
        <v>565</v>
      </c>
      <c r="N719" t="s">
        <v>565</v>
      </c>
      <c r="O719" t="s">
        <v>566</v>
      </c>
      <c r="P719" t="s">
        <v>567</v>
      </c>
      <c r="S719" t="s">
        <v>567</v>
      </c>
      <c r="T719" t="s">
        <v>567</v>
      </c>
      <c r="Z719" t="s">
        <v>568</v>
      </c>
      <c r="AA719" t="s">
        <v>568</v>
      </c>
    </row>
    <row r="720" spans="1:27">
      <c r="A720" t="s">
        <v>2023</v>
      </c>
      <c r="B720" t="s">
        <v>2027</v>
      </c>
      <c r="C720" t="s">
        <v>2028</v>
      </c>
      <c r="D720" t="s">
        <v>562</v>
      </c>
      <c r="E720" t="s">
        <v>2029</v>
      </c>
      <c r="F720" t="s">
        <v>562</v>
      </c>
      <c r="G720" t="s">
        <v>562</v>
      </c>
      <c r="H720" t="s">
        <v>562</v>
      </c>
      <c r="I720">
        <v>4602</v>
      </c>
      <c r="J720" t="s">
        <v>564</v>
      </c>
      <c r="K720" s="698">
        <v>45957.538888888892</v>
      </c>
      <c r="L720" s="698">
        <v>45957.538888888892</v>
      </c>
      <c r="M720" t="s">
        <v>565</v>
      </c>
      <c r="N720" t="s">
        <v>565</v>
      </c>
      <c r="O720" t="s">
        <v>566</v>
      </c>
      <c r="P720" t="s">
        <v>567</v>
      </c>
      <c r="S720" t="s">
        <v>567</v>
      </c>
      <c r="T720" t="s">
        <v>567</v>
      </c>
      <c r="Z720" t="s">
        <v>568</v>
      </c>
      <c r="AA720" t="s">
        <v>568</v>
      </c>
    </row>
    <row r="721" spans="1:27">
      <c r="A721" t="s">
        <v>2023</v>
      </c>
      <c r="B721" t="s">
        <v>2024</v>
      </c>
      <c r="C721" t="s">
        <v>2025</v>
      </c>
      <c r="D721" t="s">
        <v>562</v>
      </c>
      <c r="E721" t="s">
        <v>2030</v>
      </c>
      <c r="F721" t="s">
        <v>562</v>
      </c>
      <c r="G721" t="s">
        <v>562</v>
      </c>
      <c r="H721" t="s">
        <v>562</v>
      </c>
      <c r="I721">
        <v>4662</v>
      </c>
      <c r="J721" t="s">
        <v>564</v>
      </c>
      <c r="K721" s="698">
        <v>45957.54791666667</v>
      </c>
      <c r="L721" s="698">
        <v>45957.54791666667</v>
      </c>
      <c r="M721" t="s">
        <v>565</v>
      </c>
      <c r="N721" t="s">
        <v>565</v>
      </c>
      <c r="O721" t="s">
        <v>566</v>
      </c>
      <c r="P721" t="s">
        <v>567</v>
      </c>
      <c r="S721" t="s">
        <v>567</v>
      </c>
      <c r="T721" t="s">
        <v>567</v>
      </c>
      <c r="Z721" t="s">
        <v>568</v>
      </c>
      <c r="AA721" t="s">
        <v>568</v>
      </c>
    </row>
    <row r="722" spans="1:27">
      <c r="A722" t="s">
        <v>2023</v>
      </c>
      <c r="B722" t="s">
        <v>2031</v>
      </c>
      <c r="C722" t="s">
        <v>2032</v>
      </c>
      <c r="D722" t="s">
        <v>562</v>
      </c>
      <c r="E722" t="s">
        <v>2033</v>
      </c>
      <c r="F722" t="s">
        <v>562</v>
      </c>
      <c r="G722" t="s">
        <v>562</v>
      </c>
      <c r="H722" t="s">
        <v>562</v>
      </c>
      <c r="I722">
        <v>4676</v>
      </c>
      <c r="J722" t="s">
        <v>564</v>
      </c>
      <c r="K722" s="698">
        <v>45957.548611111109</v>
      </c>
      <c r="L722" s="698">
        <v>45957.548611111109</v>
      </c>
      <c r="M722" t="s">
        <v>565</v>
      </c>
      <c r="N722" t="s">
        <v>565</v>
      </c>
      <c r="O722" t="s">
        <v>566</v>
      </c>
      <c r="P722" t="s">
        <v>567</v>
      </c>
      <c r="S722" t="s">
        <v>567</v>
      </c>
      <c r="T722" t="s">
        <v>567</v>
      </c>
      <c r="Z722" t="s">
        <v>568</v>
      </c>
      <c r="AA722" t="s">
        <v>568</v>
      </c>
    </row>
    <row r="723" spans="1:27">
      <c r="A723" t="s">
        <v>2023</v>
      </c>
      <c r="B723" t="s">
        <v>2034</v>
      </c>
      <c r="C723" t="s">
        <v>2035</v>
      </c>
      <c r="D723" t="s">
        <v>562</v>
      </c>
      <c r="E723" t="s">
        <v>2036</v>
      </c>
      <c r="F723" t="s">
        <v>562</v>
      </c>
      <c r="G723" t="s">
        <v>562</v>
      </c>
      <c r="H723" t="s">
        <v>562</v>
      </c>
      <c r="I723">
        <v>4692</v>
      </c>
      <c r="J723" t="s">
        <v>564</v>
      </c>
      <c r="K723" s="698">
        <v>45957.548611111109</v>
      </c>
      <c r="L723" s="698">
        <v>45957.548611111109</v>
      </c>
      <c r="M723" t="s">
        <v>565</v>
      </c>
      <c r="N723" t="s">
        <v>565</v>
      </c>
      <c r="O723" t="s">
        <v>566</v>
      </c>
      <c r="P723" t="s">
        <v>567</v>
      </c>
      <c r="S723" t="s">
        <v>567</v>
      </c>
      <c r="T723" t="s">
        <v>567</v>
      </c>
      <c r="Z723" t="s">
        <v>568</v>
      </c>
      <c r="AA723" t="s">
        <v>568</v>
      </c>
    </row>
    <row r="724" spans="1:27">
      <c r="A724" t="s">
        <v>2023</v>
      </c>
      <c r="B724" t="s">
        <v>2037</v>
      </c>
      <c r="C724" t="s">
        <v>2038</v>
      </c>
      <c r="D724" t="s">
        <v>562</v>
      </c>
      <c r="E724" t="s">
        <v>2039</v>
      </c>
      <c r="F724" t="s">
        <v>562</v>
      </c>
      <c r="G724" t="s">
        <v>562</v>
      </c>
      <c r="H724" t="s">
        <v>562</v>
      </c>
      <c r="I724">
        <v>4696</v>
      </c>
      <c r="J724" t="s">
        <v>564</v>
      </c>
      <c r="K724" s="698">
        <v>45957.549305555556</v>
      </c>
      <c r="L724" s="698">
        <v>45957.549305555556</v>
      </c>
      <c r="M724" t="s">
        <v>565</v>
      </c>
      <c r="N724" t="s">
        <v>565</v>
      </c>
      <c r="O724" t="s">
        <v>566</v>
      </c>
      <c r="P724" t="s">
        <v>567</v>
      </c>
      <c r="S724" t="s">
        <v>567</v>
      </c>
      <c r="T724" t="s">
        <v>567</v>
      </c>
      <c r="Z724" t="s">
        <v>568</v>
      </c>
      <c r="AA724" t="s">
        <v>568</v>
      </c>
    </row>
    <row r="725" spans="1:27">
      <c r="A725" t="s">
        <v>2023</v>
      </c>
      <c r="B725" t="s">
        <v>2040</v>
      </c>
      <c r="C725" t="s">
        <v>2041</v>
      </c>
      <c r="D725" t="s">
        <v>562</v>
      </c>
      <c r="E725" t="s">
        <v>2042</v>
      </c>
      <c r="F725" t="s">
        <v>562</v>
      </c>
      <c r="G725" t="s">
        <v>562</v>
      </c>
      <c r="H725" t="s">
        <v>562</v>
      </c>
      <c r="I725">
        <v>4697</v>
      </c>
      <c r="J725" t="s">
        <v>564</v>
      </c>
      <c r="K725" s="698">
        <v>45957.549305555556</v>
      </c>
      <c r="L725" s="698">
        <v>45957.549305555556</v>
      </c>
      <c r="M725" t="s">
        <v>565</v>
      </c>
      <c r="N725" t="s">
        <v>565</v>
      </c>
      <c r="O725" t="s">
        <v>566</v>
      </c>
      <c r="P725" t="s">
        <v>567</v>
      </c>
      <c r="S725" t="s">
        <v>567</v>
      </c>
      <c r="T725" t="s">
        <v>567</v>
      </c>
      <c r="Z725" t="s">
        <v>568</v>
      </c>
      <c r="AA725" t="s">
        <v>568</v>
      </c>
    </row>
    <row r="726" spans="1:27">
      <c r="A726" t="s">
        <v>2023</v>
      </c>
      <c r="B726" t="s">
        <v>2034</v>
      </c>
      <c r="C726" t="s">
        <v>2035</v>
      </c>
      <c r="D726" t="s">
        <v>562</v>
      </c>
      <c r="E726" t="s">
        <v>2043</v>
      </c>
      <c r="F726" t="s">
        <v>562</v>
      </c>
      <c r="G726" t="s">
        <v>562</v>
      </c>
      <c r="H726" t="s">
        <v>562</v>
      </c>
      <c r="I726">
        <v>4698</v>
      </c>
      <c r="J726" t="s">
        <v>564</v>
      </c>
      <c r="K726" s="698">
        <v>45957.549305555556</v>
      </c>
      <c r="L726" s="698">
        <v>45957.549305555556</v>
      </c>
      <c r="M726" t="s">
        <v>565</v>
      </c>
      <c r="N726" t="s">
        <v>565</v>
      </c>
      <c r="O726" t="s">
        <v>566</v>
      </c>
      <c r="P726" t="s">
        <v>567</v>
      </c>
      <c r="S726" t="s">
        <v>567</v>
      </c>
      <c r="T726" t="s">
        <v>567</v>
      </c>
      <c r="Z726" t="s">
        <v>568</v>
      </c>
      <c r="AA726" t="s">
        <v>568</v>
      </c>
    </row>
    <row r="727" spans="1:27">
      <c r="A727" t="s">
        <v>2023</v>
      </c>
      <c r="B727" t="s">
        <v>2040</v>
      </c>
      <c r="C727" t="s">
        <v>2041</v>
      </c>
      <c r="D727" t="s">
        <v>562</v>
      </c>
      <c r="E727" t="s">
        <v>2044</v>
      </c>
      <c r="F727" t="s">
        <v>562</v>
      </c>
      <c r="G727" t="s">
        <v>562</v>
      </c>
      <c r="H727" t="s">
        <v>562</v>
      </c>
      <c r="I727">
        <v>4699</v>
      </c>
      <c r="J727" t="s">
        <v>564</v>
      </c>
      <c r="K727" s="698">
        <v>45957.549305555556</v>
      </c>
      <c r="L727" s="698">
        <v>45957.549305555556</v>
      </c>
      <c r="M727" t="s">
        <v>565</v>
      </c>
      <c r="N727" t="s">
        <v>565</v>
      </c>
      <c r="O727" t="s">
        <v>566</v>
      </c>
      <c r="P727" t="s">
        <v>567</v>
      </c>
      <c r="S727" t="s">
        <v>567</v>
      </c>
      <c r="T727" t="s">
        <v>567</v>
      </c>
      <c r="Z727" t="s">
        <v>568</v>
      </c>
      <c r="AA727" t="s">
        <v>568</v>
      </c>
    </row>
    <row r="728" spans="1:27">
      <c r="A728" t="s">
        <v>2023</v>
      </c>
      <c r="B728" t="s">
        <v>2040</v>
      </c>
      <c r="C728" t="s">
        <v>2041</v>
      </c>
      <c r="D728" t="s">
        <v>562</v>
      </c>
      <c r="E728" t="s">
        <v>2045</v>
      </c>
      <c r="F728" t="s">
        <v>562</v>
      </c>
      <c r="G728" t="s">
        <v>562</v>
      </c>
      <c r="H728" t="s">
        <v>562</v>
      </c>
      <c r="I728">
        <v>4700</v>
      </c>
      <c r="J728" t="s">
        <v>564</v>
      </c>
      <c r="K728" s="698">
        <v>45957.549305555556</v>
      </c>
      <c r="L728" s="698">
        <v>45957.549305555556</v>
      </c>
      <c r="M728" t="s">
        <v>565</v>
      </c>
      <c r="N728" t="s">
        <v>565</v>
      </c>
      <c r="O728" t="s">
        <v>566</v>
      </c>
      <c r="P728" t="s">
        <v>567</v>
      </c>
      <c r="S728" t="s">
        <v>567</v>
      </c>
      <c r="T728" t="s">
        <v>567</v>
      </c>
      <c r="Z728" t="s">
        <v>568</v>
      </c>
      <c r="AA728" t="s">
        <v>568</v>
      </c>
    </row>
    <row r="729" spans="1:27">
      <c r="A729" t="s">
        <v>2023</v>
      </c>
      <c r="B729" t="s">
        <v>2040</v>
      </c>
      <c r="C729" t="s">
        <v>2041</v>
      </c>
      <c r="D729" t="s">
        <v>562</v>
      </c>
      <c r="E729" t="s">
        <v>2046</v>
      </c>
      <c r="F729" t="s">
        <v>562</v>
      </c>
      <c r="G729" t="s">
        <v>562</v>
      </c>
      <c r="H729" t="s">
        <v>562</v>
      </c>
      <c r="I729">
        <v>4701</v>
      </c>
      <c r="J729" t="s">
        <v>564</v>
      </c>
      <c r="K729" s="698">
        <v>45957.549305555556</v>
      </c>
      <c r="L729" s="698">
        <v>45957.549305555556</v>
      </c>
      <c r="M729" t="s">
        <v>565</v>
      </c>
      <c r="N729" t="s">
        <v>565</v>
      </c>
      <c r="O729" t="s">
        <v>566</v>
      </c>
      <c r="P729" t="s">
        <v>567</v>
      </c>
      <c r="S729" t="s">
        <v>567</v>
      </c>
      <c r="T729" t="s">
        <v>567</v>
      </c>
      <c r="Z729" t="s">
        <v>568</v>
      </c>
      <c r="AA729" t="s">
        <v>568</v>
      </c>
    </row>
    <row r="730" spans="1:27">
      <c r="A730" t="s">
        <v>2023</v>
      </c>
      <c r="B730" t="s">
        <v>2027</v>
      </c>
      <c r="C730" t="s">
        <v>2028</v>
      </c>
      <c r="D730" t="s">
        <v>562</v>
      </c>
      <c r="E730" t="s">
        <v>2047</v>
      </c>
      <c r="F730" t="s">
        <v>562</v>
      </c>
      <c r="G730" t="s">
        <v>562</v>
      </c>
      <c r="H730" t="s">
        <v>562</v>
      </c>
      <c r="I730">
        <v>4702</v>
      </c>
      <c r="J730" t="s">
        <v>564</v>
      </c>
      <c r="K730" s="698">
        <v>45957.549305555556</v>
      </c>
      <c r="L730" s="698">
        <v>45957.549305555556</v>
      </c>
      <c r="M730" t="s">
        <v>565</v>
      </c>
      <c r="N730" t="s">
        <v>565</v>
      </c>
      <c r="O730" t="s">
        <v>566</v>
      </c>
      <c r="P730" t="s">
        <v>567</v>
      </c>
      <c r="S730" t="s">
        <v>567</v>
      </c>
      <c r="T730" t="s">
        <v>567</v>
      </c>
      <c r="Z730" t="s">
        <v>568</v>
      </c>
      <c r="AA730" t="s">
        <v>568</v>
      </c>
    </row>
    <row r="731" spans="1:27">
      <c r="A731" t="s">
        <v>2023</v>
      </c>
      <c r="B731" t="s">
        <v>2048</v>
      </c>
      <c r="C731" t="s">
        <v>2049</v>
      </c>
      <c r="D731" t="s">
        <v>562</v>
      </c>
      <c r="E731" t="s">
        <v>2050</v>
      </c>
      <c r="F731" t="s">
        <v>562</v>
      </c>
      <c r="G731" t="s">
        <v>562</v>
      </c>
      <c r="H731" t="s">
        <v>562</v>
      </c>
      <c r="I731">
        <v>4703</v>
      </c>
      <c r="J731" t="s">
        <v>564</v>
      </c>
      <c r="K731" s="698">
        <v>45957.549305555556</v>
      </c>
      <c r="L731" s="698">
        <v>45957.549305555556</v>
      </c>
      <c r="M731" t="s">
        <v>565</v>
      </c>
      <c r="N731" t="s">
        <v>565</v>
      </c>
      <c r="O731" t="s">
        <v>566</v>
      </c>
      <c r="P731" t="s">
        <v>567</v>
      </c>
      <c r="S731" t="s">
        <v>567</v>
      </c>
      <c r="T731" t="s">
        <v>567</v>
      </c>
      <c r="Z731" t="s">
        <v>568</v>
      </c>
      <c r="AA731" t="s">
        <v>568</v>
      </c>
    </row>
    <row r="732" spans="1:27">
      <c r="A732" t="s">
        <v>2023</v>
      </c>
      <c r="B732" t="s">
        <v>2051</v>
      </c>
      <c r="C732" t="s">
        <v>2052</v>
      </c>
      <c r="D732" t="s">
        <v>562</v>
      </c>
      <c r="E732" t="s">
        <v>2053</v>
      </c>
      <c r="F732" t="s">
        <v>562</v>
      </c>
      <c r="G732" t="s">
        <v>562</v>
      </c>
      <c r="H732" t="s">
        <v>562</v>
      </c>
      <c r="I732">
        <v>4705</v>
      </c>
      <c r="J732" t="s">
        <v>564</v>
      </c>
      <c r="K732" s="698">
        <v>45957.549305555556</v>
      </c>
      <c r="L732" s="698">
        <v>45957.549305555556</v>
      </c>
      <c r="M732" t="s">
        <v>565</v>
      </c>
      <c r="N732" t="s">
        <v>565</v>
      </c>
      <c r="O732" t="s">
        <v>566</v>
      </c>
      <c r="P732" t="s">
        <v>567</v>
      </c>
      <c r="S732" t="s">
        <v>567</v>
      </c>
      <c r="T732" t="s">
        <v>567</v>
      </c>
      <c r="Z732" t="s">
        <v>568</v>
      </c>
      <c r="AA732" t="s">
        <v>568</v>
      </c>
    </row>
    <row r="733" spans="1:27">
      <c r="A733" t="s">
        <v>2023</v>
      </c>
      <c r="B733" t="s">
        <v>2031</v>
      </c>
      <c r="C733" t="s">
        <v>2032</v>
      </c>
      <c r="D733" t="s">
        <v>562</v>
      </c>
      <c r="E733" t="s">
        <v>2054</v>
      </c>
      <c r="F733" t="s">
        <v>562</v>
      </c>
      <c r="G733" t="s">
        <v>562</v>
      </c>
      <c r="H733" t="s">
        <v>562</v>
      </c>
      <c r="I733">
        <v>4719</v>
      </c>
      <c r="J733" t="s">
        <v>564</v>
      </c>
      <c r="K733" s="698">
        <v>45957.55</v>
      </c>
      <c r="L733" s="698">
        <v>45957.55</v>
      </c>
      <c r="M733" t="s">
        <v>565</v>
      </c>
      <c r="N733" t="s">
        <v>565</v>
      </c>
      <c r="O733" t="s">
        <v>566</v>
      </c>
      <c r="P733" t="s">
        <v>567</v>
      </c>
      <c r="S733" t="s">
        <v>567</v>
      </c>
      <c r="T733" t="s">
        <v>567</v>
      </c>
      <c r="Z733" t="s">
        <v>568</v>
      </c>
      <c r="AA733" t="s">
        <v>568</v>
      </c>
    </row>
    <row r="734" spans="1:27">
      <c r="A734" t="s">
        <v>2023</v>
      </c>
      <c r="B734" t="s">
        <v>2034</v>
      </c>
      <c r="C734" t="s">
        <v>2035</v>
      </c>
      <c r="D734" t="s">
        <v>562</v>
      </c>
      <c r="E734" t="s">
        <v>2055</v>
      </c>
      <c r="F734" t="s">
        <v>562</v>
      </c>
      <c r="G734" t="s">
        <v>562</v>
      </c>
      <c r="H734" t="s">
        <v>562</v>
      </c>
      <c r="I734">
        <v>4743</v>
      </c>
      <c r="J734" t="s">
        <v>564</v>
      </c>
      <c r="K734" s="698">
        <v>45957.550694444442</v>
      </c>
      <c r="L734" s="698">
        <v>45957.550694444442</v>
      </c>
      <c r="M734" t="s">
        <v>565</v>
      </c>
      <c r="N734" t="s">
        <v>565</v>
      </c>
      <c r="O734" t="s">
        <v>566</v>
      </c>
      <c r="P734" t="s">
        <v>567</v>
      </c>
      <c r="S734" t="s">
        <v>567</v>
      </c>
      <c r="T734" t="s">
        <v>567</v>
      </c>
      <c r="Z734" t="s">
        <v>568</v>
      </c>
      <c r="AA734" t="s">
        <v>568</v>
      </c>
    </row>
    <row r="735" spans="1:27">
      <c r="A735" t="s">
        <v>2023</v>
      </c>
      <c r="B735" t="s">
        <v>2056</v>
      </c>
      <c r="C735" t="s">
        <v>2041</v>
      </c>
      <c r="D735" t="s">
        <v>562</v>
      </c>
      <c r="E735" t="s">
        <v>2057</v>
      </c>
      <c r="F735" t="s">
        <v>562</v>
      </c>
      <c r="G735" t="s">
        <v>562</v>
      </c>
      <c r="H735" t="s">
        <v>562</v>
      </c>
      <c r="I735">
        <v>4755</v>
      </c>
      <c r="J735" t="s">
        <v>564</v>
      </c>
      <c r="K735" s="698">
        <v>45957.550694444442</v>
      </c>
      <c r="L735" s="698">
        <v>45957.550694444442</v>
      </c>
      <c r="M735" t="s">
        <v>565</v>
      </c>
      <c r="N735" t="s">
        <v>565</v>
      </c>
      <c r="O735" t="s">
        <v>566</v>
      </c>
      <c r="P735" t="s">
        <v>567</v>
      </c>
      <c r="S735" t="s">
        <v>567</v>
      </c>
      <c r="T735" t="s">
        <v>567</v>
      </c>
      <c r="Z735" t="s">
        <v>568</v>
      </c>
      <c r="AA735" t="s">
        <v>568</v>
      </c>
    </row>
    <row r="736" spans="1:27">
      <c r="A736" t="s">
        <v>2023</v>
      </c>
      <c r="B736" t="s">
        <v>2034</v>
      </c>
      <c r="C736" t="s">
        <v>2035</v>
      </c>
      <c r="D736" t="s">
        <v>562</v>
      </c>
      <c r="E736" t="s">
        <v>2058</v>
      </c>
      <c r="F736" t="s">
        <v>562</v>
      </c>
      <c r="G736" t="s">
        <v>562</v>
      </c>
      <c r="H736" t="s">
        <v>562</v>
      </c>
      <c r="I736">
        <v>4770</v>
      </c>
      <c r="J736" t="s">
        <v>564</v>
      </c>
      <c r="K736" s="698">
        <v>45957.551388888889</v>
      </c>
      <c r="L736" s="698">
        <v>45957.551388888889</v>
      </c>
      <c r="M736" t="s">
        <v>565</v>
      </c>
      <c r="N736" t="s">
        <v>565</v>
      </c>
      <c r="O736" t="s">
        <v>566</v>
      </c>
      <c r="P736" t="s">
        <v>567</v>
      </c>
      <c r="S736" t="s">
        <v>567</v>
      </c>
      <c r="T736" t="s">
        <v>567</v>
      </c>
      <c r="Z736" t="s">
        <v>568</v>
      </c>
      <c r="AA736" t="s">
        <v>568</v>
      </c>
    </row>
    <row r="737" spans="1:27">
      <c r="A737" t="s">
        <v>2023</v>
      </c>
      <c r="B737" t="s">
        <v>2056</v>
      </c>
      <c r="C737" t="s">
        <v>2041</v>
      </c>
      <c r="D737" t="s">
        <v>562</v>
      </c>
      <c r="E737" t="s">
        <v>2059</v>
      </c>
      <c r="F737" t="s">
        <v>562</v>
      </c>
      <c r="G737" t="s">
        <v>562</v>
      </c>
      <c r="H737" t="s">
        <v>562</v>
      </c>
      <c r="I737">
        <v>4799</v>
      </c>
      <c r="J737" t="s">
        <v>564</v>
      </c>
      <c r="K737" s="698">
        <v>45957.552083333336</v>
      </c>
      <c r="L737" s="698">
        <v>45957.552083333336</v>
      </c>
      <c r="M737" t="s">
        <v>565</v>
      </c>
      <c r="N737" t="s">
        <v>565</v>
      </c>
      <c r="O737" t="s">
        <v>566</v>
      </c>
      <c r="P737" t="s">
        <v>567</v>
      </c>
      <c r="S737" t="s">
        <v>567</v>
      </c>
      <c r="T737" t="s">
        <v>567</v>
      </c>
      <c r="Z737" t="s">
        <v>568</v>
      </c>
      <c r="AA737" t="s">
        <v>568</v>
      </c>
    </row>
    <row r="738" spans="1:27">
      <c r="A738" t="s">
        <v>2023</v>
      </c>
      <c r="B738" t="s">
        <v>2056</v>
      </c>
      <c r="C738" t="s">
        <v>2041</v>
      </c>
      <c r="D738" t="s">
        <v>562</v>
      </c>
      <c r="E738" t="s">
        <v>2060</v>
      </c>
      <c r="F738" t="s">
        <v>562</v>
      </c>
      <c r="G738" t="s">
        <v>562</v>
      </c>
      <c r="H738" t="s">
        <v>562</v>
      </c>
      <c r="I738">
        <v>4811</v>
      </c>
      <c r="J738" t="s">
        <v>564</v>
      </c>
      <c r="K738" s="698">
        <v>45957.552777777775</v>
      </c>
      <c r="L738" s="698">
        <v>45957.552777777775</v>
      </c>
      <c r="M738" t="s">
        <v>565</v>
      </c>
      <c r="N738" t="s">
        <v>565</v>
      </c>
      <c r="O738" t="s">
        <v>566</v>
      </c>
      <c r="P738" t="s">
        <v>567</v>
      </c>
      <c r="S738" t="s">
        <v>567</v>
      </c>
      <c r="T738" t="s">
        <v>567</v>
      </c>
      <c r="Z738" t="s">
        <v>568</v>
      </c>
      <c r="AA738" t="s">
        <v>568</v>
      </c>
    </row>
    <row r="739" spans="1:27">
      <c r="A739" t="s">
        <v>2023</v>
      </c>
      <c r="B739" t="s">
        <v>2056</v>
      </c>
      <c r="C739" t="s">
        <v>2041</v>
      </c>
      <c r="D739" t="s">
        <v>562</v>
      </c>
      <c r="E739" t="s">
        <v>2061</v>
      </c>
      <c r="F739" t="s">
        <v>562</v>
      </c>
      <c r="G739" t="s">
        <v>562</v>
      </c>
      <c r="H739" t="s">
        <v>562</v>
      </c>
      <c r="I739">
        <v>4812</v>
      </c>
      <c r="J739" t="s">
        <v>564</v>
      </c>
      <c r="K739" s="698">
        <v>45957.552777777775</v>
      </c>
      <c r="L739" s="698">
        <v>45957.552777777775</v>
      </c>
      <c r="M739" t="s">
        <v>565</v>
      </c>
      <c r="N739" t="s">
        <v>565</v>
      </c>
      <c r="O739" t="s">
        <v>566</v>
      </c>
      <c r="P739" t="s">
        <v>567</v>
      </c>
      <c r="S739" t="s">
        <v>567</v>
      </c>
      <c r="T739" t="s">
        <v>567</v>
      </c>
      <c r="Z739" t="s">
        <v>568</v>
      </c>
      <c r="AA739" t="s">
        <v>568</v>
      </c>
    </row>
    <row r="740" spans="1:27">
      <c r="A740" t="s">
        <v>2023</v>
      </c>
      <c r="B740" t="s">
        <v>2034</v>
      </c>
      <c r="C740" t="s">
        <v>2035</v>
      </c>
      <c r="D740" t="s">
        <v>562</v>
      </c>
      <c r="E740" t="s">
        <v>2062</v>
      </c>
      <c r="F740" t="s">
        <v>562</v>
      </c>
      <c r="G740" t="s">
        <v>562</v>
      </c>
      <c r="H740" t="s">
        <v>562</v>
      </c>
      <c r="I740">
        <v>4826</v>
      </c>
      <c r="J740" t="s">
        <v>564</v>
      </c>
      <c r="K740" s="698">
        <v>45957.552777777775</v>
      </c>
      <c r="L740" s="698">
        <v>45957.552777777775</v>
      </c>
      <c r="M740" t="s">
        <v>565</v>
      </c>
      <c r="N740" t="s">
        <v>565</v>
      </c>
      <c r="O740" t="s">
        <v>566</v>
      </c>
      <c r="P740" t="s">
        <v>567</v>
      </c>
      <c r="S740" t="s">
        <v>567</v>
      </c>
      <c r="T740" t="s">
        <v>567</v>
      </c>
      <c r="Z740" t="s">
        <v>568</v>
      </c>
      <c r="AA740" t="s">
        <v>568</v>
      </c>
    </row>
    <row r="741" spans="1:27">
      <c r="A741" t="s">
        <v>2023</v>
      </c>
      <c r="B741" t="s">
        <v>2063</v>
      </c>
      <c r="C741" t="s">
        <v>2064</v>
      </c>
      <c r="D741" t="s">
        <v>562</v>
      </c>
      <c r="E741" t="s">
        <v>2065</v>
      </c>
      <c r="F741" t="s">
        <v>562</v>
      </c>
      <c r="G741" t="s">
        <v>562</v>
      </c>
      <c r="H741" t="s">
        <v>562</v>
      </c>
      <c r="I741">
        <v>4833</v>
      </c>
      <c r="J741" t="s">
        <v>564</v>
      </c>
      <c r="K741" s="698">
        <v>45957.553472222222</v>
      </c>
      <c r="L741" s="698">
        <v>45957.553472222222</v>
      </c>
      <c r="M741" t="s">
        <v>565</v>
      </c>
      <c r="N741" t="s">
        <v>565</v>
      </c>
      <c r="O741" t="s">
        <v>566</v>
      </c>
      <c r="P741" t="s">
        <v>567</v>
      </c>
      <c r="S741" t="s">
        <v>567</v>
      </c>
      <c r="T741" t="s">
        <v>567</v>
      </c>
      <c r="Z741" t="s">
        <v>568</v>
      </c>
      <c r="AA741" t="s">
        <v>568</v>
      </c>
    </row>
    <row r="742" spans="1:27">
      <c r="A742" t="s">
        <v>2023</v>
      </c>
      <c r="B742" t="s">
        <v>2063</v>
      </c>
      <c r="C742" t="s">
        <v>2064</v>
      </c>
      <c r="D742" t="s">
        <v>562</v>
      </c>
      <c r="E742" t="s">
        <v>2066</v>
      </c>
      <c r="F742" t="s">
        <v>562</v>
      </c>
      <c r="G742" t="s">
        <v>562</v>
      </c>
      <c r="H742" t="s">
        <v>562</v>
      </c>
      <c r="I742">
        <v>4834</v>
      </c>
      <c r="J742" t="s">
        <v>564</v>
      </c>
      <c r="K742" s="698">
        <v>45957.553472222222</v>
      </c>
      <c r="L742" s="698">
        <v>45957.553472222222</v>
      </c>
      <c r="M742" t="s">
        <v>565</v>
      </c>
      <c r="N742" t="s">
        <v>565</v>
      </c>
      <c r="O742" t="s">
        <v>566</v>
      </c>
      <c r="P742" t="s">
        <v>567</v>
      </c>
      <c r="S742" t="s">
        <v>567</v>
      </c>
      <c r="T742" t="s">
        <v>567</v>
      </c>
      <c r="Z742" t="s">
        <v>568</v>
      </c>
      <c r="AA742" t="s">
        <v>568</v>
      </c>
    </row>
    <row r="743" spans="1:27">
      <c r="A743" t="s">
        <v>2023</v>
      </c>
      <c r="B743" t="s">
        <v>2067</v>
      </c>
      <c r="C743" t="s">
        <v>2068</v>
      </c>
      <c r="D743" t="s">
        <v>562</v>
      </c>
      <c r="E743" t="s">
        <v>2069</v>
      </c>
      <c r="F743" t="s">
        <v>562</v>
      </c>
      <c r="G743" t="s">
        <v>562</v>
      </c>
      <c r="H743" t="s">
        <v>562</v>
      </c>
      <c r="I743">
        <v>4835</v>
      </c>
      <c r="J743" t="s">
        <v>564</v>
      </c>
      <c r="K743" s="698">
        <v>45957.553472222222</v>
      </c>
      <c r="L743" s="698">
        <v>45957.553472222222</v>
      </c>
      <c r="M743" t="s">
        <v>565</v>
      </c>
      <c r="N743" t="s">
        <v>565</v>
      </c>
      <c r="O743" t="s">
        <v>566</v>
      </c>
      <c r="P743" t="s">
        <v>567</v>
      </c>
      <c r="S743" t="s">
        <v>567</v>
      </c>
      <c r="T743" t="s">
        <v>567</v>
      </c>
      <c r="Z743" t="s">
        <v>568</v>
      </c>
      <c r="AA743" t="s">
        <v>568</v>
      </c>
    </row>
    <row r="744" spans="1:27">
      <c r="A744" t="s">
        <v>2023</v>
      </c>
      <c r="B744" t="s">
        <v>2067</v>
      </c>
      <c r="C744" t="s">
        <v>2068</v>
      </c>
      <c r="D744" t="s">
        <v>562</v>
      </c>
      <c r="E744" t="s">
        <v>2070</v>
      </c>
      <c r="F744" t="s">
        <v>562</v>
      </c>
      <c r="G744" t="s">
        <v>562</v>
      </c>
      <c r="H744" t="s">
        <v>562</v>
      </c>
      <c r="I744">
        <v>4836</v>
      </c>
      <c r="J744" t="s">
        <v>564</v>
      </c>
      <c r="K744" s="698">
        <v>45957.553472222222</v>
      </c>
      <c r="L744" s="698">
        <v>45957.553472222222</v>
      </c>
      <c r="M744" t="s">
        <v>565</v>
      </c>
      <c r="N744" t="s">
        <v>565</v>
      </c>
      <c r="O744" t="s">
        <v>566</v>
      </c>
      <c r="P744" t="s">
        <v>567</v>
      </c>
      <c r="S744" t="s">
        <v>567</v>
      </c>
      <c r="T744" t="s">
        <v>567</v>
      </c>
      <c r="Z744" t="s">
        <v>568</v>
      </c>
      <c r="AA744" t="s">
        <v>568</v>
      </c>
    </row>
    <row r="745" spans="1:27">
      <c r="A745" t="s">
        <v>2023</v>
      </c>
      <c r="B745" t="s">
        <v>2056</v>
      </c>
      <c r="C745" t="s">
        <v>2071</v>
      </c>
      <c r="D745" t="s">
        <v>562</v>
      </c>
      <c r="E745" t="s">
        <v>2072</v>
      </c>
      <c r="F745" t="s">
        <v>562</v>
      </c>
      <c r="G745" t="s">
        <v>562</v>
      </c>
      <c r="H745" t="s">
        <v>562</v>
      </c>
      <c r="I745">
        <v>4837</v>
      </c>
      <c r="J745" t="s">
        <v>564</v>
      </c>
      <c r="K745" s="698">
        <v>45957.553472222222</v>
      </c>
      <c r="L745" s="698">
        <v>45957.553472222222</v>
      </c>
      <c r="M745" t="s">
        <v>565</v>
      </c>
      <c r="N745" t="s">
        <v>565</v>
      </c>
      <c r="O745" t="s">
        <v>566</v>
      </c>
      <c r="P745" t="s">
        <v>567</v>
      </c>
      <c r="S745" t="s">
        <v>567</v>
      </c>
      <c r="T745" t="s">
        <v>567</v>
      </c>
      <c r="Z745" t="s">
        <v>568</v>
      </c>
      <c r="AA745" t="s">
        <v>568</v>
      </c>
    </row>
    <row r="746" spans="1:27">
      <c r="A746" t="s">
        <v>2023</v>
      </c>
      <c r="B746" t="s">
        <v>2073</v>
      </c>
      <c r="C746" t="s">
        <v>562</v>
      </c>
      <c r="D746" t="s">
        <v>562</v>
      </c>
      <c r="E746" t="s">
        <v>2074</v>
      </c>
      <c r="F746" t="s">
        <v>562</v>
      </c>
      <c r="G746" t="s">
        <v>562</v>
      </c>
      <c r="H746" t="s">
        <v>562</v>
      </c>
      <c r="I746">
        <v>4845</v>
      </c>
      <c r="J746" t="s">
        <v>564</v>
      </c>
      <c r="K746" s="698">
        <v>45957.553472222222</v>
      </c>
      <c r="L746" s="698">
        <v>45957.553472222222</v>
      </c>
      <c r="M746" t="s">
        <v>565</v>
      </c>
      <c r="N746" t="s">
        <v>565</v>
      </c>
      <c r="O746" t="s">
        <v>566</v>
      </c>
      <c r="P746" t="s">
        <v>567</v>
      </c>
      <c r="S746" t="s">
        <v>567</v>
      </c>
      <c r="T746" t="s">
        <v>567</v>
      </c>
      <c r="Z746" t="s">
        <v>568</v>
      </c>
      <c r="AA746" t="s">
        <v>568</v>
      </c>
    </row>
    <row r="747" spans="1:27">
      <c r="A747" t="s">
        <v>2023</v>
      </c>
      <c r="B747" t="s">
        <v>2056</v>
      </c>
      <c r="C747" t="s">
        <v>2041</v>
      </c>
      <c r="D747" t="s">
        <v>562</v>
      </c>
      <c r="E747" t="s">
        <v>2075</v>
      </c>
      <c r="F747" t="s">
        <v>562</v>
      </c>
      <c r="G747" t="s">
        <v>562</v>
      </c>
      <c r="H747" t="s">
        <v>562</v>
      </c>
      <c r="I747">
        <v>4859</v>
      </c>
      <c r="J747" t="s">
        <v>564</v>
      </c>
      <c r="K747" s="698">
        <v>45957.554166666669</v>
      </c>
      <c r="L747" s="698">
        <v>45957.554166666669</v>
      </c>
      <c r="M747" t="s">
        <v>565</v>
      </c>
      <c r="N747" t="s">
        <v>565</v>
      </c>
      <c r="O747" t="s">
        <v>566</v>
      </c>
      <c r="P747" t="s">
        <v>567</v>
      </c>
      <c r="S747" t="s">
        <v>567</v>
      </c>
      <c r="T747" t="s">
        <v>567</v>
      </c>
      <c r="Z747" t="s">
        <v>568</v>
      </c>
      <c r="AA747" t="s">
        <v>568</v>
      </c>
    </row>
    <row r="748" spans="1:27">
      <c r="A748" t="s">
        <v>2023</v>
      </c>
      <c r="B748" t="s">
        <v>2076</v>
      </c>
      <c r="C748" t="s">
        <v>2032</v>
      </c>
      <c r="D748" t="s">
        <v>562</v>
      </c>
      <c r="E748" t="s">
        <v>2077</v>
      </c>
      <c r="F748" t="s">
        <v>562</v>
      </c>
      <c r="G748" t="s">
        <v>562</v>
      </c>
      <c r="H748" t="s">
        <v>562</v>
      </c>
      <c r="I748">
        <v>4872</v>
      </c>
      <c r="J748" t="s">
        <v>564</v>
      </c>
      <c r="K748" s="698">
        <v>45957.554861111108</v>
      </c>
      <c r="L748" s="698">
        <v>45957.554861111108</v>
      </c>
      <c r="M748" t="s">
        <v>565</v>
      </c>
      <c r="N748" t="s">
        <v>565</v>
      </c>
      <c r="O748" t="s">
        <v>566</v>
      </c>
      <c r="P748" t="s">
        <v>567</v>
      </c>
      <c r="S748" t="s">
        <v>567</v>
      </c>
      <c r="T748" t="s">
        <v>567</v>
      </c>
      <c r="Z748" t="s">
        <v>568</v>
      </c>
      <c r="AA748" t="s">
        <v>568</v>
      </c>
    </row>
    <row r="749" spans="1:27">
      <c r="A749" t="s">
        <v>2023</v>
      </c>
      <c r="B749" t="s">
        <v>2040</v>
      </c>
      <c r="C749" t="s">
        <v>2041</v>
      </c>
      <c r="D749" t="s">
        <v>562</v>
      </c>
      <c r="E749" t="s">
        <v>2078</v>
      </c>
      <c r="F749" t="s">
        <v>562</v>
      </c>
      <c r="G749" t="s">
        <v>562</v>
      </c>
      <c r="H749" t="s">
        <v>562</v>
      </c>
      <c r="I749">
        <v>4983</v>
      </c>
      <c r="J749" t="s">
        <v>564</v>
      </c>
      <c r="K749" s="698">
        <v>45957.557638888888</v>
      </c>
      <c r="L749" s="698">
        <v>45957.557638888888</v>
      </c>
      <c r="M749" t="s">
        <v>565</v>
      </c>
      <c r="N749" t="s">
        <v>565</v>
      </c>
      <c r="O749" t="s">
        <v>566</v>
      </c>
      <c r="P749" t="s">
        <v>567</v>
      </c>
      <c r="S749" t="s">
        <v>567</v>
      </c>
      <c r="T749" t="s">
        <v>567</v>
      </c>
      <c r="Z749" t="s">
        <v>568</v>
      </c>
      <c r="AA749" t="s">
        <v>568</v>
      </c>
    </row>
    <row r="750" spans="1:27">
      <c r="A750" t="s">
        <v>2023</v>
      </c>
      <c r="B750" t="s">
        <v>2040</v>
      </c>
      <c r="C750" t="s">
        <v>2041</v>
      </c>
      <c r="D750" t="s">
        <v>562</v>
      </c>
      <c r="E750" t="s">
        <v>2079</v>
      </c>
      <c r="F750" t="s">
        <v>562</v>
      </c>
      <c r="G750" t="s">
        <v>562</v>
      </c>
      <c r="H750" t="s">
        <v>562</v>
      </c>
      <c r="I750">
        <v>4984</v>
      </c>
      <c r="J750" t="s">
        <v>564</v>
      </c>
      <c r="K750" s="698">
        <v>45957.557638888888</v>
      </c>
      <c r="L750" s="698">
        <v>45957.557638888888</v>
      </c>
      <c r="M750" t="s">
        <v>565</v>
      </c>
      <c r="N750" t="s">
        <v>565</v>
      </c>
      <c r="O750" t="s">
        <v>566</v>
      </c>
      <c r="P750" t="s">
        <v>567</v>
      </c>
      <c r="S750" t="s">
        <v>567</v>
      </c>
      <c r="T750" t="s">
        <v>567</v>
      </c>
      <c r="Z750" t="s">
        <v>568</v>
      </c>
      <c r="AA750" t="s">
        <v>568</v>
      </c>
    </row>
    <row r="751" spans="1:27">
      <c r="A751" t="s">
        <v>2023</v>
      </c>
      <c r="B751" t="s">
        <v>2080</v>
      </c>
      <c r="C751" t="s">
        <v>2081</v>
      </c>
      <c r="D751" t="s">
        <v>562</v>
      </c>
      <c r="E751" t="s">
        <v>2082</v>
      </c>
      <c r="F751" t="s">
        <v>562</v>
      </c>
      <c r="G751" t="s">
        <v>562</v>
      </c>
      <c r="H751" t="s">
        <v>562</v>
      </c>
      <c r="I751">
        <v>5142</v>
      </c>
      <c r="J751" t="s">
        <v>564</v>
      </c>
      <c r="K751" s="698">
        <v>45957.5625</v>
      </c>
      <c r="L751" s="698">
        <v>45957.5625</v>
      </c>
      <c r="M751" t="s">
        <v>565</v>
      </c>
      <c r="N751" t="s">
        <v>565</v>
      </c>
      <c r="O751" t="s">
        <v>566</v>
      </c>
      <c r="P751" t="s">
        <v>567</v>
      </c>
      <c r="S751" t="s">
        <v>567</v>
      </c>
      <c r="T751" t="s">
        <v>567</v>
      </c>
      <c r="Z751" t="s">
        <v>568</v>
      </c>
      <c r="AA751" t="s">
        <v>568</v>
      </c>
    </row>
    <row r="752" spans="1:27">
      <c r="A752" t="s">
        <v>2023</v>
      </c>
      <c r="B752" t="s">
        <v>2056</v>
      </c>
      <c r="C752" t="s">
        <v>562</v>
      </c>
      <c r="D752" t="s">
        <v>562</v>
      </c>
      <c r="E752" t="s">
        <v>2083</v>
      </c>
      <c r="F752" t="s">
        <v>562</v>
      </c>
      <c r="G752" t="s">
        <v>562</v>
      </c>
      <c r="H752" t="s">
        <v>562</v>
      </c>
      <c r="I752">
        <v>5144</v>
      </c>
      <c r="J752" t="s">
        <v>564</v>
      </c>
      <c r="K752" s="698">
        <v>45957.5625</v>
      </c>
      <c r="L752" s="698">
        <v>45957.5625</v>
      </c>
      <c r="M752" t="s">
        <v>565</v>
      </c>
      <c r="N752" t="s">
        <v>565</v>
      </c>
      <c r="O752" t="s">
        <v>566</v>
      </c>
      <c r="P752" t="s">
        <v>567</v>
      </c>
      <c r="S752" t="s">
        <v>567</v>
      </c>
      <c r="T752" t="s">
        <v>567</v>
      </c>
      <c r="Z752" t="s">
        <v>568</v>
      </c>
      <c r="AA752" t="s">
        <v>568</v>
      </c>
    </row>
    <row r="753" spans="1:27">
      <c r="A753" t="s">
        <v>2023</v>
      </c>
      <c r="B753" t="s">
        <v>2056</v>
      </c>
      <c r="C753" t="s">
        <v>2041</v>
      </c>
      <c r="D753" t="s">
        <v>562</v>
      </c>
      <c r="E753" t="s">
        <v>2084</v>
      </c>
      <c r="F753" t="s">
        <v>562</v>
      </c>
      <c r="G753" t="s">
        <v>562</v>
      </c>
      <c r="H753" t="s">
        <v>562</v>
      </c>
      <c r="I753">
        <v>5153</v>
      </c>
      <c r="J753" t="s">
        <v>564</v>
      </c>
      <c r="K753" s="698">
        <v>45957.563194444447</v>
      </c>
      <c r="L753" s="698">
        <v>45957.563194444447</v>
      </c>
      <c r="M753" t="s">
        <v>565</v>
      </c>
      <c r="N753" t="s">
        <v>565</v>
      </c>
      <c r="O753" t="s">
        <v>566</v>
      </c>
      <c r="P753" t="s">
        <v>567</v>
      </c>
      <c r="S753" t="s">
        <v>567</v>
      </c>
      <c r="T753" t="s">
        <v>567</v>
      </c>
      <c r="Z753" t="s">
        <v>568</v>
      </c>
      <c r="AA753" t="s">
        <v>568</v>
      </c>
    </row>
    <row r="754" spans="1:27">
      <c r="A754" t="s">
        <v>2023</v>
      </c>
      <c r="B754" t="s">
        <v>2056</v>
      </c>
      <c r="C754" t="s">
        <v>2085</v>
      </c>
      <c r="D754" t="s">
        <v>562</v>
      </c>
      <c r="E754" t="s">
        <v>2086</v>
      </c>
      <c r="F754" t="s">
        <v>562</v>
      </c>
      <c r="G754" t="s">
        <v>562</v>
      </c>
      <c r="H754" t="s">
        <v>562</v>
      </c>
      <c r="I754">
        <v>5165</v>
      </c>
      <c r="J754" t="s">
        <v>564</v>
      </c>
      <c r="K754" s="698">
        <v>45957.563194444447</v>
      </c>
      <c r="L754" s="698">
        <v>45957.563194444447</v>
      </c>
      <c r="M754" t="s">
        <v>565</v>
      </c>
      <c r="N754" t="s">
        <v>565</v>
      </c>
      <c r="O754" t="s">
        <v>566</v>
      </c>
      <c r="P754" t="s">
        <v>567</v>
      </c>
      <c r="S754" t="s">
        <v>567</v>
      </c>
      <c r="T754" t="s">
        <v>567</v>
      </c>
      <c r="Z754" t="s">
        <v>568</v>
      </c>
      <c r="AA754" t="s">
        <v>568</v>
      </c>
    </row>
    <row r="755" spans="1:27">
      <c r="A755" t="s">
        <v>2023</v>
      </c>
      <c r="B755" t="s">
        <v>2056</v>
      </c>
      <c r="C755" t="s">
        <v>2041</v>
      </c>
      <c r="D755" t="s">
        <v>562</v>
      </c>
      <c r="E755" t="s">
        <v>2087</v>
      </c>
      <c r="F755" t="s">
        <v>562</v>
      </c>
      <c r="G755" t="s">
        <v>562</v>
      </c>
      <c r="H755" t="s">
        <v>562</v>
      </c>
      <c r="I755">
        <v>5170</v>
      </c>
      <c r="J755" t="s">
        <v>564</v>
      </c>
      <c r="K755" s="698">
        <v>45957.563194444447</v>
      </c>
      <c r="L755" s="698">
        <v>45957.563194444447</v>
      </c>
      <c r="M755" t="s">
        <v>565</v>
      </c>
      <c r="N755" t="s">
        <v>565</v>
      </c>
      <c r="O755" t="s">
        <v>566</v>
      </c>
      <c r="P755" t="s">
        <v>567</v>
      </c>
      <c r="S755" t="s">
        <v>567</v>
      </c>
      <c r="T755" t="s">
        <v>567</v>
      </c>
      <c r="Z755" t="s">
        <v>568</v>
      </c>
      <c r="AA755" t="s">
        <v>568</v>
      </c>
    </row>
    <row r="756" spans="1:27">
      <c r="A756" t="s">
        <v>2023</v>
      </c>
      <c r="B756" t="s">
        <v>2027</v>
      </c>
      <c r="C756" t="s">
        <v>2088</v>
      </c>
      <c r="D756" t="s">
        <v>562</v>
      </c>
      <c r="E756" t="s">
        <v>2089</v>
      </c>
      <c r="F756" t="s">
        <v>562</v>
      </c>
      <c r="G756" t="s">
        <v>562</v>
      </c>
      <c r="H756" t="s">
        <v>562</v>
      </c>
      <c r="I756">
        <v>5179</v>
      </c>
      <c r="J756" t="s">
        <v>564</v>
      </c>
      <c r="K756" s="698">
        <v>45957.563888888886</v>
      </c>
      <c r="L756" s="698">
        <v>45957.563888888886</v>
      </c>
      <c r="M756" t="s">
        <v>565</v>
      </c>
      <c r="N756" t="s">
        <v>565</v>
      </c>
      <c r="O756" t="s">
        <v>566</v>
      </c>
      <c r="P756" t="s">
        <v>567</v>
      </c>
      <c r="S756" t="s">
        <v>567</v>
      </c>
      <c r="T756" t="s">
        <v>567</v>
      </c>
      <c r="Z756" t="s">
        <v>568</v>
      </c>
      <c r="AA756" t="s">
        <v>568</v>
      </c>
    </row>
    <row r="757" spans="1:27">
      <c r="A757" t="s">
        <v>2023</v>
      </c>
      <c r="B757" t="s">
        <v>2090</v>
      </c>
      <c r="C757" t="s">
        <v>2091</v>
      </c>
      <c r="D757" t="s">
        <v>562</v>
      </c>
      <c r="E757" t="s">
        <v>2092</v>
      </c>
      <c r="F757" t="s">
        <v>562</v>
      </c>
      <c r="G757" t="s">
        <v>562</v>
      </c>
      <c r="H757" t="s">
        <v>562</v>
      </c>
      <c r="I757">
        <v>5180</v>
      </c>
      <c r="J757" t="s">
        <v>564</v>
      </c>
      <c r="K757" s="698">
        <v>45957.563888888886</v>
      </c>
      <c r="L757" s="698">
        <v>45957.563888888886</v>
      </c>
      <c r="M757" t="s">
        <v>565</v>
      </c>
      <c r="N757" t="s">
        <v>565</v>
      </c>
      <c r="O757" t="s">
        <v>566</v>
      </c>
      <c r="P757" t="s">
        <v>567</v>
      </c>
      <c r="S757" t="s">
        <v>567</v>
      </c>
      <c r="T757" t="s">
        <v>567</v>
      </c>
      <c r="Z757" t="s">
        <v>568</v>
      </c>
      <c r="AA757" t="s">
        <v>568</v>
      </c>
    </row>
    <row r="758" spans="1:27">
      <c r="A758" t="s">
        <v>2023</v>
      </c>
      <c r="B758" t="s">
        <v>2034</v>
      </c>
      <c r="C758" t="s">
        <v>2035</v>
      </c>
      <c r="D758" t="s">
        <v>562</v>
      </c>
      <c r="E758" t="s">
        <v>2093</v>
      </c>
      <c r="F758" t="s">
        <v>562</v>
      </c>
      <c r="G758" t="s">
        <v>562</v>
      </c>
      <c r="H758" t="s">
        <v>562</v>
      </c>
      <c r="I758">
        <v>5181</v>
      </c>
      <c r="J758" t="s">
        <v>564</v>
      </c>
      <c r="K758" s="698">
        <v>45957.563888888886</v>
      </c>
      <c r="L758" s="698">
        <v>45957.563888888886</v>
      </c>
      <c r="M758" t="s">
        <v>565</v>
      </c>
      <c r="N758" t="s">
        <v>565</v>
      </c>
      <c r="O758" t="s">
        <v>566</v>
      </c>
      <c r="P758" t="s">
        <v>567</v>
      </c>
      <c r="S758" t="s">
        <v>567</v>
      </c>
      <c r="T758" t="s">
        <v>567</v>
      </c>
      <c r="Z758" t="s">
        <v>568</v>
      </c>
      <c r="AA758" t="s">
        <v>568</v>
      </c>
    </row>
    <row r="759" spans="1:27">
      <c r="A759" t="s">
        <v>2023</v>
      </c>
      <c r="B759" t="s">
        <v>2094</v>
      </c>
      <c r="C759" t="s">
        <v>2095</v>
      </c>
      <c r="D759" t="s">
        <v>562</v>
      </c>
      <c r="E759" t="s">
        <v>2096</v>
      </c>
      <c r="F759" t="s">
        <v>562</v>
      </c>
      <c r="G759" t="s">
        <v>562</v>
      </c>
      <c r="H759" t="s">
        <v>562</v>
      </c>
      <c r="I759">
        <v>5187</v>
      </c>
      <c r="J759" t="s">
        <v>564</v>
      </c>
      <c r="K759" s="698">
        <v>45957.563888888886</v>
      </c>
      <c r="L759" s="698">
        <v>45957.563888888886</v>
      </c>
      <c r="M759" t="s">
        <v>565</v>
      </c>
      <c r="N759" t="s">
        <v>565</v>
      </c>
      <c r="O759" t="s">
        <v>566</v>
      </c>
      <c r="P759" t="s">
        <v>567</v>
      </c>
      <c r="S759" t="s">
        <v>567</v>
      </c>
      <c r="T759" t="s">
        <v>567</v>
      </c>
      <c r="Z759" t="s">
        <v>568</v>
      </c>
      <c r="AA759" t="s">
        <v>568</v>
      </c>
    </row>
    <row r="760" spans="1:27">
      <c r="A760" t="s">
        <v>2023</v>
      </c>
      <c r="B760" t="s">
        <v>2056</v>
      </c>
      <c r="C760" t="s">
        <v>2041</v>
      </c>
      <c r="D760" t="s">
        <v>562</v>
      </c>
      <c r="E760" t="s">
        <v>2097</v>
      </c>
      <c r="F760" t="s">
        <v>562</v>
      </c>
      <c r="G760" t="s">
        <v>562</v>
      </c>
      <c r="H760" t="s">
        <v>562</v>
      </c>
      <c r="I760">
        <v>5188</v>
      </c>
      <c r="J760" t="s">
        <v>564</v>
      </c>
      <c r="K760" s="698">
        <v>45957.563888888886</v>
      </c>
      <c r="L760" s="698">
        <v>45957.563888888886</v>
      </c>
      <c r="M760" t="s">
        <v>565</v>
      </c>
      <c r="N760" t="s">
        <v>565</v>
      </c>
      <c r="O760" t="s">
        <v>566</v>
      </c>
      <c r="P760" t="s">
        <v>567</v>
      </c>
      <c r="S760" t="s">
        <v>567</v>
      </c>
      <c r="T760" t="s">
        <v>567</v>
      </c>
      <c r="Z760" t="s">
        <v>568</v>
      </c>
      <c r="AA760" t="s">
        <v>568</v>
      </c>
    </row>
    <row r="761" spans="1:27">
      <c r="A761" t="s">
        <v>2020</v>
      </c>
      <c r="B761" t="s">
        <v>2098</v>
      </c>
      <c r="C761" t="s">
        <v>562</v>
      </c>
      <c r="D761" t="s">
        <v>2099</v>
      </c>
      <c r="E761" t="s">
        <v>2100</v>
      </c>
      <c r="F761" t="s">
        <v>562</v>
      </c>
      <c r="G761" t="s">
        <v>562</v>
      </c>
      <c r="H761" t="s">
        <v>562</v>
      </c>
      <c r="I761">
        <v>5205</v>
      </c>
      <c r="J761" t="s">
        <v>564</v>
      </c>
      <c r="K761" s="698">
        <v>45957.564583333333</v>
      </c>
      <c r="L761" s="698">
        <v>45957.564583333333</v>
      </c>
      <c r="M761" t="s">
        <v>565</v>
      </c>
      <c r="N761" t="s">
        <v>565</v>
      </c>
      <c r="O761" t="s">
        <v>566</v>
      </c>
      <c r="P761" t="s">
        <v>567</v>
      </c>
      <c r="S761" t="s">
        <v>567</v>
      </c>
      <c r="T761" t="s">
        <v>567</v>
      </c>
      <c r="Z761" t="s">
        <v>568</v>
      </c>
      <c r="AA761" t="s">
        <v>568</v>
      </c>
    </row>
    <row r="762" spans="1:27">
      <c r="A762" t="s">
        <v>2023</v>
      </c>
      <c r="B762" t="s">
        <v>2101</v>
      </c>
      <c r="C762" t="s">
        <v>562</v>
      </c>
      <c r="D762" t="s">
        <v>2102</v>
      </c>
      <c r="E762" t="s">
        <v>2103</v>
      </c>
      <c r="F762" t="s">
        <v>562</v>
      </c>
      <c r="G762" t="s">
        <v>562</v>
      </c>
      <c r="H762" t="s">
        <v>562</v>
      </c>
      <c r="I762">
        <v>5221</v>
      </c>
      <c r="J762" t="s">
        <v>564</v>
      </c>
      <c r="K762" s="698">
        <v>45957.564583333333</v>
      </c>
      <c r="L762" s="698">
        <v>45957.564583333333</v>
      </c>
      <c r="M762" t="s">
        <v>565</v>
      </c>
      <c r="N762" t="s">
        <v>565</v>
      </c>
      <c r="O762" t="s">
        <v>566</v>
      </c>
      <c r="P762" t="s">
        <v>567</v>
      </c>
      <c r="S762" t="s">
        <v>567</v>
      </c>
      <c r="T762" t="s">
        <v>567</v>
      </c>
      <c r="Z762" t="s">
        <v>568</v>
      </c>
      <c r="AA762" t="s">
        <v>568</v>
      </c>
    </row>
    <row r="763" spans="1:27">
      <c r="A763" t="s">
        <v>2104</v>
      </c>
      <c r="B763" t="s">
        <v>2105</v>
      </c>
      <c r="C763" t="s">
        <v>2106</v>
      </c>
      <c r="D763" t="s">
        <v>2107</v>
      </c>
      <c r="E763" t="s">
        <v>2108</v>
      </c>
      <c r="F763" t="s">
        <v>562</v>
      </c>
      <c r="G763" t="s">
        <v>562</v>
      </c>
      <c r="H763" t="s">
        <v>562</v>
      </c>
      <c r="I763">
        <v>5092</v>
      </c>
      <c r="J763" t="s">
        <v>564</v>
      </c>
      <c r="K763" s="698">
        <v>45957.561111111114</v>
      </c>
      <c r="L763" s="698">
        <v>45957.561111111114</v>
      </c>
      <c r="M763" t="s">
        <v>565</v>
      </c>
      <c r="N763" t="s">
        <v>565</v>
      </c>
      <c r="O763" t="s">
        <v>566</v>
      </c>
      <c r="P763" t="s">
        <v>567</v>
      </c>
      <c r="S763" t="s">
        <v>567</v>
      </c>
      <c r="T763" t="s">
        <v>567</v>
      </c>
      <c r="Z763" t="s">
        <v>568</v>
      </c>
      <c r="AA763" t="s">
        <v>568</v>
      </c>
    </row>
    <row r="764" spans="1:27">
      <c r="A764" t="s">
        <v>2109</v>
      </c>
      <c r="B764" t="s">
        <v>2110</v>
      </c>
      <c r="C764" t="s">
        <v>2111</v>
      </c>
      <c r="D764" t="s">
        <v>562</v>
      </c>
      <c r="E764" t="s">
        <v>2112</v>
      </c>
      <c r="F764" t="s">
        <v>562</v>
      </c>
      <c r="G764" t="s">
        <v>562</v>
      </c>
      <c r="H764" t="s">
        <v>562</v>
      </c>
      <c r="I764">
        <v>4796</v>
      </c>
      <c r="J764" t="s">
        <v>564</v>
      </c>
      <c r="K764" s="698">
        <v>45957.552083333336</v>
      </c>
      <c r="L764" s="698">
        <v>45957.552083333336</v>
      </c>
      <c r="M764" t="s">
        <v>565</v>
      </c>
      <c r="N764" t="s">
        <v>565</v>
      </c>
      <c r="O764" t="s">
        <v>566</v>
      </c>
      <c r="P764" t="s">
        <v>567</v>
      </c>
      <c r="S764" t="s">
        <v>567</v>
      </c>
      <c r="T764" t="s">
        <v>567</v>
      </c>
      <c r="Z764" t="s">
        <v>568</v>
      </c>
      <c r="AA764" t="s">
        <v>568</v>
      </c>
    </row>
    <row r="765" spans="1:27">
      <c r="A765" t="s">
        <v>2113</v>
      </c>
      <c r="B765" t="s">
        <v>2114</v>
      </c>
      <c r="C765" t="s">
        <v>2115</v>
      </c>
      <c r="D765" t="s">
        <v>2116</v>
      </c>
      <c r="E765" t="s">
        <v>2117</v>
      </c>
      <c r="F765" t="s">
        <v>562</v>
      </c>
      <c r="G765" t="s">
        <v>562</v>
      </c>
      <c r="H765" t="s">
        <v>562</v>
      </c>
      <c r="I765">
        <v>4916</v>
      </c>
      <c r="J765" t="s">
        <v>564</v>
      </c>
      <c r="K765" s="698">
        <v>45957.555555555555</v>
      </c>
      <c r="L765" s="698">
        <v>45957.555555555555</v>
      </c>
      <c r="M765" t="s">
        <v>565</v>
      </c>
      <c r="N765" t="s">
        <v>565</v>
      </c>
      <c r="O765" t="s">
        <v>566</v>
      </c>
      <c r="P765" t="s">
        <v>567</v>
      </c>
      <c r="S765" t="s">
        <v>567</v>
      </c>
      <c r="T765" t="s">
        <v>567</v>
      </c>
      <c r="Z765" t="s">
        <v>568</v>
      </c>
      <c r="AA765" t="s">
        <v>568</v>
      </c>
    </row>
    <row r="766" spans="1:27">
      <c r="A766" t="s">
        <v>2113</v>
      </c>
      <c r="B766" t="s">
        <v>2114</v>
      </c>
      <c r="C766" t="s">
        <v>2115</v>
      </c>
      <c r="D766" t="s">
        <v>2116</v>
      </c>
      <c r="E766" t="s">
        <v>2118</v>
      </c>
      <c r="F766" t="s">
        <v>562</v>
      </c>
      <c r="G766" t="s">
        <v>562</v>
      </c>
      <c r="H766" t="s">
        <v>562</v>
      </c>
      <c r="I766">
        <v>4947</v>
      </c>
      <c r="J766" t="s">
        <v>564</v>
      </c>
      <c r="K766" s="698">
        <v>45957.556944444441</v>
      </c>
      <c r="L766" s="698">
        <v>45957.556944444441</v>
      </c>
      <c r="M766" t="s">
        <v>565</v>
      </c>
      <c r="N766" t="s">
        <v>565</v>
      </c>
      <c r="O766" t="s">
        <v>566</v>
      </c>
      <c r="P766" t="s">
        <v>567</v>
      </c>
      <c r="S766" t="s">
        <v>567</v>
      </c>
      <c r="T766" t="s">
        <v>567</v>
      </c>
      <c r="Z766" t="s">
        <v>568</v>
      </c>
      <c r="AA766" t="s">
        <v>568</v>
      </c>
    </row>
    <row r="767" spans="1:27">
      <c r="A767" t="s">
        <v>2113</v>
      </c>
      <c r="B767" t="s">
        <v>2114</v>
      </c>
      <c r="C767" t="s">
        <v>2115</v>
      </c>
      <c r="D767" t="s">
        <v>2116</v>
      </c>
      <c r="E767" t="s">
        <v>2119</v>
      </c>
      <c r="F767" t="s">
        <v>562</v>
      </c>
      <c r="G767" t="s">
        <v>562</v>
      </c>
      <c r="H767" t="s">
        <v>562</v>
      </c>
      <c r="I767">
        <v>4958</v>
      </c>
      <c r="J767" t="s">
        <v>564</v>
      </c>
      <c r="K767" s="698">
        <v>45957.556944444441</v>
      </c>
      <c r="L767" s="698">
        <v>45957.556944444441</v>
      </c>
      <c r="M767" t="s">
        <v>565</v>
      </c>
      <c r="N767" t="s">
        <v>565</v>
      </c>
      <c r="O767" t="s">
        <v>566</v>
      </c>
      <c r="P767" t="s">
        <v>567</v>
      </c>
      <c r="S767" t="s">
        <v>567</v>
      </c>
      <c r="T767" t="s">
        <v>567</v>
      </c>
      <c r="Z767" t="s">
        <v>568</v>
      </c>
      <c r="AA767" t="s">
        <v>568</v>
      </c>
    </row>
    <row r="768" spans="1:27">
      <c r="A768" t="s">
        <v>2113</v>
      </c>
      <c r="B768" t="s">
        <v>2114</v>
      </c>
      <c r="C768" t="s">
        <v>2115</v>
      </c>
      <c r="D768" t="s">
        <v>2116</v>
      </c>
      <c r="E768" t="s">
        <v>2120</v>
      </c>
      <c r="F768" t="s">
        <v>562</v>
      </c>
      <c r="G768" t="s">
        <v>562</v>
      </c>
      <c r="H768" t="s">
        <v>562</v>
      </c>
      <c r="I768">
        <v>5151</v>
      </c>
      <c r="J768" t="s">
        <v>564</v>
      </c>
      <c r="K768" s="698">
        <v>45957.563194444447</v>
      </c>
      <c r="L768" s="698">
        <v>45957.563194444447</v>
      </c>
      <c r="M768" t="s">
        <v>565</v>
      </c>
      <c r="N768" t="s">
        <v>565</v>
      </c>
      <c r="O768" t="s">
        <v>566</v>
      </c>
      <c r="P768" t="s">
        <v>567</v>
      </c>
      <c r="S768" t="s">
        <v>567</v>
      </c>
      <c r="T768" t="s">
        <v>567</v>
      </c>
      <c r="Z768" t="s">
        <v>568</v>
      </c>
      <c r="AA768" t="s">
        <v>568</v>
      </c>
    </row>
    <row r="769" spans="1:27">
      <c r="A769" t="s">
        <v>2121</v>
      </c>
      <c r="B769" t="s">
        <v>562</v>
      </c>
      <c r="C769" t="s">
        <v>562</v>
      </c>
      <c r="D769" t="s">
        <v>2122</v>
      </c>
      <c r="E769" t="s">
        <v>2123</v>
      </c>
      <c r="F769" t="s">
        <v>562</v>
      </c>
      <c r="G769" t="s">
        <v>562</v>
      </c>
      <c r="H769" t="s">
        <v>562</v>
      </c>
      <c r="I769">
        <v>4259</v>
      </c>
      <c r="J769" t="s">
        <v>564</v>
      </c>
      <c r="K769" s="698">
        <v>45957.495833333334</v>
      </c>
      <c r="L769" s="698">
        <v>45957.495833333334</v>
      </c>
      <c r="M769" t="s">
        <v>565</v>
      </c>
      <c r="N769" t="s">
        <v>565</v>
      </c>
      <c r="O769" t="s">
        <v>566</v>
      </c>
      <c r="P769" t="s">
        <v>567</v>
      </c>
      <c r="S769" t="s">
        <v>567</v>
      </c>
      <c r="T769" t="s">
        <v>567</v>
      </c>
      <c r="Z769" t="s">
        <v>568</v>
      </c>
      <c r="AA769" t="s">
        <v>568</v>
      </c>
    </row>
    <row r="770" spans="1:27">
      <c r="A770" t="s">
        <v>2124</v>
      </c>
      <c r="B770" t="s">
        <v>2125</v>
      </c>
      <c r="C770" t="s">
        <v>2126</v>
      </c>
      <c r="D770" t="s">
        <v>562</v>
      </c>
      <c r="E770" t="s">
        <v>2127</v>
      </c>
      <c r="F770" t="s">
        <v>562</v>
      </c>
      <c r="G770" t="s">
        <v>562</v>
      </c>
      <c r="H770" t="s">
        <v>562</v>
      </c>
      <c r="I770">
        <v>3720</v>
      </c>
      <c r="J770" t="s">
        <v>564</v>
      </c>
      <c r="K770" s="698">
        <v>45957.433333333334</v>
      </c>
      <c r="L770" s="698">
        <v>45957.433333333334</v>
      </c>
      <c r="M770" t="s">
        <v>565</v>
      </c>
      <c r="N770" t="s">
        <v>565</v>
      </c>
      <c r="O770" t="s">
        <v>566</v>
      </c>
      <c r="P770" t="s">
        <v>567</v>
      </c>
      <c r="S770" t="s">
        <v>567</v>
      </c>
      <c r="T770" t="s">
        <v>567</v>
      </c>
      <c r="Z770" t="s">
        <v>568</v>
      </c>
      <c r="AA770" t="s">
        <v>568</v>
      </c>
    </row>
    <row r="771" spans="1:27">
      <c r="A771" t="s">
        <v>2128</v>
      </c>
      <c r="B771" t="s">
        <v>2129</v>
      </c>
      <c r="C771" t="s">
        <v>2130</v>
      </c>
      <c r="D771" t="s">
        <v>2131</v>
      </c>
      <c r="E771" t="s">
        <v>2132</v>
      </c>
      <c r="F771" t="s">
        <v>562</v>
      </c>
      <c r="G771" t="s">
        <v>562</v>
      </c>
      <c r="H771" t="s">
        <v>562</v>
      </c>
      <c r="I771">
        <v>3772</v>
      </c>
      <c r="J771" t="s">
        <v>564</v>
      </c>
      <c r="K771" s="698">
        <v>45957.438888888886</v>
      </c>
      <c r="L771" s="698">
        <v>45957.438888888886</v>
      </c>
      <c r="M771" t="s">
        <v>565</v>
      </c>
      <c r="N771" t="s">
        <v>565</v>
      </c>
      <c r="O771" t="s">
        <v>566</v>
      </c>
      <c r="P771" t="s">
        <v>567</v>
      </c>
      <c r="S771" t="s">
        <v>567</v>
      </c>
      <c r="T771" t="s">
        <v>567</v>
      </c>
      <c r="Z771" t="s">
        <v>568</v>
      </c>
      <c r="AA771" t="s">
        <v>568</v>
      </c>
    </row>
    <row r="772" spans="1:27">
      <c r="A772" t="s">
        <v>2128</v>
      </c>
      <c r="B772" t="s">
        <v>2133</v>
      </c>
      <c r="C772" t="s">
        <v>2134</v>
      </c>
      <c r="D772" t="s">
        <v>2131</v>
      </c>
      <c r="E772" t="s">
        <v>2135</v>
      </c>
      <c r="F772" t="s">
        <v>562</v>
      </c>
      <c r="G772" t="s">
        <v>562</v>
      </c>
      <c r="H772" t="s">
        <v>562</v>
      </c>
      <c r="I772">
        <v>3776</v>
      </c>
      <c r="J772" t="s">
        <v>564</v>
      </c>
      <c r="K772" s="698">
        <v>45957.438888888886</v>
      </c>
      <c r="L772" s="698">
        <v>45957.438888888886</v>
      </c>
      <c r="M772" t="s">
        <v>565</v>
      </c>
      <c r="N772" t="s">
        <v>565</v>
      </c>
      <c r="O772" t="s">
        <v>566</v>
      </c>
      <c r="P772" t="s">
        <v>567</v>
      </c>
      <c r="S772" t="s">
        <v>567</v>
      </c>
      <c r="T772" t="s">
        <v>567</v>
      </c>
      <c r="Z772" t="s">
        <v>568</v>
      </c>
      <c r="AA772" t="s">
        <v>568</v>
      </c>
    </row>
    <row r="773" spans="1:27">
      <c r="A773" t="s">
        <v>2128</v>
      </c>
      <c r="B773" t="s">
        <v>2136</v>
      </c>
      <c r="C773" t="s">
        <v>2137</v>
      </c>
      <c r="D773" t="s">
        <v>2131</v>
      </c>
      <c r="E773" t="s">
        <v>2138</v>
      </c>
      <c r="F773" t="s">
        <v>562</v>
      </c>
      <c r="G773" t="s">
        <v>562</v>
      </c>
      <c r="H773" t="s">
        <v>562</v>
      </c>
      <c r="I773">
        <v>3815</v>
      </c>
      <c r="J773" t="s">
        <v>564</v>
      </c>
      <c r="K773" s="698">
        <v>45957.443749999999</v>
      </c>
      <c r="L773" s="698">
        <v>45957.443749999999</v>
      </c>
      <c r="M773" t="s">
        <v>565</v>
      </c>
      <c r="N773" t="s">
        <v>565</v>
      </c>
      <c r="O773" t="s">
        <v>566</v>
      </c>
      <c r="P773" t="s">
        <v>567</v>
      </c>
      <c r="S773" t="s">
        <v>567</v>
      </c>
      <c r="T773" t="s">
        <v>567</v>
      </c>
      <c r="Z773" t="s">
        <v>568</v>
      </c>
      <c r="AA773" t="s">
        <v>568</v>
      </c>
    </row>
    <row r="774" spans="1:27">
      <c r="A774" t="s">
        <v>2128</v>
      </c>
      <c r="B774" t="s">
        <v>2129</v>
      </c>
      <c r="C774" t="s">
        <v>2130</v>
      </c>
      <c r="D774" t="s">
        <v>2131</v>
      </c>
      <c r="E774" t="s">
        <v>2139</v>
      </c>
      <c r="F774" t="s">
        <v>562</v>
      </c>
      <c r="G774" t="s">
        <v>562</v>
      </c>
      <c r="H774" t="s">
        <v>562</v>
      </c>
      <c r="I774">
        <v>3837</v>
      </c>
      <c r="J774" t="s">
        <v>564</v>
      </c>
      <c r="K774" s="698">
        <v>45957.445833333331</v>
      </c>
      <c r="L774" s="698">
        <v>45957.445833333331</v>
      </c>
      <c r="M774" t="s">
        <v>565</v>
      </c>
      <c r="N774" t="s">
        <v>565</v>
      </c>
      <c r="O774" t="s">
        <v>566</v>
      </c>
      <c r="P774" t="s">
        <v>567</v>
      </c>
      <c r="S774" t="s">
        <v>567</v>
      </c>
      <c r="T774" t="s">
        <v>567</v>
      </c>
      <c r="Z774" t="s">
        <v>568</v>
      </c>
      <c r="AA774" t="s">
        <v>568</v>
      </c>
    </row>
    <row r="775" spans="1:27">
      <c r="A775" t="s">
        <v>2128</v>
      </c>
      <c r="B775" t="s">
        <v>2129</v>
      </c>
      <c r="C775" t="s">
        <v>2130</v>
      </c>
      <c r="D775" t="s">
        <v>2131</v>
      </c>
      <c r="E775" t="s">
        <v>2140</v>
      </c>
      <c r="F775" t="s">
        <v>562</v>
      </c>
      <c r="G775" t="s">
        <v>562</v>
      </c>
      <c r="H775" t="s">
        <v>562</v>
      </c>
      <c r="I775">
        <v>3881</v>
      </c>
      <c r="J775" t="s">
        <v>564</v>
      </c>
      <c r="K775" s="698">
        <v>45957.450694444444</v>
      </c>
      <c r="L775" s="698">
        <v>45957.450694444444</v>
      </c>
      <c r="M775" t="s">
        <v>565</v>
      </c>
      <c r="N775" t="s">
        <v>565</v>
      </c>
      <c r="O775" t="s">
        <v>566</v>
      </c>
      <c r="P775" t="s">
        <v>567</v>
      </c>
      <c r="S775" t="s">
        <v>567</v>
      </c>
      <c r="T775" t="s">
        <v>567</v>
      </c>
      <c r="Z775" t="s">
        <v>568</v>
      </c>
      <c r="AA775" t="s">
        <v>568</v>
      </c>
    </row>
    <row r="776" spans="1:27">
      <c r="A776" t="s">
        <v>2128</v>
      </c>
      <c r="B776" t="s">
        <v>2141</v>
      </c>
      <c r="C776" t="s">
        <v>2142</v>
      </c>
      <c r="D776" t="s">
        <v>2131</v>
      </c>
      <c r="E776" t="s">
        <v>2143</v>
      </c>
      <c r="F776" t="s">
        <v>562</v>
      </c>
      <c r="G776" t="s">
        <v>562</v>
      </c>
      <c r="H776" t="s">
        <v>562</v>
      </c>
      <c r="I776">
        <v>3884</v>
      </c>
      <c r="J776" t="s">
        <v>564</v>
      </c>
      <c r="K776" s="698">
        <v>45957.450694444444</v>
      </c>
      <c r="L776" s="698">
        <v>45957.450694444444</v>
      </c>
      <c r="M776" t="s">
        <v>565</v>
      </c>
      <c r="N776" t="s">
        <v>565</v>
      </c>
      <c r="O776" t="s">
        <v>566</v>
      </c>
      <c r="P776" t="s">
        <v>567</v>
      </c>
      <c r="S776" t="s">
        <v>567</v>
      </c>
      <c r="T776" t="s">
        <v>567</v>
      </c>
      <c r="Z776" t="s">
        <v>568</v>
      </c>
      <c r="AA776" t="s">
        <v>568</v>
      </c>
    </row>
    <row r="777" spans="1:27">
      <c r="A777" t="s">
        <v>2128</v>
      </c>
      <c r="B777" t="s">
        <v>2129</v>
      </c>
      <c r="C777" t="s">
        <v>2130</v>
      </c>
      <c r="D777" t="s">
        <v>2131</v>
      </c>
      <c r="E777" t="s">
        <v>2144</v>
      </c>
      <c r="F777" t="s">
        <v>562</v>
      </c>
      <c r="G777" t="s">
        <v>562</v>
      </c>
      <c r="H777" t="s">
        <v>562</v>
      </c>
      <c r="I777">
        <v>3955</v>
      </c>
      <c r="J777" t="s">
        <v>564</v>
      </c>
      <c r="K777" s="698">
        <v>45957.459027777775</v>
      </c>
      <c r="L777" s="698">
        <v>45957.459027777775</v>
      </c>
      <c r="M777" t="s">
        <v>565</v>
      </c>
      <c r="N777" t="s">
        <v>565</v>
      </c>
      <c r="O777" t="s">
        <v>566</v>
      </c>
      <c r="P777" t="s">
        <v>567</v>
      </c>
      <c r="S777" t="s">
        <v>567</v>
      </c>
      <c r="T777" t="s">
        <v>567</v>
      </c>
      <c r="Z777" t="s">
        <v>568</v>
      </c>
      <c r="AA777" t="s">
        <v>568</v>
      </c>
    </row>
    <row r="778" spans="1:27">
      <c r="A778" t="s">
        <v>2128</v>
      </c>
      <c r="B778" t="s">
        <v>2129</v>
      </c>
      <c r="C778" t="s">
        <v>2130</v>
      </c>
      <c r="D778" t="s">
        <v>2131</v>
      </c>
      <c r="E778" t="s">
        <v>2145</v>
      </c>
      <c r="F778" t="s">
        <v>562</v>
      </c>
      <c r="G778" t="s">
        <v>562</v>
      </c>
      <c r="H778" t="s">
        <v>562</v>
      </c>
      <c r="I778">
        <v>4008</v>
      </c>
      <c r="J778" t="s">
        <v>564</v>
      </c>
      <c r="K778" s="698">
        <v>45957.465277777781</v>
      </c>
      <c r="L778" s="698">
        <v>45957.465277777781</v>
      </c>
      <c r="M778" t="s">
        <v>565</v>
      </c>
      <c r="N778" t="s">
        <v>565</v>
      </c>
      <c r="O778" t="s">
        <v>566</v>
      </c>
      <c r="P778" t="s">
        <v>567</v>
      </c>
      <c r="S778" t="s">
        <v>567</v>
      </c>
      <c r="T778" t="s">
        <v>567</v>
      </c>
      <c r="Z778" t="s">
        <v>568</v>
      </c>
      <c r="AA778" t="s">
        <v>568</v>
      </c>
    </row>
    <row r="779" spans="1:27">
      <c r="A779" t="s">
        <v>2128</v>
      </c>
      <c r="B779" t="s">
        <v>2129</v>
      </c>
      <c r="C779" t="s">
        <v>2130</v>
      </c>
      <c r="D779" t="s">
        <v>2131</v>
      </c>
      <c r="E779" t="s">
        <v>2146</v>
      </c>
      <c r="F779" t="s">
        <v>562</v>
      </c>
      <c r="G779" t="s">
        <v>562</v>
      </c>
      <c r="H779" t="s">
        <v>562</v>
      </c>
      <c r="I779">
        <v>4050</v>
      </c>
      <c r="J779" t="s">
        <v>564</v>
      </c>
      <c r="K779" s="698">
        <v>45957.470138888886</v>
      </c>
      <c r="L779" s="698">
        <v>45957.470138888886</v>
      </c>
      <c r="M779" t="s">
        <v>565</v>
      </c>
      <c r="N779" t="s">
        <v>565</v>
      </c>
      <c r="O779" t="s">
        <v>566</v>
      </c>
      <c r="P779" t="s">
        <v>567</v>
      </c>
      <c r="S779" t="s">
        <v>567</v>
      </c>
      <c r="T779" t="s">
        <v>567</v>
      </c>
      <c r="Z779" t="s">
        <v>568</v>
      </c>
      <c r="AA779" t="s">
        <v>568</v>
      </c>
    </row>
    <row r="780" spans="1:27">
      <c r="A780" t="s">
        <v>2128</v>
      </c>
      <c r="B780" t="s">
        <v>562</v>
      </c>
      <c r="C780" t="s">
        <v>562</v>
      </c>
      <c r="D780" t="s">
        <v>2131</v>
      </c>
      <c r="E780" t="s">
        <v>2147</v>
      </c>
      <c r="F780" t="s">
        <v>562</v>
      </c>
      <c r="G780" t="s">
        <v>562</v>
      </c>
      <c r="H780" t="s">
        <v>562</v>
      </c>
      <c r="I780">
        <v>4304</v>
      </c>
      <c r="J780" t="s">
        <v>564</v>
      </c>
      <c r="K780" s="698">
        <v>45957.502083333333</v>
      </c>
      <c r="L780" s="698">
        <v>45957.502083333333</v>
      </c>
      <c r="M780" t="s">
        <v>565</v>
      </c>
      <c r="N780" t="s">
        <v>565</v>
      </c>
      <c r="O780" t="s">
        <v>566</v>
      </c>
      <c r="P780" t="s">
        <v>567</v>
      </c>
      <c r="S780" t="s">
        <v>567</v>
      </c>
      <c r="T780" t="s">
        <v>567</v>
      </c>
      <c r="Z780" t="s">
        <v>568</v>
      </c>
      <c r="AA780" t="s">
        <v>568</v>
      </c>
    </row>
    <row r="781" spans="1:27">
      <c r="A781" t="s">
        <v>2128</v>
      </c>
      <c r="B781" t="s">
        <v>2148</v>
      </c>
      <c r="C781" t="s">
        <v>2149</v>
      </c>
      <c r="D781" t="s">
        <v>2131</v>
      </c>
      <c r="E781" t="s">
        <v>2150</v>
      </c>
      <c r="F781" t="s">
        <v>562</v>
      </c>
      <c r="G781" t="s">
        <v>562</v>
      </c>
      <c r="H781" t="s">
        <v>562</v>
      </c>
      <c r="I781">
        <v>4310</v>
      </c>
      <c r="J781" t="s">
        <v>564</v>
      </c>
      <c r="K781" s="698">
        <v>45957.50277777778</v>
      </c>
      <c r="L781" s="698">
        <v>45957.50277777778</v>
      </c>
      <c r="M781" t="s">
        <v>565</v>
      </c>
      <c r="N781" t="s">
        <v>565</v>
      </c>
      <c r="O781" t="s">
        <v>566</v>
      </c>
      <c r="P781" t="s">
        <v>567</v>
      </c>
      <c r="S781" t="s">
        <v>567</v>
      </c>
      <c r="T781" t="s">
        <v>567</v>
      </c>
      <c r="Z781" t="s">
        <v>568</v>
      </c>
      <c r="AA781" t="s">
        <v>568</v>
      </c>
    </row>
    <row r="782" spans="1:27">
      <c r="A782" t="s">
        <v>2128</v>
      </c>
      <c r="B782" t="s">
        <v>562</v>
      </c>
      <c r="C782" t="s">
        <v>562</v>
      </c>
      <c r="D782" t="s">
        <v>2131</v>
      </c>
      <c r="E782" t="s">
        <v>2151</v>
      </c>
      <c r="F782" t="s">
        <v>562</v>
      </c>
      <c r="G782" t="s">
        <v>562</v>
      </c>
      <c r="H782" t="s">
        <v>562</v>
      </c>
      <c r="I782">
        <v>4363</v>
      </c>
      <c r="J782" t="s">
        <v>564</v>
      </c>
      <c r="K782" s="698">
        <v>45957.509027777778</v>
      </c>
      <c r="L782" s="698">
        <v>45957.509027777778</v>
      </c>
      <c r="M782" t="s">
        <v>565</v>
      </c>
      <c r="N782" t="s">
        <v>565</v>
      </c>
      <c r="O782" t="s">
        <v>566</v>
      </c>
      <c r="P782" t="s">
        <v>567</v>
      </c>
      <c r="S782" t="s">
        <v>567</v>
      </c>
      <c r="T782" t="s">
        <v>567</v>
      </c>
      <c r="Z782" t="s">
        <v>568</v>
      </c>
      <c r="AA782" t="s">
        <v>568</v>
      </c>
    </row>
    <row r="783" spans="1:27">
      <c r="A783" t="s">
        <v>2128</v>
      </c>
      <c r="B783" t="s">
        <v>562</v>
      </c>
      <c r="C783" t="s">
        <v>562</v>
      </c>
      <c r="D783" t="s">
        <v>2131</v>
      </c>
      <c r="E783" t="s">
        <v>2152</v>
      </c>
      <c r="F783" t="s">
        <v>562</v>
      </c>
      <c r="G783" t="s">
        <v>562</v>
      </c>
      <c r="H783" t="s">
        <v>562</v>
      </c>
      <c r="I783">
        <v>4418</v>
      </c>
      <c r="J783" t="s">
        <v>564</v>
      </c>
      <c r="K783" s="698">
        <v>45957.515972222223</v>
      </c>
      <c r="L783" s="698">
        <v>45957.515972222223</v>
      </c>
      <c r="M783" t="s">
        <v>565</v>
      </c>
      <c r="N783" t="s">
        <v>565</v>
      </c>
      <c r="O783" t="s">
        <v>566</v>
      </c>
      <c r="P783" t="s">
        <v>567</v>
      </c>
      <c r="S783" t="s">
        <v>567</v>
      </c>
      <c r="T783" t="s">
        <v>567</v>
      </c>
      <c r="Z783" t="s">
        <v>568</v>
      </c>
      <c r="AA783" t="s">
        <v>568</v>
      </c>
    </row>
    <row r="784" spans="1:27">
      <c r="A784" t="s">
        <v>2128</v>
      </c>
      <c r="B784" t="s">
        <v>2136</v>
      </c>
      <c r="C784" t="s">
        <v>2137</v>
      </c>
      <c r="D784" t="s">
        <v>2131</v>
      </c>
      <c r="E784" t="s">
        <v>2153</v>
      </c>
      <c r="F784" t="s">
        <v>562</v>
      </c>
      <c r="G784" t="s">
        <v>562</v>
      </c>
      <c r="H784" t="s">
        <v>562</v>
      </c>
      <c r="I784">
        <v>4484</v>
      </c>
      <c r="J784" t="s">
        <v>564</v>
      </c>
      <c r="K784" s="698">
        <v>45957.524305555555</v>
      </c>
      <c r="L784" s="698">
        <v>45957.524305555555</v>
      </c>
      <c r="M784" t="s">
        <v>565</v>
      </c>
      <c r="N784" t="s">
        <v>565</v>
      </c>
      <c r="O784" t="s">
        <v>566</v>
      </c>
      <c r="P784" t="s">
        <v>567</v>
      </c>
      <c r="S784" t="s">
        <v>567</v>
      </c>
      <c r="T784" t="s">
        <v>567</v>
      </c>
      <c r="Z784" t="s">
        <v>568</v>
      </c>
      <c r="AA784" t="s">
        <v>568</v>
      </c>
    </row>
    <row r="785" spans="1:27">
      <c r="A785" t="s">
        <v>2128</v>
      </c>
      <c r="B785" t="s">
        <v>2129</v>
      </c>
      <c r="C785" t="s">
        <v>2142</v>
      </c>
      <c r="D785" t="s">
        <v>2131</v>
      </c>
      <c r="E785" t="s">
        <v>2154</v>
      </c>
      <c r="F785" t="s">
        <v>562</v>
      </c>
      <c r="G785" t="s">
        <v>562</v>
      </c>
      <c r="H785" t="s">
        <v>562</v>
      </c>
      <c r="I785">
        <v>4585</v>
      </c>
      <c r="J785" t="s">
        <v>564</v>
      </c>
      <c r="K785" s="698">
        <v>45957.536805555559</v>
      </c>
      <c r="L785" s="698">
        <v>45957.536805555559</v>
      </c>
      <c r="M785" t="s">
        <v>565</v>
      </c>
      <c r="N785" t="s">
        <v>565</v>
      </c>
      <c r="O785" t="s">
        <v>566</v>
      </c>
      <c r="P785" t="s">
        <v>567</v>
      </c>
      <c r="S785" t="s">
        <v>567</v>
      </c>
      <c r="T785" t="s">
        <v>567</v>
      </c>
      <c r="Z785" t="s">
        <v>568</v>
      </c>
      <c r="AA785" t="s">
        <v>568</v>
      </c>
    </row>
    <row r="786" spans="1:27">
      <c r="A786" t="s">
        <v>2128</v>
      </c>
      <c r="B786" t="s">
        <v>2155</v>
      </c>
      <c r="C786" t="s">
        <v>2156</v>
      </c>
      <c r="D786" t="s">
        <v>2131</v>
      </c>
      <c r="E786" t="s">
        <v>2157</v>
      </c>
      <c r="F786" t="s">
        <v>562</v>
      </c>
      <c r="G786" t="s">
        <v>562</v>
      </c>
      <c r="H786" t="s">
        <v>562</v>
      </c>
      <c r="I786">
        <v>4634</v>
      </c>
      <c r="J786" t="s">
        <v>564</v>
      </c>
      <c r="K786" s="698">
        <v>45957.543055555558</v>
      </c>
      <c r="L786" s="698">
        <v>45957.543055555558</v>
      </c>
      <c r="M786" t="s">
        <v>565</v>
      </c>
      <c r="N786" t="s">
        <v>565</v>
      </c>
      <c r="O786" t="s">
        <v>566</v>
      </c>
      <c r="P786" t="s">
        <v>567</v>
      </c>
      <c r="S786" t="s">
        <v>567</v>
      </c>
      <c r="T786" t="s">
        <v>567</v>
      </c>
      <c r="Z786" t="s">
        <v>568</v>
      </c>
      <c r="AA786" t="s">
        <v>568</v>
      </c>
    </row>
    <row r="787" spans="1:27">
      <c r="A787" t="s">
        <v>2128</v>
      </c>
      <c r="B787" t="s">
        <v>2158</v>
      </c>
      <c r="C787" t="s">
        <v>2159</v>
      </c>
      <c r="D787" t="s">
        <v>2131</v>
      </c>
      <c r="E787" t="s">
        <v>2160</v>
      </c>
      <c r="F787" t="s">
        <v>562</v>
      </c>
      <c r="G787" t="s">
        <v>562</v>
      </c>
      <c r="H787" t="s">
        <v>562</v>
      </c>
      <c r="I787">
        <v>5042</v>
      </c>
      <c r="J787" t="s">
        <v>564</v>
      </c>
      <c r="K787" s="698">
        <v>45957.55972222222</v>
      </c>
      <c r="L787" s="698">
        <v>45957.55972222222</v>
      </c>
      <c r="M787" t="s">
        <v>565</v>
      </c>
      <c r="N787" t="s">
        <v>565</v>
      </c>
      <c r="O787" t="s">
        <v>566</v>
      </c>
      <c r="P787" t="s">
        <v>567</v>
      </c>
      <c r="S787" t="s">
        <v>567</v>
      </c>
      <c r="T787" t="s">
        <v>567</v>
      </c>
      <c r="Z787" t="s">
        <v>568</v>
      </c>
      <c r="AA787" t="s">
        <v>568</v>
      </c>
    </row>
    <row r="788" spans="1:27">
      <c r="A788" t="s">
        <v>2128</v>
      </c>
      <c r="B788" t="s">
        <v>2133</v>
      </c>
      <c r="C788" t="s">
        <v>2134</v>
      </c>
      <c r="D788" t="s">
        <v>2131</v>
      </c>
      <c r="E788" t="s">
        <v>2161</v>
      </c>
      <c r="F788" t="s">
        <v>562</v>
      </c>
      <c r="G788" t="s">
        <v>562</v>
      </c>
      <c r="H788" t="s">
        <v>562</v>
      </c>
      <c r="I788">
        <v>5058</v>
      </c>
      <c r="J788" t="s">
        <v>564</v>
      </c>
      <c r="K788" s="698">
        <v>45957.560416666667</v>
      </c>
      <c r="L788" s="698">
        <v>45957.560416666667</v>
      </c>
      <c r="M788" t="s">
        <v>565</v>
      </c>
      <c r="N788" t="s">
        <v>565</v>
      </c>
      <c r="O788" t="s">
        <v>566</v>
      </c>
      <c r="P788" t="s">
        <v>567</v>
      </c>
      <c r="S788" t="s">
        <v>567</v>
      </c>
      <c r="T788" t="s">
        <v>567</v>
      </c>
      <c r="Z788" t="s">
        <v>568</v>
      </c>
      <c r="AA788" t="s">
        <v>568</v>
      </c>
    </row>
    <row r="789" spans="1:27">
      <c r="A789" t="s">
        <v>2128</v>
      </c>
      <c r="B789" t="s">
        <v>2129</v>
      </c>
      <c r="C789" t="s">
        <v>2130</v>
      </c>
      <c r="D789" t="s">
        <v>2131</v>
      </c>
      <c r="E789" t="s">
        <v>2162</v>
      </c>
      <c r="F789" t="s">
        <v>562</v>
      </c>
      <c r="G789" t="s">
        <v>562</v>
      </c>
      <c r="H789" t="s">
        <v>562</v>
      </c>
      <c r="I789">
        <v>5118</v>
      </c>
      <c r="J789" t="s">
        <v>564</v>
      </c>
      <c r="K789" s="698">
        <v>45957.561805555553</v>
      </c>
      <c r="L789" s="698">
        <v>45957.561805555553</v>
      </c>
      <c r="M789" t="s">
        <v>565</v>
      </c>
      <c r="N789" t="s">
        <v>565</v>
      </c>
      <c r="O789" t="s">
        <v>566</v>
      </c>
      <c r="P789" t="s">
        <v>567</v>
      </c>
      <c r="S789" t="s">
        <v>567</v>
      </c>
      <c r="T789" t="s">
        <v>567</v>
      </c>
      <c r="Z789" t="s">
        <v>568</v>
      </c>
      <c r="AA789" t="s">
        <v>568</v>
      </c>
    </row>
    <row r="790" spans="1:27">
      <c r="A790" t="s">
        <v>2163</v>
      </c>
      <c r="B790" t="s">
        <v>1278</v>
      </c>
      <c r="C790" t="s">
        <v>2164</v>
      </c>
      <c r="D790" t="s">
        <v>562</v>
      </c>
      <c r="E790" t="s">
        <v>2135</v>
      </c>
      <c r="F790" t="s">
        <v>562</v>
      </c>
      <c r="G790" t="s">
        <v>562</v>
      </c>
      <c r="H790" t="s">
        <v>562</v>
      </c>
      <c r="I790">
        <v>3749</v>
      </c>
      <c r="J790" t="s">
        <v>564</v>
      </c>
      <c r="K790" s="698">
        <v>45957.436111111114</v>
      </c>
      <c r="L790" s="698">
        <v>45957.436111111114</v>
      </c>
      <c r="M790" t="s">
        <v>565</v>
      </c>
      <c r="N790" t="s">
        <v>565</v>
      </c>
      <c r="O790" t="s">
        <v>566</v>
      </c>
      <c r="P790" t="s">
        <v>567</v>
      </c>
      <c r="S790" t="s">
        <v>567</v>
      </c>
      <c r="T790" t="s">
        <v>567</v>
      </c>
      <c r="Z790" t="s">
        <v>568</v>
      </c>
      <c r="AA790" t="s">
        <v>568</v>
      </c>
    </row>
    <row r="791" spans="1:27">
      <c r="A791" t="s">
        <v>2163</v>
      </c>
      <c r="B791" t="s">
        <v>2165</v>
      </c>
      <c r="C791" t="s">
        <v>2142</v>
      </c>
      <c r="D791" t="s">
        <v>562</v>
      </c>
      <c r="E791" t="s">
        <v>2166</v>
      </c>
      <c r="F791" t="s">
        <v>562</v>
      </c>
      <c r="G791" t="s">
        <v>562</v>
      </c>
      <c r="H791" t="s">
        <v>562</v>
      </c>
      <c r="I791">
        <v>4043</v>
      </c>
      <c r="J791" t="s">
        <v>564</v>
      </c>
      <c r="K791" s="698">
        <v>45957.469444444447</v>
      </c>
      <c r="L791" s="698">
        <v>45957.469444444447</v>
      </c>
      <c r="M791" t="s">
        <v>565</v>
      </c>
      <c r="N791" t="s">
        <v>565</v>
      </c>
      <c r="O791" t="s">
        <v>566</v>
      </c>
      <c r="P791" t="s">
        <v>567</v>
      </c>
      <c r="S791" t="s">
        <v>567</v>
      </c>
      <c r="T791" t="s">
        <v>567</v>
      </c>
      <c r="Z791" t="s">
        <v>568</v>
      </c>
      <c r="AA791" t="s">
        <v>568</v>
      </c>
    </row>
    <row r="792" spans="1:27">
      <c r="A792" t="s">
        <v>2163</v>
      </c>
      <c r="B792" t="s">
        <v>2165</v>
      </c>
      <c r="C792" t="s">
        <v>2142</v>
      </c>
      <c r="D792" t="s">
        <v>562</v>
      </c>
      <c r="E792" t="s">
        <v>2167</v>
      </c>
      <c r="F792" t="s">
        <v>562</v>
      </c>
      <c r="G792" t="s">
        <v>562</v>
      </c>
      <c r="H792" t="s">
        <v>562</v>
      </c>
      <c r="I792">
        <v>4045</v>
      </c>
      <c r="J792" t="s">
        <v>564</v>
      </c>
      <c r="K792" s="698">
        <v>45957.470138888886</v>
      </c>
      <c r="L792" s="698">
        <v>45957.470138888886</v>
      </c>
      <c r="M792" t="s">
        <v>565</v>
      </c>
      <c r="N792" t="s">
        <v>565</v>
      </c>
      <c r="O792" t="s">
        <v>566</v>
      </c>
      <c r="P792" t="s">
        <v>567</v>
      </c>
      <c r="S792" t="s">
        <v>567</v>
      </c>
      <c r="T792" t="s">
        <v>567</v>
      </c>
      <c r="Z792" t="s">
        <v>568</v>
      </c>
      <c r="AA792" t="s">
        <v>568</v>
      </c>
    </row>
    <row r="793" spans="1:27">
      <c r="A793" t="s">
        <v>2163</v>
      </c>
      <c r="B793" t="s">
        <v>1278</v>
      </c>
      <c r="C793" t="s">
        <v>2164</v>
      </c>
      <c r="D793" t="s">
        <v>562</v>
      </c>
      <c r="E793" t="s">
        <v>2168</v>
      </c>
      <c r="F793" t="s">
        <v>562</v>
      </c>
      <c r="G793" t="s">
        <v>562</v>
      </c>
      <c r="H793" t="s">
        <v>562</v>
      </c>
      <c r="I793">
        <v>4170</v>
      </c>
      <c r="J793" t="s">
        <v>564</v>
      </c>
      <c r="K793" s="698">
        <v>45957.484722222223</v>
      </c>
      <c r="L793" s="698">
        <v>45957.484722222223</v>
      </c>
      <c r="M793" t="s">
        <v>565</v>
      </c>
      <c r="N793" t="s">
        <v>565</v>
      </c>
      <c r="O793" t="s">
        <v>566</v>
      </c>
      <c r="P793" t="s">
        <v>567</v>
      </c>
      <c r="S793" t="s">
        <v>567</v>
      </c>
      <c r="T793" t="s">
        <v>567</v>
      </c>
      <c r="Z793" t="s">
        <v>568</v>
      </c>
      <c r="AA793" t="s">
        <v>568</v>
      </c>
    </row>
    <row r="794" spans="1:27">
      <c r="A794" t="s">
        <v>2163</v>
      </c>
      <c r="B794" t="s">
        <v>1278</v>
      </c>
      <c r="C794" t="s">
        <v>2164</v>
      </c>
      <c r="D794" t="s">
        <v>562</v>
      </c>
      <c r="E794" t="s">
        <v>2169</v>
      </c>
      <c r="F794" t="s">
        <v>562</v>
      </c>
      <c r="G794" t="s">
        <v>562</v>
      </c>
      <c r="H794" t="s">
        <v>562</v>
      </c>
      <c r="I794">
        <v>4189</v>
      </c>
      <c r="J794" t="s">
        <v>564</v>
      </c>
      <c r="K794" s="698">
        <v>45957.487500000003</v>
      </c>
      <c r="L794" s="698">
        <v>45957.487500000003</v>
      </c>
      <c r="M794" t="s">
        <v>565</v>
      </c>
      <c r="N794" t="s">
        <v>565</v>
      </c>
      <c r="O794" t="s">
        <v>566</v>
      </c>
      <c r="P794" t="s">
        <v>567</v>
      </c>
      <c r="S794" t="s">
        <v>567</v>
      </c>
      <c r="T794" t="s">
        <v>567</v>
      </c>
      <c r="Z794" t="s">
        <v>568</v>
      </c>
      <c r="AA794" t="s">
        <v>568</v>
      </c>
    </row>
    <row r="795" spans="1:27">
      <c r="A795" t="s">
        <v>2163</v>
      </c>
      <c r="B795" t="s">
        <v>1278</v>
      </c>
      <c r="C795" t="s">
        <v>2164</v>
      </c>
      <c r="D795" t="s">
        <v>562</v>
      </c>
      <c r="E795" t="s">
        <v>2170</v>
      </c>
      <c r="F795" t="s">
        <v>562</v>
      </c>
      <c r="G795" t="s">
        <v>562</v>
      </c>
      <c r="H795" t="s">
        <v>562</v>
      </c>
      <c r="I795">
        <v>4251</v>
      </c>
      <c r="J795" t="s">
        <v>564</v>
      </c>
      <c r="K795" s="698">
        <v>45957.495138888888</v>
      </c>
      <c r="L795" s="698">
        <v>45957.495138888888</v>
      </c>
      <c r="M795" t="s">
        <v>565</v>
      </c>
      <c r="N795" t="s">
        <v>565</v>
      </c>
      <c r="O795" t="s">
        <v>566</v>
      </c>
      <c r="P795" t="s">
        <v>567</v>
      </c>
      <c r="S795" t="s">
        <v>567</v>
      </c>
      <c r="T795" t="s">
        <v>567</v>
      </c>
      <c r="Z795" t="s">
        <v>568</v>
      </c>
      <c r="AA795" t="s">
        <v>568</v>
      </c>
    </row>
    <row r="796" spans="1:27">
      <c r="A796" t="s">
        <v>2171</v>
      </c>
      <c r="B796" t="s">
        <v>2172</v>
      </c>
      <c r="C796" t="s">
        <v>2173</v>
      </c>
      <c r="D796" t="s">
        <v>562</v>
      </c>
      <c r="E796" t="s">
        <v>2174</v>
      </c>
      <c r="F796" t="s">
        <v>562</v>
      </c>
      <c r="G796" t="s">
        <v>562</v>
      </c>
      <c r="H796" t="s">
        <v>562</v>
      </c>
      <c r="I796">
        <v>4459</v>
      </c>
      <c r="J796" t="s">
        <v>564</v>
      </c>
      <c r="K796" s="698">
        <v>45957.521527777775</v>
      </c>
      <c r="L796" s="698">
        <v>45957.521527777775</v>
      </c>
      <c r="M796" t="s">
        <v>565</v>
      </c>
      <c r="N796" t="s">
        <v>565</v>
      </c>
      <c r="O796" t="s">
        <v>566</v>
      </c>
      <c r="P796" t="s">
        <v>567</v>
      </c>
      <c r="S796" t="s">
        <v>567</v>
      </c>
      <c r="T796" t="s">
        <v>567</v>
      </c>
      <c r="Z796" t="s">
        <v>568</v>
      </c>
      <c r="AA796" t="s">
        <v>568</v>
      </c>
    </row>
    <row r="797" spans="1:27">
      <c r="A797" t="s">
        <v>2175</v>
      </c>
      <c r="B797" t="s">
        <v>603</v>
      </c>
      <c r="C797" t="s">
        <v>562</v>
      </c>
      <c r="D797" t="s">
        <v>562</v>
      </c>
      <c r="E797" t="s">
        <v>2176</v>
      </c>
      <c r="F797" t="s">
        <v>562</v>
      </c>
      <c r="G797" t="s">
        <v>562</v>
      </c>
      <c r="H797" t="s">
        <v>562</v>
      </c>
      <c r="I797">
        <v>4759</v>
      </c>
      <c r="J797" t="s">
        <v>564</v>
      </c>
      <c r="K797" s="698">
        <v>45957.550694444442</v>
      </c>
      <c r="L797" s="698">
        <v>45957.550694444442</v>
      </c>
      <c r="M797" t="s">
        <v>565</v>
      </c>
      <c r="N797" t="s">
        <v>565</v>
      </c>
      <c r="O797" t="s">
        <v>566</v>
      </c>
      <c r="P797" t="s">
        <v>567</v>
      </c>
      <c r="S797" t="s">
        <v>567</v>
      </c>
      <c r="T797" t="s">
        <v>567</v>
      </c>
      <c r="Z797" t="s">
        <v>568</v>
      </c>
      <c r="AA797" t="s">
        <v>568</v>
      </c>
    </row>
    <row r="798" spans="1:27">
      <c r="A798" t="s">
        <v>2175</v>
      </c>
      <c r="B798" t="s">
        <v>2177</v>
      </c>
      <c r="C798" t="s">
        <v>2178</v>
      </c>
      <c r="D798" t="s">
        <v>562</v>
      </c>
      <c r="E798" t="s">
        <v>2179</v>
      </c>
      <c r="F798" t="s">
        <v>562</v>
      </c>
      <c r="G798" t="s">
        <v>562</v>
      </c>
      <c r="H798" t="s">
        <v>562</v>
      </c>
      <c r="I798">
        <v>4761</v>
      </c>
      <c r="J798" t="s">
        <v>564</v>
      </c>
      <c r="K798" s="698">
        <v>45957.551388888889</v>
      </c>
      <c r="L798" s="698">
        <v>45957.551388888889</v>
      </c>
      <c r="M798" t="s">
        <v>565</v>
      </c>
      <c r="N798" t="s">
        <v>565</v>
      </c>
      <c r="O798" t="s">
        <v>566</v>
      </c>
      <c r="P798" t="s">
        <v>567</v>
      </c>
      <c r="S798" t="s">
        <v>567</v>
      </c>
      <c r="T798" t="s">
        <v>567</v>
      </c>
      <c r="Z798" t="s">
        <v>568</v>
      </c>
      <c r="AA798" t="s">
        <v>568</v>
      </c>
    </row>
    <row r="799" spans="1:27">
      <c r="A799" t="s">
        <v>2175</v>
      </c>
      <c r="B799" t="s">
        <v>603</v>
      </c>
      <c r="C799" t="s">
        <v>562</v>
      </c>
      <c r="D799" t="s">
        <v>562</v>
      </c>
      <c r="E799" t="s">
        <v>1223</v>
      </c>
      <c r="F799" t="s">
        <v>562</v>
      </c>
      <c r="G799" t="s">
        <v>562</v>
      </c>
      <c r="H799" t="s">
        <v>562</v>
      </c>
      <c r="I799">
        <v>4764</v>
      </c>
      <c r="J799" t="s">
        <v>564</v>
      </c>
      <c r="K799" s="698">
        <v>45957.551388888889</v>
      </c>
      <c r="L799" s="698">
        <v>45957.551388888889</v>
      </c>
      <c r="M799" t="s">
        <v>565</v>
      </c>
      <c r="N799" t="s">
        <v>565</v>
      </c>
      <c r="O799" t="s">
        <v>566</v>
      </c>
      <c r="P799" t="s">
        <v>567</v>
      </c>
      <c r="S799" t="s">
        <v>567</v>
      </c>
      <c r="T799" t="s">
        <v>567</v>
      </c>
      <c r="Z799" t="s">
        <v>568</v>
      </c>
      <c r="AA799" t="s">
        <v>568</v>
      </c>
    </row>
    <row r="800" spans="1:27">
      <c r="A800" t="s">
        <v>2175</v>
      </c>
      <c r="B800" t="s">
        <v>2180</v>
      </c>
      <c r="C800" t="s">
        <v>2181</v>
      </c>
      <c r="D800" t="s">
        <v>562</v>
      </c>
      <c r="E800" t="s">
        <v>2182</v>
      </c>
      <c r="F800" t="s">
        <v>562</v>
      </c>
      <c r="G800" t="s">
        <v>562</v>
      </c>
      <c r="H800" t="s">
        <v>562</v>
      </c>
      <c r="I800">
        <v>5124</v>
      </c>
      <c r="J800" t="s">
        <v>564</v>
      </c>
      <c r="K800" s="698">
        <v>45957.561805555553</v>
      </c>
      <c r="L800" s="698">
        <v>45957.561805555553</v>
      </c>
      <c r="M800" t="s">
        <v>565</v>
      </c>
      <c r="N800" t="s">
        <v>565</v>
      </c>
      <c r="O800" t="s">
        <v>566</v>
      </c>
      <c r="P800" t="s">
        <v>567</v>
      </c>
      <c r="S800" t="s">
        <v>567</v>
      </c>
      <c r="T800" t="s">
        <v>567</v>
      </c>
      <c r="Z800" t="s">
        <v>568</v>
      </c>
      <c r="AA800" t="s">
        <v>568</v>
      </c>
    </row>
    <row r="801" spans="1:27">
      <c r="A801" t="s">
        <v>2183</v>
      </c>
      <c r="B801" t="s">
        <v>1101</v>
      </c>
      <c r="C801" t="s">
        <v>2184</v>
      </c>
      <c r="D801" t="s">
        <v>562</v>
      </c>
      <c r="E801" t="s">
        <v>2185</v>
      </c>
      <c r="F801" t="s">
        <v>562</v>
      </c>
      <c r="G801" t="s">
        <v>562</v>
      </c>
      <c r="H801" t="s">
        <v>562</v>
      </c>
      <c r="I801">
        <v>4839</v>
      </c>
      <c r="J801" t="s">
        <v>564</v>
      </c>
      <c r="K801" s="698">
        <v>45957.553472222222</v>
      </c>
      <c r="L801" s="698">
        <v>45957.553472222222</v>
      </c>
      <c r="M801" t="s">
        <v>565</v>
      </c>
      <c r="N801" t="s">
        <v>565</v>
      </c>
      <c r="O801" t="s">
        <v>566</v>
      </c>
      <c r="P801" t="s">
        <v>567</v>
      </c>
      <c r="S801" t="s">
        <v>567</v>
      </c>
      <c r="T801" t="s">
        <v>567</v>
      </c>
      <c r="Z801" t="s">
        <v>568</v>
      </c>
      <c r="AA801" t="s">
        <v>568</v>
      </c>
    </row>
    <row r="802" spans="1:27">
      <c r="A802" t="s">
        <v>2186</v>
      </c>
      <c r="B802" t="s">
        <v>2187</v>
      </c>
      <c r="C802" t="s">
        <v>2188</v>
      </c>
      <c r="D802" t="s">
        <v>562</v>
      </c>
      <c r="E802" t="s">
        <v>2189</v>
      </c>
      <c r="F802" t="s">
        <v>562</v>
      </c>
      <c r="G802" t="s">
        <v>562</v>
      </c>
      <c r="H802" t="s">
        <v>562</v>
      </c>
      <c r="I802">
        <v>3673</v>
      </c>
      <c r="J802" t="s">
        <v>564</v>
      </c>
      <c r="K802" s="698">
        <v>45957.427777777775</v>
      </c>
      <c r="L802" s="698">
        <v>45957.427777777775</v>
      </c>
      <c r="M802" t="s">
        <v>565</v>
      </c>
      <c r="N802" t="s">
        <v>565</v>
      </c>
      <c r="O802" t="s">
        <v>566</v>
      </c>
      <c r="P802" t="s">
        <v>567</v>
      </c>
      <c r="S802" t="s">
        <v>567</v>
      </c>
      <c r="T802" t="s">
        <v>567</v>
      </c>
      <c r="Z802" t="s">
        <v>568</v>
      </c>
      <c r="AA802" t="s">
        <v>568</v>
      </c>
    </row>
    <row r="803" spans="1:27">
      <c r="A803" t="s">
        <v>2186</v>
      </c>
      <c r="B803" t="s">
        <v>2190</v>
      </c>
      <c r="C803" t="s">
        <v>562</v>
      </c>
      <c r="D803" t="s">
        <v>562</v>
      </c>
      <c r="E803" t="s">
        <v>2191</v>
      </c>
      <c r="F803" t="s">
        <v>562</v>
      </c>
      <c r="G803" t="s">
        <v>562</v>
      </c>
      <c r="H803" t="s">
        <v>562</v>
      </c>
      <c r="I803">
        <v>3731</v>
      </c>
      <c r="J803" t="s">
        <v>564</v>
      </c>
      <c r="K803" s="698">
        <v>45957.434027777781</v>
      </c>
      <c r="L803" s="698">
        <v>45957.434027777781</v>
      </c>
      <c r="M803" t="s">
        <v>565</v>
      </c>
      <c r="N803" t="s">
        <v>565</v>
      </c>
      <c r="O803" t="s">
        <v>566</v>
      </c>
      <c r="P803" t="s">
        <v>567</v>
      </c>
      <c r="S803" t="s">
        <v>567</v>
      </c>
      <c r="T803" t="s">
        <v>567</v>
      </c>
      <c r="Z803" t="s">
        <v>568</v>
      </c>
      <c r="AA803" t="s">
        <v>568</v>
      </c>
    </row>
    <row r="804" spans="1:27">
      <c r="A804" t="s">
        <v>2186</v>
      </c>
      <c r="B804" t="s">
        <v>1101</v>
      </c>
      <c r="C804" t="s">
        <v>2184</v>
      </c>
      <c r="D804" t="s">
        <v>562</v>
      </c>
      <c r="E804" t="s">
        <v>2192</v>
      </c>
      <c r="F804" t="s">
        <v>562</v>
      </c>
      <c r="G804" t="s">
        <v>562</v>
      </c>
      <c r="H804" t="s">
        <v>562</v>
      </c>
      <c r="I804">
        <v>4876</v>
      </c>
      <c r="J804" t="s">
        <v>564</v>
      </c>
      <c r="K804" s="698">
        <v>45957.554861111108</v>
      </c>
      <c r="L804" s="698">
        <v>45957.554861111108</v>
      </c>
      <c r="M804" t="s">
        <v>565</v>
      </c>
      <c r="N804" t="s">
        <v>565</v>
      </c>
      <c r="O804" t="s">
        <v>566</v>
      </c>
      <c r="P804" t="s">
        <v>567</v>
      </c>
      <c r="S804" t="s">
        <v>567</v>
      </c>
      <c r="T804" t="s">
        <v>567</v>
      </c>
      <c r="Z804" t="s">
        <v>568</v>
      </c>
      <c r="AA804" t="s">
        <v>568</v>
      </c>
    </row>
    <row r="805" spans="1:27">
      <c r="A805" t="s">
        <v>2186</v>
      </c>
      <c r="B805" t="s">
        <v>2193</v>
      </c>
      <c r="C805" t="s">
        <v>562</v>
      </c>
      <c r="D805" t="s">
        <v>562</v>
      </c>
      <c r="E805" t="s">
        <v>2194</v>
      </c>
      <c r="F805" t="s">
        <v>562</v>
      </c>
      <c r="G805" t="s">
        <v>562</v>
      </c>
      <c r="H805" t="s">
        <v>562</v>
      </c>
      <c r="I805">
        <v>5007</v>
      </c>
      <c r="J805" t="s">
        <v>564</v>
      </c>
      <c r="K805" s="698">
        <v>45957.558333333334</v>
      </c>
      <c r="L805" s="698">
        <v>45957.558333333334</v>
      </c>
      <c r="M805" t="s">
        <v>565</v>
      </c>
      <c r="N805" t="s">
        <v>565</v>
      </c>
      <c r="O805" t="s">
        <v>566</v>
      </c>
      <c r="P805" t="s">
        <v>567</v>
      </c>
      <c r="S805" t="s">
        <v>567</v>
      </c>
      <c r="T805" t="s">
        <v>567</v>
      </c>
      <c r="Z805" t="s">
        <v>568</v>
      </c>
      <c r="AA805" t="s">
        <v>568</v>
      </c>
    </row>
    <row r="806" spans="1:27">
      <c r="A806" t="s">
        <v>2195</v>
      </c>
      <c r="B806" t="s">
        <v>2196</v>
      </c>
      <c r="C806" t="s">
        <v>2197</v>
      </c>
      <c r="D806" t="s">
        <v>2198</v>
      </c>
      <c r="E806" t="s">
        <v>562</v>
      </c>
      <c r="F806" t="s">
        <v>562</v>
      </c>
      <c r="G806" t="s">
        <v>562</v>
      </c>
      <c r="H806" t="s">
        <v>562</v>
      </c>
      <c r="I806">
        <v>3524</v>
      </c>
      <c r="J806" t="s">
        <v>564</v>
      </c>
      <c r="K806" s="698">
        <v>45957.412499999999</v>
      </c>
      <c r="L806" s="698">
        <v>45957.412499999999</v>
      </c>
      <c r="M806" t="s">
        <v>565</v>
      </c>
      <c r="N806" t="s">
        <v>565</v>
      </c>
      <c r="O806" t="s">
        <v>566</v>
      </c>
      <c r="P806" t="s">
        <v>567</v>
      </c>
      <c r="S806" t="s">
        <v>567</v>
      </c>
      <c r="T806" t="s">
        <v>567</v>
      </c>
      <c r="Z806" t="s">
        <v>568</v>
      </c>
      <c r="AA806" t="s">
        <v>568</v>
      </c>
    </row>
    <row r="807" spans="1:27">
      <c r="A807" t="s">
        <v>2199</v>
      </c>
      <c r="B807" t="s">
        <v>562</v>
      </c>
      <c r="C807" t="s">
        <v>562</v>
      </c>
      <c r="D807" t="s">
        <v>2200</v>
      </c>
      <c r="E807" t="s">
        <v>2201</v>
      </c>
      <c r="F807" t="s">
        <v>562</v>
      </c>
      <c r="G807" t="s">
        <v>562</v>
      </c>
      <c r="H807" t="s">
        <v>562</v>
      </c>
      <c r="I807">
        <v>4345</v>
      </c>
      <c r="J807" t="s">
        <v>564</v>
      </c>
      <c r="K807" s="698">
        <v>45957.506944444445</v>
      </c>
      <c r="L807" s="698">
        <v>45957.506944444445</v>
      </c>
      <c r="M807" t="s">
        <v>565</v>
      </c>
      <c r="N807" t="s">
        <v>565</v>
      </c>
      <c r="O807" t="s">
        <v>566</v>
      </c>
      <c r="P807" t="s">
        <v>567</v>
      </c>
      <c r="S807" t="s">
        <v>567</v>
      </c>
      <c r="T807" t="s">
        <v>567</v>
      </c>
      <c r="Z807" t="s">
        <v>568</v>
      </c>
      <c r="AA807" t="s">
        <v>568</v>
      </c>
    </row>
    <row r="808" spans="1:27">
      <c r="A808" t="s">
        <v>2202</v>
      </c>
      <c r="B808" t="s">
        <v>662</v>
      </c>
      <c r="C808" t="s">
        <v>663</v>
      </c>
      <c r="D808" t="s">
        <v>562</v>
      </c>
      <c r="E808" t="s">
        <v>2203</v>
      </c>
      <c r="F808" t="s">
        <v>562</v>
      </c>
      <c r="G808" t="s">
        <v>562</v>
      </c>
      <c r="H808" t="s">
        <v>562</v>
      </c>
      <c r="I808">
        <v>4790</v>
      </c>
      <c r="J808" t="s">
        <v>564</v>
      </c>
      <c r="K808" s="698">
        <v>45957.552083333336</v>
      </c>
      <c r="L808" s="698">
        <v>45957.552083333336</v>
      </c>
      <c r="M808" t="s">
        <v>565</v>
      </c>
      <c r="N808" t="s">
        <v>565</v>
      </c>
      <c r="O808" t="s">
        <v>566</v>
      </c>
      <c r="P808" t="s">
        <v>567</v>
      </c>
      <c r="S808" t="s">
        <v>567</v>
      </c>
      <c r="T808" t="s">
        <v>567</v>
      </c>
      <c r="Z808" t="s">
        <v>568</v>
      </c>
      <c r="AA808" t="s">
        <v>568</v>
      </c>
    </row>
    <row r="809" spans="1:27">
      <c r="A809" t="s">
        <v>2204</v>
      </c>
      <c r="B809" t="s">
        <v>2205</v>
      </c>
      <c r="C809" t="s">
        <v>562</v>
      </c>
      <c r="D809" t="s">
        <v>2206</v>
      </c>
      <c r="E809" t="s">
        <v>2207</v>
      </c>
      <c r="F809" t="s">
        <v>562</v>
      </c>
      <c r="G809" t="s">
        <v>562</v>
      </c>
      <c r="H809" t="s">
        <v>562</v>
      </c>
      <c r="I809">
        <v>4309</v>
      </c>
      <c r="J809" t="s">
        <v>564</v>
      </c>
      <c r="K809" s="698">
        <v>45957.50277777778</v>
      </c>
      <c r="L809" s="698">
        <v>45957.50277777778</v>
      </c>
      <c r="M809" t="s">
        <v>565</v>
      </c>
      <c r="N809" t="s">
        <v>565</v>
      </c>
      <c r="O809" t="s">
        <v>566</v>
      </c>
      <c r="P809" t="s">
        <v>567</v>
      </c>
      <c r="S809" t="s">
        <v>567</v>
      </c>
      <c r="T809" t="s">
        <v>567</v>
      </c>
      <c r="Z809" t="s">
        <v>568</v>
      </c>
      <c r="AA809" t="s">
        <v>568</v>
      </c>
    </row>
    <row r="810" spans="1:27">
      <c r="A810" t="s">
        <v>2204</v>
      </c>
      <c r="B810" t="s">
        <v>562</v>
      </c>
      <c r="C810" t="s">
        <v>562</v>
      </c>
      <c r="D810" t="s">
        <v>2206</v>
      </c>
      <c r="E810" t="s">
        <v>2208</v>
      </c>
      <c r="F810" t="s">
        <v>562</v>
      </c>
      <c r="G810" t="s">
        <v>562</v>
      </c>
      <c r="H810" t="s">
        <v>562</v>
      </c>
      <c r="I810">
        <v>4311</v>
      </c>
      <c r="J810" t="s">
        <v>564</v>
      </c>
      <c r="K810" s="698">
        <v>45957.50277777778</v>
      </c>
      <c r="L810" s="698">
        <v>45957.50277777778</v>
      </c>
      <c r="M810" t="s">
        <v>565</v>
      </c>
      <c r="N810" t="s">
        <v>565</v>
      </c>
      <c r="O810" t="s">
        <v>566</v>
      </c>
      <c r="P810" t="s">
        <v>567</v>
      </c>
      <c r="S810" t="s">
        <v>567</v>
      </c>
      <c r="T810" t="s">
        <v>567</v>
      </c>
      <c r="Z810" t="s">
        <v>568</v>
      </c>
      <c r="AA810" t="s">
        <v>568</v>
      </c>
    </row>
    <row r="811" spans="1:27">
      <c r="A811" t="s">
        <v>2204</v>
      </c>
      <c r="B811" t="s">
        <v>2209</v>
      </c>
      <c r="C811" t="s">
        <v>2210</v>
      </c>
      <c r="D811" t="s">
        <v>2206</v>
      </c>
      <c r="E811" t="s">
        <v>2211</v>
      </c>
      <c r="F811" t="s">
        <v>562</v>
      </c>
      <c r="G811" t="s">
        <v>562</v>
      </c>
      <c r="H811" t="s">
        <v>562</v>
      </c>
      <c r="I811">
        <v>4718</v>
      </c>
      <c r="J811" t="s">
        <v>564</v>
      </c>
      <c r="K811" s="698">
        <v>45957.55</v>
      </c>
      <c r="L811" s="698">
        <v>45957.55</v>
      </c>
      <c r="M811" t="s">
        <v>565</v>
      </c>
      <c r="N811" t="s">
        <v>565</v>
      </c>
      <c r="O811" t="s">
        <v>566</v>
      </c>
      <c r="P811" t="s">
        <v>567</v>
      </c>
      <c r="S811" t="s">
        <v>567</v>
      </c>
      <c r="T811" t="s">
        <v>567</v>
      </c>
      <c r="Z811" t="s">
        <v>568</v>
      </c>
      <c r="AA811" t="s">
        <v>568</v>
      </c>
    </row>
    <row r="812" spans="1:27">
      <c r="A812" t="s">
        <v>2204</v>
      </c>
      <c r="B812" t="s">
        <v>2212</v>
      </c>
      <c r="C812" t="s">
        <v>2213</v>
      </c>
      <c r="D812" t="s">
        <v>2206</v>
      </c>
      <c r="E812" t="s">
        <v>2214</v>
      </c>
      <c r="F812" t="s">
        <v>562</v>
      </c>
      <c r="G812" t="s">
        <v>562</v>
      </c>
      <c r="H812" t="s">
        <v>562</v>
      </c>
      <c r="I812">
        <v>4765</v>
      </c>
      <c r="J812" t="s">
        <v>564</v>
      </c>
      <c r="K812" s="698">
        <v>45957.551388888889</v>
      </c>
      <c r="L812" s="698">
        <v>45957.551388888889</v>
      </c>
      <c r="M812" t="s">
        <v>565</v>
      </c>
      <c r="N812" t="s">
        <v>565</v>
      </c>
      <c r="O812" t="s">
        <v>566</v>
      </c>
      <c r="P812" t="s">
        <v>567</v>
      </c>
      <c r="S812" t="s">
        <v>567</v>
      </c>
      <c r="T812" t="s">
        <v>567</v>
      </c>
      <c r="Z812" t="s">
        <v>568</v>
      </c>
      <c r="AA812" t="s">
        <v>568</v>
      </c>
    </row>
    <row r="813" spans="1:27">
      <c r="A813" t="s">
        <v>2204</v>
      </c>
      <c r="B813" t="s">
        <v>2212</v>
      </c>
      <c r="C813" t="s">
        <v>2215</v>
      </c>
      <c r="D813" t="s">
        <v>2206</v>
      </c>
      <c r="E813" t="s">
        <v>2216</v>
      </c>
      <c r="F813" t="s">
        <v>562</v>
      </c>
      <c r="G813" t="s">
        <v>562</v>
      </c>
      <c r="H813" t="s">
        <v>562</v>
      </c>
      <c r="I813">
        <v>4779</v>
      </c>
      <c r="J813" t="s">
        <v>564</v>
      </c>
      <c r="K813" s="698">
        <v>45957.551388888889</v>
      </c>
      <c r="L813" s="698">
        <v>45957.551388888889</v>
      </c>
      <c r="M813" t="s">
        <v>565</v>
      </c>
      <c r="N813" t="s">
        <v>565</v>
      </c>
      <c r="O813" t="s">
        <v>566</v>
      </c>
      <c r="P813" t="s">
        <v>567</v>
      </c>
      <c r="S813" t="s">
        <v>567</v>
      </c>
      <c r="T813" t="s">
        <v>567</v>
      </c>
      <c r="Z813" t="s">
        <v>568</v>
      </c>
      <c r="AA813" t="s">
        <v>568</v>
      </c>
    </row>
    <row r="814" spans="1:27">
      <c r="A814" t="s">
        <v>2204</v>
      </c>
      <c r="B814" t="s">
        <v>562</v>
      </c>
      <c r="C814" t="s">
        <v>562</v>
      </c>
      <c r="D814" t="s">
        <v>2206</v>
      </c>
      <c r="E814" t="s">
        <v>2217</v>
      </c>
      <c r="F814" t="s">
        <v>562</v>
      </c>
      <c r="G814" t="s">
        <v>562</v>
      </c>
      <c r="H814" t="s">
        <v>562</v>
      </c>
      <c r="I814">
        <v>5034</v>
      </c>
      <c r="J814" t="s">
        <v>564</v>
      </c>
      <c r="K814" s="698">
        <v>45957.55972222222</v>
      </c>
      <c r="L814" s="698">
        <v>45957.55972222222</v>
      </c>
      <c r="M814" t="s">
        <v>565</v>
      </c>
      <c r="N814" t="s">
        <v>565</v>
      </c>
      <c r="O814" t="s">
        <v>566</v>
      </c>
      <c r="P814" t="s">
        <v>567</v>
      </c>
      <c r="S814" t="s">
        <v>567</v>
      </c>
      <c r="T814" t="s">
        <v>567</v>
      </c>
      <c r="Z814" t="s">
        <v>568</v>
      </c>
      <c r="AA814" t="s">
        <v>568</v>
      </c>
    </row>
    <row r="815" spans="1:27">
      <c r="A815" t="s">
        <v>2204</v>
      </c>
      <c r="B815" t="s">
        <v>2212</v>
      </c>
      <c r="C815" t="s">
        <v>2213</v>
      </c>
      <c r="D815" t="s">
        <v>2206</v>
      </c>
      <c r="E815" t="s">
        <v>2218</v>
      </c>
      <c r="F815" t="s">
        <v>562</v>
      </c>
      <c r="G815" t="s">
        <v>562</v>
      </c>
      <c r="H815" t="s">
        <v>562</v>
      </c>
      <c r="I815">
        <v>5121</v>
      </c>
      <c r="J815" t="s">
        <v>564</v>
      </c>
      <c r="K815" s="698">
        <v>45957.561805555553</v>
      </c>
      <c r="L815" s="698">
        <v>45957.561805555553</v>
      </c>
      <c r="M815" t="s">
        <v>565</v>
      </c>
      <c r="N815" t="s">
        <v>565</v>
      </c>
      <c r="O815" t="s">
        <v>566</v>
      </c>
      <c r="P815" t="s">
        <v>567</v>
      </c>
      <c r="S815" t="s">
        <v>567</v>
      </c>
      <c r="T815" t="s">
        <v>567</v>
      </c>
      <c r="Z815" t="s">
        <v>568</v>
      </c>
      <c r="AA815" t="s">
        <v>568</v>
      </c>
    </row>
    <row r="816" spans="1:27">
      <c r="A816" t="s">
        <v>2219</v>
      </c>
      <c r="B816" t="s">
        <v>2219</v>
      </c>
      <c r="C816" t="s">
        <v>562</v>
      </c>
      <c r="D816" t="s">
        <v>2220</v>
      </c>
      <c r="E816" t="s">
        <v>2221</v>
      </c>
      <c r="F816" t="s">
        <v>562</v>
      </c>
      <c r="G816" t="s">
        <v>562</v>
      </c>
      <c r="H816" t="s">
        <v>562</v>
      </c>
      <c r="I816">
        <v>3718</v>
      </c>
      <c r="J816" t="s">
        <v>564</v>
      </c>
      <c r="K816" s="698">
        <v>45957.433333333334</v>
      </c>
      <c r="L816" s="698">
        <v>45957.433333333334</v>
      </c>
      <c r="M816" t="s">
        <v>565</v>
      </c>
      <c r="N816" t="s">
        <v>565</v>
      </c>
      <c r="O816" t="s">
        <v>566</v>
      </c>
      <c r="P816" t="s">
        <v>567</v>
      </c>
      <c r="S816" t="s">
        <v>567</v>
      </c>
      <c r="T816" t="s">
        <v>567</v>
      </c>
      <c r="Z816" t="s">
        <v>568</v>
      </c>
      <c r="AA816" t="s">
        <v>568</v>
      </c>
    </row>
    <row r="817" spans="1:27">
      <c r="A817" t="s">
        <v>2222</v>
      </c>
      <c r="B817" t="s">
        <v>562</v>
      </c>
      <c r="C817" t="s">
        <v>562</v>
      </c>
      <c r="D817" t="s">
        <v>2223</v>
      </c>
      <c r="E817" t="s">
        <v>2224</v>
      </c>
      <c r="F817" t="s">
        <v>562</v>
      </c>
      <c r="G817" t="s">
        <v>562</v>
      </c>
      <c r="H817" t="s">
        <v>562</v>
      </c>
      <c r="I817">
        <v>3807</v>
      </c>
      <c r="J817" t="s">
        <v>564</v>
      </c>
      <c r="K817" s="698">
        <v>45957.442361111112</v>
      </c>
      <c r="L817" s="698">
        <v>45957.442361111112</v>
      </c>
      <c r="M817" t="s">
        <v>565</v>
      </c>
      <c r="N817" t="s">
        <v>565</v>
      </c>
      <c r="O817" t="s">
        <v>566</v>
      </c>
      <c r="P817" t="s">
        <v>567</v>
      </c>
      <c r="S817" t="s">
        <v>567</v>
      </c>
      <c r="T817" t="s">
        <v>567</v>
      </c>
      <c r="Z817" t="s">
        <v>568</v>
      </c>
      <c r="AA817" t="s">
        <v>568</v>
      </c>
    </row>
    <row r="818" spans="1:27">
      <c r="A818" t="s">
        <v>2222</v>
      </c>
      <c r="B818" t="s">
        <v>562</v>
      </c>
      <c r="C818" t="s">
        <v>562</v>
      </c>
      <c r="D818" t="s">
        <v>2223</v>
      </c>
      <c r="E818" t="s">
        <v>2225</v>
      </c>
      <c r="F818" t="s">
        <v>562</v>
      </c>
      <c r="G818" t="s">
        <v>562</v>
      </c>
      <c r="H818" t="s">
        <v>562</v>
      </c>
      <c r="I818">
        <v>4583</v>
      </c>
      <c r="J818" t="s">
        <v>564</v>
      </c>
      <c r="K818" s="698">
        <v>45957.536111111112</v>
      </c>
      <c r="L818" s="698">
        <v>45957.536111111112</v>
      </c>
      <c r="M818" t="s">
        <v>565</v>
      </c>
      <c r="N818" t="s">
        <v>565</v>
      </c>
      <c r="O818" t="s">
        <v>566</v>
      </c>
      <c r="P818" t="s">
        <v>567</v>
      </c>
      <c r="S818" t="s">
        <v>567</v>
      </c>
      <c r="T818" t="s">
        <v>567</v>
      </c>
      <c r="Z818" t="s">
        <v>568</v>
      </c>
      <c r="AA818" t="s">
        <v>568</v>
      </c>
    </row>
    <row r="819" spans="1:27">
      <c r="A819" t="s">
        <v>2222</v>
      </c>
      <c r="B819" t="s">
        <v>2226</v>
      </c>
      <c r="C819" t="s">
        <v>2227</v>
      </c>
      <c r="D819" t="s">
        <v>2228</v>
      </c>
      <c r="E819" t="s">
        <v>2229</v>
      </c>
      <c r="F819" t="s">
        <v>562</v>
      </c>
      <c r="G819" t="s">
        <v>562</v>
      </c>
      <c r="H819" t="s">
        <v>562</v>
      </c>
      <c r="I819">
        <v>5135</v>
      </c>
      <c r="J819" t="s">
        <v>564</v>
      </c>
      <c r="K819" s="698">
        <v>45957.5625</v>
      </c>
      <c r="L819" s="698">
        <v>45957.5625</v>
      </c>
      <c r="M819" t="s">
        <v>565</v>
      </c>
      <c r="N819" t="s">
        <v>565</v>
      </c>
      <c r="O819" t="s">
        <v>566</v>
      </c>
      <c r="P819" t="s">
        <v>567</v>
      </c>
      <c r="S819" t="s">
        <v>567</v>
      </c>
      <c r="T819" t="s">
        <v>567</v>
      </c>
      <c r="Z819" t="s">
        <v>568</v>
      </c>
      <c r="AA819" t="s">
        <v>568</v>
      </c>
    </row>
    <row r="820" spans="1:27">
      <c r="A820" t="s">
        <v>2222</v>
      </c>
      <c r="B820" t="s">
        <v>562</v>
      </c>
      <c r="C820" t="s">
        <v>562</v>
      </c>
      <c r="D820" t="s">
        <v>2223</v>
      </c>
      <c r="E820" t="s">
        <v>2230</v>
      </c>
      <c r="F820" t="s">
        <v>562</v>
      </c>
      <c r="G820" t="s">
        <v>562</v>
      </c>
      <c r="H820" t="s">
        <v>562</v>
      </c>
      <c r="I820">
        <v>5139</v>
      </c>
      <c r="J820" t="s">
        <v>564</v>
      </c>
      <c r="K820" s="698">
        <v>45957.5625</v>
      </c>
      <c r="L820" s="698">
        <v>45957.5625</v>
      </c>
      <c r="M820" t="s">
        <v>565</v>
      </c>
      <c r="N820" t="s">
        <v>565</v>
      </c>
      <c r="O820" t="s">
        <v>566</v>
      </c>
      <c r="P820" t="s">
        <v>567</v>
      </c>
      <c r="S820" t="s">
        <v>567</v>
      </c>
      <c r="T820" t="s">
        <v>567</v>
      </c>
      <c r="Z820" t="s">
        <v>568</v>
      </c>
      <c r="AA820" t="s">
        <v>568</v>
      </c>
    </row>
    <row r="821" spans="1:27">
      <c r="A821" t="s">
        <v>2231</v>
      </c>
      <c r="B821" t="s">
        <v>2232</v>
      </c>
      <c r="C821" t="s">
        <v>2233</v>
      </c>
      <c r="D821" t="s">
        <v>562</v>
      </c>
      <c r="E821" t="s">
        <v>2234</v>
      </c>
      <c r="F821" t="s">
        <v>562</v>
      </c>
      <c r="G821" t="s">
        <v>562</v>
      </c>
      <c r="H821" t="s">
        <v>562</v>
      </c>
      <c r="I821">
        <v>4556</v>
      </c>
      <c r="J821" t="s">
        <v>564</v>
      </c>
      <c r="K821" s="698">
        <v>45957.532638888886</v>
      </c>
      <c r="L821" s="698">
        <v>45957.532638888886</v>
      </c>
      <c r="M821" t="s">
        <v>565</v>
      </c>
      <c r="N821" t="s">
        <v>565</v>
      </c>
      <c r="O821" t="s">
        <v>566</v>
      </c>
      <c r="P821" t="s">
        <v>567</v>
      </c>
      <c r="S821" t="s">
        <v>567</v>
      </c>
      <c r="T821" t="s">
        <v>567</v>
      </c>
      <c r="Z821" t="s">
        <v>568</v>
      </c>
      <c r="AA821" t="s">
        <v>568</v>
      </c>
    </row>
    <row r="822" spans="1:27">
      <c r="A822" t="s">
        <v>2231</v>
      </c>
      <c r="B822" t="s">
        <v>2235</v>
      </c>
      <c r="C822" t="s">
        <v>2233</v>
      </c>
      <c r="D822" t="s">
        <v>562</v>
      </c>
      <c r="E822" t="s">
        <v>2236</v>
      </c>
      <c r="F822" t="s">
        <v>562</v>
      </c>
      <c r="G822" t="s">
        <v>562</v>
      </c>
      <c r="H822" t="s">
        <v>562</v>
      </c>
      <c r="I822">
        <v>4722</v>
      </c>
      <c r="J822" t="s">
        <v>564</v>
      </c>
      <c r="K822" s="698">
        <v>45957.55</v>
      </c>
      <c r="L822" s="698">
        <v>45957.55</v>
      </c>
      <c r="M822" t="s">
        <v>565</v>
      </c>
      <c r="N822" t="s">
        <v>565</v>
      </c>
      <c r="O822" t="s">
        <v>566</v>
      </c>
      <c r="P822" t="s">
        <v>567</v>
      </c>
      <c r="S822" t="s">
        <v>567</v>
      </c>
      <c r="T822" t="s">
        <v>567</v>
      </c>
      <c r="Z822" t="s">
        <v>568</v>
      </c>
      <c r="AA822" t="s">
        <v>568</v>
      </c>
    </row>
    <row r="823" spans="1:27">
      <c r="A823" t="s">
        <v>2231</v>
      </c>
      <c r="B823" t="s">
        <v>2235</v>
      </c>
      <c r="C823" t="s">
        <v>2233</v>
      </c>
      <c r="D823" t="s">
        <v>562</v>
      </c>
      <c r="E823" t="s">
        <v>2237</v>
      </c>
      <c r="F823" t="s">
        <v>562</v>
      </c>
      <c r="G823" t="s">
        <v>562</v>
      </c>
      <c r="H823" t="s">
        <v>562</v>
      </c>
      <c r="I823">
        <v>5166</v>
      </c>
      <c r="J823" t="s">
        <v>564</v>
      </c>
      <c r="K823" s="698">
        <v>45957.563194444447</v>
      </c>
      <c r="L823" s="698">
        <v>45957.563194444447</v>
      </c>
      <c r="M823" t="s">
        <v>565</v>
      </c>
      <c r="N823" t="s">
        <v>565</v>
      </c>
      <c r="O823" t="s">
        <v>566</v>
      </c>
      <c r="P823" t="s">
        <v>567</v>
      </c>
      <c r="S823" t="s">
        <v>567</v>
      </c>
      <c r="T823" t="s">
        <v>567</v>
      </c>
      <c r="Z823" t="s">
        <v>568</v>
      </c>
      <c r="AA823" t="s">
        <v>568</v>
      </c>
    </row>
    <row r="824" spans="1:27">
      <c r="A824" t="s">
        <v>2238</v>
      </c>
      <c r="B824" t="s">
        <v>562</v>
      </c>
      <c r="C824" t="s">
        <v>562</v>
      </c>
      <c r="D824" t="s">
        <v>2239</v>
      </c>
      <c r="E824" t="s">
        <v>2240</v>
      </c>
      <c r="F824" t="s">
        <v>562</v>
      </c>
      <c r="G824" t="s">
        <v>562</v>
      </c>
      <c r="H824" t="s">
        <v>562</v>
      </c>
      <c r="I824">
        <v>3722</v>
      </c>
      <c r="J824" t="s">
        <v>564</v>
      </c>
      <c r="K824" s="698">
        <v>45957.433333333334</v>
      </c>
      <c r="L824" s="698">
        <v>45957.433333333334</v>
      </c>
      <c r="M824" t="s">
        <v>565</v>
      </c>
      <c r="N824" t="s">
        <v>565</v>
      </c>
      <c r="O824" t="s">
        <v>566</v>
      </c>
      <c r="P824" t="s">
        <v>567</v>
      </c>
      <c r="S824" t="s">
        <v>567</v>
      </c>
      <c r="T824" t="s">
        <v>567</v>
      </c>
      <c r="Z824" t="s">
        <v>568</v>
      </c>
      <c r="AA824" t="s">
        <v>568</v>
      </c>
    </row>
    <row r="825" spans="1:27">
      <c r="A825" t="s">
        <v>2241</v>
      </c>
      <c r="B825" t="s">
        <v>562</v>
      </c>
      <c r="C825" t="s">
        <v>562</v>
      </c>
      <c r="D825" t="s">
        <v>2242</v>
      </c>
      <c r="E825" t="s">
        <v>2243</v>
      </c>
      <c r="F825" t="s">
        <v>562</v>
      </c>
      <c r="G825" t="s">
        <v>562</v>
      </c>
      <c r="H825" t="s">
        <v>562</v>
      </c>
      <c r="I825">
        <v>3590</v>
      </c>
      <c r="J825" t="s">
        <v>564</v>
      </c>
      <c r="K825" s="698">
        <v>45957.419444444444</v>
      </c>
      <c r="L825" s="698">
        <v>45957.419444444444</v>
      </c>
      <c r="M825" t="s">
        <v>565</v>
      </c>
      <c r="N825" t="s">
        <v>565</v>
      </c>
      <c r="O825" t="s">
        <v>566</v>
      </c>
      <c r="P825" t="s">
        <v>567</v>
      </c>
      <c r="S825" t="s">
        <v>567</v>
      </c>
      <c r="T825" t="s">
        <v>567</v>
      </c>
      <c r="Z825" t="s">
        <v>568</v>
      </c>
      <c r="AA825" t="s">
        <v>568</v>
      </c>
    </row>
    <row r="826" spans="1:27">
      <c r="A826" t="s">
        <v>2241</v>
      </c>
      <c r="B826" t="s">
        <v>562</v>
      </c>
      <c r="C826" t="s">
        <v>562</v>
      </c>
      <c r="D826" t="s">
        <v>2242</v>
      </c>
      <c r="E826" t="s">
        <v>2244</v>
      </c>
      <c r="F826" t="s">
        <v>562</v>
      </c>
      <c r="G826" t="s">
        <v>562</v>
      </c>
      <c r="H826" t="s">
        <v>562</v>
      </c>
      <c r="I826">
        <v>3632</v>
      </c>
      <c r="J826" t="s">
        <v>564</v>
      </c>
      <c r="K826" s="698">
        <v>45957.423611111109</v>
      </c>
      <c r="L826" s="698">
        <v>45957.423611111109</v>
      </c>
      <c r="M826" t="s">
        <v>565</v>
      </c>
      <c r="N826" t="s">
        <v>565</v>
      </c>
      <c r="O826" t="s">
        <v>566</v>
      </c>
      <c r="P826" t="s">
        <v>567</v>
      </c>
      <c r="S826" t="s">
        <v>567</v>
      </c>
      <c r="T826" t="s">
        <v>567</v>
      </c>
      <c r="Z826" t="s">
        <v>568</v>
      </c>
      <c r="AA826" t="s">
        <v>568</v>
      </c>
    </row>
    <row r="827" spans="1:27">
      <c r="A827" t="s">
        <v>2241</v>
      </c>
      <c r="B827" t="s">
        <v>562</v>
      </c>
      <c r="C827" t="s">
        <v>562</v>
      </c>
      <c r="D827" t="s">
        <v>2242</v>
      </c>
      <c r="E827" t="s">
        <v>2245</v>
      </c>
      <c r="F827" t="s">
        <v>562</v>
      </c>
      <c r="G827" t="s">
        <v>562</v>
      </c>
      <c r="H827" t="s">
        <v>562</v>
      </c>
      <c r="I827">
        <v>3658</v>
      </c>
      <c r="J827" t="s">
        <v>564</v>
      </c>
      <c r="K827" s="698">
        <v>45957.426388888889</v>
      </c>
      <c r="L827" s="698">
        <v>45957.426388888889</v>
      </c>
      <c r="M827" t="s">
        <v>565</v>
      </c>
      <c r="N827" t="s">
        <v>565</v>
      </c>
      <c r="O827" t="s">
        <v>566</v>
      </c>
      <c r="P827" t="s">
        <v>567</v>
      </c>
      <c r="S827" t="s">
        <v>567</v>
      </c>
      <c r="T827" t="s">
        <v>567</v>
      </c>
      <c r="Z827" t="s">
        <v>568</v>
      </c>
      <c r="AA827" t="s">
        <v>568</v>
      </c>
    </row>
    <row r="828" spans="1:27">
      <c r="A828" t="s">
        <v>2241</v>
      </c>
      <c r="B828" t="s">
        <v>562</v>
      </c>
      <c r="C828" t="s">
        <v>562</v>
      </c>
      <c r="D828" t="s">
        <v>2242</v>
      </c>
      <c r="E828" t="s">
        <v>2246</v>
      </c>
      <c r="F828" t="s">
        <v>562</v>
      </c>
      <c r="G828" t="s">
        <v>562</v>
      </c>
      <c r="H828" t="s">
        <v>562</v>
      </c>
      <c r="I828">
        <v>3670</v>
      </c>
      <c r="J828" t="s">
        <v>564</v>
      </c>
      <c r="K828" s="698">
        <v>45957.427777777775</v>
      </c>
      <c r="L828" s="698">
        <v>45957.427777777775</v>
      </c>
      <c r="M828" t="s">
        <v>565</v>
      </c>
      <c r="N828" t="s">
        <v>565</v>
      </c>
      <c r="O828" t="s">
        <v>566</v>
      </c>
      <c r="P828" t="s">
        <v>567</v>
      </c>
      <c r="S828" t="s">
        <v>567</v>
      </c>
      <c r="T828" t="s">
        <v>567</v>
      </c>
      <c r="Z828" t="s">
        <v>568</v>
      </c>
      <c r="AA828" t="s">
        <v>568</v>
      </c>
    </row>
    <row r="829" spans="1:27">
      <c r="A829" t="s">
        <v>2241</v>
      </c>
      <c r="B829" t="s">
        <v>562</v>
      </c>
      <c r="C829" t="s">
        <v>562</v>
      </c>
      <c r="D829" t="s">
        <v>2242</v>
      </c>
      <c r="E829" t="s">
        <v>2247</v>
      </c>
      <c r="F829" t="s">
        <v>562</v>
      </c>
      <c r="G829" t="s">
        <v>562</v>
      </c>
      <c r="H829" t="s">
        <v>562</v>
      </c>
      <c r="I829">
        <v>3679</v>
      </c>
      <c r="J829" t="s">
        <v>564</v>
      </c>
      <c r="K829" s="698">
        <v>45957.428472222222</v>
      </c>
      <c r="L829" s="698">
        <v>45957.428472222222</v>
      </c>
      <c r="M829" t="s">
        <v>565</v>
      </c>
      <c r="N829" t="s">
        <v>565</v>
      </c>
      <c r="O829" t="s">
        <v>566</v>
      </c>
      <c r="P829" t="s">
        <v>567</v>
      </c>
      <c r="S829" t="s">
        <v>567</v>
      </c>
      <c r="T829" t="s">
        <v>567</v>
      </c>
      <c r="Z829" t="s">
        <v>568</v>
      </c>
      <c r="AA829" t="s">
        <v>568</v>
      </c>
    </row>
    <row r="830" spans="1:27">
      <c r="A830" t="s">
        <v>2241</v>
      </c>
      <c r="B830" t="s">
        <v>2248</v>
      </c>
      <c r="C830" t="s">
        <v>2249</v>
      </c>
      <c r="D830" t="s">
        <v>2242</v>
      </c>
      <c r="E830" t="s">
        <v>2250</v>
      </c>
      <c r="F830" t="s">
        <v>562</v>
      </c>
      <c r="G830" t="s">
        <v>562</v>
      </c>
      <c r="H830" t="s">
        <v>562</v>
      </c>
      <c r="I830">
        <v>3817</v>
      </c>
      <c r="J830" t="s">
        <v>564</v>
      </c>
      <c r="K830" s="698">
        <v>45957.443749999999</v>
      </c>
      <c r="L830" s="698">
        <v>45957.443749999999</v>
      </c>
      <c r="M830" t="s">
        <v>565</v>
      </c>
      <c r="N830" t="s">
        <v>565</v>
      </c>
      <c r="O830" t="s">
        <v>566</v>
      </c>
      <c r="P830" t="s">
        <v>567</v>
      </c>
      <c r="S830" t="s">
        <v>567</v>
      </c>
      <c r="T830" t="s">
        <v>567</v>
      </c>
      <c r="Z830" t="s">
        <v>568</v>
      </c>
      <c r="AA830" t="s">
        <v>568</v>
      </c>
    </row>
    <row r="831" spans="1:27">
      <c r="A831" t="s">
        <v>2241</v>
      </c>
      <c r="B831" t="s">
        <v>562</v>
      </c>
      <c r="C831" t="s">
        <v>562</v>
      </c>
      <c r="D831" t="s">
        <v>2242</v>
      </c>
      <c r="E831" t="s">
        <v>2251</v>
      </c>
      <c r="F831" t="s">
        <v>562</v>
      </c>
      <c r="G831" t="s">
        <v>562</v>
      </c>
      <c r="H831" t="s">
        <v>562</v>
      </c>
      <c r="I831">
        <v>3818</v>
      </c>
      <c r="J831" t="s">
        <v>564</v>
      </c>
      <c r="K831" s="698">
        <v>45957.443749999999</v>
      </c>
      <c r="L831" s="698">
        <v>45957.443749999999</v>
      </c>
      <c r="M831" t="s">
        <v>565</v>
      </c>
      <c r="N831" t="s">
        <v>565</v>
      </c>
      <c r="O831" t="s">
        <v>566</v>
      </c>
      <c r="P831" t="s">
        <v>567</v>
      </c>
      <c r="S831" t="s">
        <v>567</v>
      </c>
      <c r="T831" t="s">
        <v>567</v>
      </c>
      <c r="Z831" t="s">
        <v>568</v>
      </c>
      <c r="AA831" t="s">
        <v>568</v>
      </c>
    </row>
    <row r="832" spans="1:27">
      <c r="A832" t="s">
        <v>2241</v>
      </c>
      <c r="B832" t="s">
        <v>562</v>
      </c>
      <c r="C832" t="s">
        <v>562</v>
      </c>
      <c r="D832" t="s">
        <v>2242</v>
      </c>
      <c r="E832" t="s">
        <v>2252</v>
      </c>
      <c r="F832" t="s">
        <v>562</v>
      </c>
      <c r="G832" t="s">
        <v>562</v>
      </c>
      <c r="H832" t="s">
        <v>562</v>
      </c>
      <c r="I832">
        <v>3978</v>
      </c>
      <c r="J832" t="s">
        <v>564</v>
      </c>
      <c r="K832" s="698">
        <v>45957.461805555555</v>
      </c>
      <c r="L832" s="698">
        <v>45957.461805555555</v>
      </c>
      <c r="M832" t="s">
        <v>565</v>
      </c>
      <c r="N832" t="s">
        <v>565</v>
      </c>
      <c r="O832" t="s">
        <v>566</v>
      </c>
      <c r="P832" t="s">
        <v>567</v>
      </c>
      <c r="S832" t="s">
        <v>567</v>
      </c>
      <c r="T832" t="s">
        <v>567</v>
      </c>
      <c r="Z832" t="s">
        <v>568</v>
      </c>
      <c r="AA832" t="s">
        <v>568</v>
      </c>
    </row>
    <row r="833" spans="1:27">
      <c r="A833" t="s">
        <v>2241</v>
      </c>
      <c r="B833" t="s">
        <v>562</v>
      </c>
      <c r="C833" t="s">
        <v>562</v>
      </c>
      <c r="D833" t="s">
        <v>2242</v>
      </c>
      <c r="E833" t="s">
        <v>2253</v>
      </c>
      <c r="F833" t="s">
        <v>562</v>
      </c>
      <c r="G833" t="s">
        <v>562</v>
      </c>
      <c r="H833" t="s">
        <v>562</v>
      </c>
      <c r="I833">
        <v>4019</v>
      </c>
      <c r="J833" t="s">
        <v>564</v>
      </c>
      <c r="K833" s="698">
        <v>45957.466666666667</v>
      </c>
      <c r="L833" s="698">
        <v>45957.466666666667</v>
      </c>
      <c r="M833" t="s">
        <v>565</v>
      </c>
      <c r="N833" t="s">
        <v>565</v>
      </c>
      <c r="O833" t="s">
        <v>566</v>
      </c>
      <c r="P833" t="s">
        <v>567</v>
      </c>
      <c r="S833" t="s">
        <v>567</v>
      </c>
      <c r="T833" t="s">
        <v>567</v>
      </c>
      <c r="Z833" t="s">
        <v>568</v>
      </c>
      <c r="AA833" t="s">
        <v>568</v>
      </c>
    </row>
    <row r="834" spans="1:27">
      <c r="A834" t="s">
        <v>2241</v>
      </c>
      <c r="B834" t="s">
        <v>562</v>
      </c>
      <c r="C834" t="s">
        <v>562</v>
      </c>
      <c r="D834" t="s">
        <v>2242</v>
      </c>
      <c r="E834" t="s">
        <v>2254</v>
      </c>
      <c r="F834" t="s">
        <v>562</v>
      </c>
      <c r="G834" t="s">
        <v>562</v>
      </c>
      <c r="H834" t="s">
        <v>562</v>
      </c>
      <c r="I834">
        <v>4110</v>
      </c>
      <c r="J834" t="s">
        <v>564</v>
      </c>
      <c r="K834" s="698">
        <v>45957.477777777778</v>
      </c>
      <c r="L834" s="698">
        <v>45957.477777777778</v>
      </c>
      <c r="M834" t="s">
        <v>565</v>
      </c>
      <c r="N834" t="s">
        <v>565</v>
      </c>
      <c r="O834" t="s">
        <v>566</v>
      </c>
      <c r="P834" t="s">
        <v>567</v>
      </c>
      <c r="S834" t="s">
        <v>567</v>
      </c>
      <c r="T834" t="s">
        <v>567</v>
      </c>
      <c r="Z834" t="s">
        <v>568</v>
      </c>
      <c r="AA834" t="s">
        <v>568</v>
      </c>
    </row>
    <row r="835" spans="1:27">
      <c r="A835" t="s">
        <v>2241</v>
      </c>
      <c r="B835" t="s">
        <v>562</v>
      </c>
      <c r="C835" t="s">
        <v>562</v>
      </c>
      <c r="D835" t="s">
        <v>2242</v>
      </c>
      <c r="E835" t="s">
        <v>2255</v>
      </c>
      <c r="F835" t="s">
        <v>562</v>
      </c>
      <c r="G835" t="s">
        <v>562</v>
      </c>
      <c r="H835" t="s">
        <v>562</v>
      </c>
      <c r="I835">
        <v>4199</v>
      </c>
      <c r="J835" t="s">
        <v>564</v>
      </c>
      <c r="K835" s="698">
        <v>45957.488194444442</v>
      </c>
      <c r="L835" s="698">
        <v>45957.488194444442</v>
      </c>
      <c r="M835" t="s">
        <v>565</v>
      </c>
      <c r="N835" t="s">
        <v>565</v>
      </c>
      <c r="O835" t="s">
        <v>566</v>
      </c>
      <c r="P835" t="s">
        <v>567</v>
      </c>
      <c r="S835" t="s">
        <v>567</v>
      </c>
      <c r="T835" t="s">
        <v>567</v>
      </c>
      <c r="Z835" t="s">
        <v>568</v>
      </c>
      <c r="AA835" t="s">
        <v>568</v>
      </c>
    </row>
    <row r="836" spans="1:27">
      <c r="A836" t="s">
        <v>2241</v>
      </c>
      <c r="B836" t="s">
        <v>562</v>
      </c>
      <c r="C836" t="s">
        <v>562</v>
      </c>
      <c r="D836" t="s">
        <v>2242</v>
      </c>
      <c r="E836" t="s">
        <v>2256</v>
      </c>
      <c r="F836" t="s">
        <v>562</v>
      </c>
      <c r="G836" t="s">
        <v>562</v>
      </c>
      <c r="H836" t="s">
        <v>562</v>
      </c>
      <c r="I836">
        <v>4290</v>
      </c>
      <c r="J836" t="s">
        <v>564</v>
      </c>
      <c r="K836" s="698">
        <v>45957.5</v>
      </c>
      <c r="L836" s="698">
        <v>45957.5</v>
      </c>
      <c r="M836" t="s">
        <v>565</v>
      </c>
      <c r="N836" t="s">
        <v>565</v>
      </c>
      <c r="O836" t="s">
        <v>566</v>
      </c>
      <c r="P836" t="s">
        <v>567</v>
      </c>
      <c r="S836" t="s">
        <v>567</v>
      </c>
      <c r="T836" t="s">
        <v>567</v>
      </c>
      <c r="Z836" t="s">
        <v>568</v>
      </c>
      <c r="AA836" t="s">
        <v>568</v>
      </c>
    </row>
    <row r="837" spans="1:27">
      <c r="A837" t="s">
        <v>2241</v>
      </c>
      <c r="B837" t="s">
        <v>562</v>
      </c>
      <c r="C837" t="s">
        <v>562</v>
      </c>
      <c r="D837" t="s">
        <v>2242</v>
      </c>
      <c r="E837" t="s">
        <v>2257</v>
      </c>
      <c r="F837" t="s">
        <v>562</v>
      </c>
      <c r="G837" t="s">
        <v>562</v>
      </c>
      <c r="H837" t="s">
        <v>562</v>
      </c>
      <c r="I837">
        <v>4365</v>
      </c>
      <c r="J837" t="s">
        <v>564</v>
      </c>
      <c r="K837" s="698">
        <v>45957.509722222225</v>
      </c>
      <c r="L837" s="698">
        <v>45957.509722222225</v>
      </c>
      <c r="M837" t="s">
        <v>565</v>
      </c>
      <c r="N837" t="s">
        <v>565</v>
      </c>
      <c r="O837" t="s">
        <v>566</v>
      </c>
      <c r="P837" t="s">
        <v>567</v>
      </c>
      <c r="S837" t="s">
        <v>567</v>
      </c>
      <c r="T837" t="s">
        <v>567</v>
      </c>
      <c r="Z837" t="s">
        <v>568</v>
      </c>
      <c r="AA837" t="s">
        <v>568</v>
      </c>
    </row>
    <row r="838" spans="1:27">
      <c r="A838" t="s">
        <v>2241</v>
      </c>
      <c r="B838" t="s">
        <v>2258</v>
      </c>
      <c r="C838" t="s">
        <v>562</v>
      </c>
      <c r="D838" t="s">
        <v>2242</v>
      </c>
      <c r="E838" t="s">
        <v>2259</v>
      </c>
      <c r="F838" t="s">
        <v>562</v>
      </c>
      <c r="G838" t="s">
        <v>562</v>
      </c>
      <c r="H838" t="s">
        <v>562</v>
      </c>
      <c r="I838">
        <v>4373</v>
      </c>
      <c r="J838" t="s">
        <v>564</v>
      </c>
      <c r="K838" s="698">
        <v>45957.510416666664</v>
      </c>
      <c r="L838" s="698">
        <v>45957.510416666664</v>
      </c>
      <c r="M838" t="s">
        <v>565</v>
      </c>
      <c r="N838" t="s">
        <v>565</v>
      </c>
      <c r="O838" t="s">
        <v>566</v>
      </c>
      <c r="P838" t="s">
        <v>567</v>
      </c>
      <c r="S838" t="s">
        <v>567</v>
      </c>
      <c r="T838" t="s">
        <v>567</v>
      </c>
      <c r="Z838" t="s">
        <v>568</v>
      </c>
      <c r="AA838" t="s">
        <v>568</v>
      </c>
    </row>
    <row r="839" spans="1:27">
      <c r="A839" t="s">
        <v>2241</v>
      </c>
      <c r="B839" t="s">
        <v>562</v>
      </c>
      <c r="C839" t="s">
        <v>562</v>
      </c>
      <c r="D839" t="s">
        <v>2242</v>
      </c>
      <c r="E839" t="s">
        <v>2260</v>
      </c>
      <c r="F839" t="s">
        <v>562</v>
      </c>
      <c r="G839" t="s">
        <v>562</v>
      </c>
      <c r="H839" t="s">
        <v>562</v>
      </c>
      <c r="I839">
        <v>4385</v>
      </c>
      <c r="J839" t="s">
        <v>564</v>
      </c>
      <c r="K839" s="698">
        <v>45957.511805555558</v>
      </c>
      <c r="L839" s="698">
        <v>45957.511805555558</v>
      </c>
      <c r="M839" t="s">
        <v>565</v>
      </c>
      <c r="N839" t="s">
        <v>565</v>
      </c>
      <c r="O839" t="s">
        <v>566</v>
      </c>
      <c r="P839" t="s">
        <v>567</v>
      </c>
      <c r="S839" t="s">
        <v>567</v>
      </c>
      <c r="T839" t="s">
        <v>567</v>
      </c>
      <c r="Z839" t="s">
        <v>568</v>
      </c>
      <c r="AA839" t="s">
        <v>568</v>
      </c>
    </row>
    <row r="840" spans="1:27">
      <c r="A840" t="s">
        <v>2241</v>
      </c>
      <c r="B840" t="s">
        <v>562</v>
      </c>
      <c r="C840" t="s">
        <v>562</v>
      </c>
      <c r="D840" t="s">
        <v>2242</v>
      </c>
      <c r="E840" t="s">
        <v>2261</v>
      </c>
      <c r="F840" t="s">
        <v>562</v>
      </c>
      <c r="G840" t="s">
        <v>562</v>
      </c>
      <c r="H840" t="s">
        <v>562</v>
      </c>
      <c r="I840">
        <v>4541</v>
      </c>
      <c r="J840" t="s">
        <v>564</v>
      </c>
      <c r="K840" s="698">
        <v>45957.53125</v>
      </c>
      <c r="L840" s="698">
        <v>45957.53125</v>
      </c>
      <c r="M840" t="s">
        <v>565</v>
      </c>
      <c r="N840" t="s">
        <v>565</v>
      </c>
      <c r="O840" t="s">
        <v>566</v>
      </c>
      <c r="P840" t="s">
        <v>567</v>
      </c>
      <c r="S840" t="s">
        <v>567</v>
      </c>
      <c r="T840" t="s">
        <v>567</v>
      </c>
      <c r="Z840" t="s">
        <v>568</v>
      </c>
      <c r="AA840" t="s">
        <v>568</v>
      </c>
    </row>
    <row r="841" spans="1:27">
      <c r="A841" t="s">
        <v>2241</v>
      </c>
      <c r="B841" t="s">
        <v>562</v>
      </c>
      <c r="C841" t="s">
        <v>562</v>
      </c>
      <c r="D841" t="s">
        <v>2242</v>
      </c>
      <c r="E841" t="s">
        <v>2262</v>
      </c>
      <c r="F841" t="s">
        <v>562</v>
      </c>
      <c r="G841" t="s">
        <v>562</v>
      </c>
      <c r="H841" t="s">
        <v>562</v>
      </c>
      <c r="I841">
        <v>4581</v>
      </c>
      <c r="J841" t="s">
        <v>564</v>
      </c>
      <c r="K841" s="698">
        <v>45957.536111111112</v>
      </c>
      <c r="L841" s="698">
        <v>45957.536111111112</v>
      </c>
      <c r="M841" t="s">
        <v>565</v>
      </c>
      <c r="N841" t="s">
        <v>565</v>
      </c>
      <c r="O841" t="s">
        <v>566</v>
      </c>
      <c r="P841" t="s">
        <v>567</v>
      </c>
      <c r="S841" t="s">
        <v>567</v>
      </c>
      <c r="T841" t="s">
        <v>567</v>
      </c>
      <c r="Z841" t="s">
        <v>568</v>
      </c>
      <c r="AA841" t="s">
        <v>568</v>
      </c>
    </row>
    <row r="842" spans="1:27">
      <c r="A842" t="s">
        <v>2241</v>
      </c>
      <c r="B842" t="s">
        <v>2258</v>
      </c>
      <c r="C842" t="s">
        <v>2263</v>
      </c>
      <c r="D842" t="s">
        <v>2242</v>
      </c>
      <c r="E842" t="s">
        <v>2264</v>
      </c>
      <c r="F842" t="s">
        <v>562</v>
      </c>
      <c r="G842" t="s">
        <v>562</v>
      </c>
      <c r="H842" t="s">
        <v>562</v>
      </c>
      <c r="I842">
        <v>4624</v>
      </c>
      <c r="J842" t="s">
        <v>564</v>
      </c>
      <c r="K842" s="698">
        <v>45957.541666666664</v>
      </c>
      <c r="L842" s="698">
        <v>45957.541666666664</v>
      </c>
      <c r="M842" t="s">
        <v>565</v>
      </c>
      <c r="N842" t="s">
        <v>565</v>
      </c>
      <c r="O842" t="s">
        <v>566</v>
      </c>
      <c r="P842" t="s">
        <v>567</v>
      </c>
      <c r="S842" t="s">
        <v>567</v>
      </c>
      <c r="T842" t="s">
        <v>567</v>
      </c>
      <c r="Z842" t="s">
        <v>568</v>
      </c>
      <c r="AA842" t="s">
        <v>568</v>
      </c>
    </row>
    <row r="843" spans="1:27">
      <c r="A843" t="s">
        <v>2241</v>
      </c>
      <c r="B843" t="s">
        <v>562</v>
      </c>
      <c r="C843" t="s">
        <v>2265</v>
      </c>
      <c r="D843" t="s">
        <v>2242</v>
      </c>
      <c r="E843" t="s">
        <v>2266</v>
      </c>
      <c r="F843" t="s">
        <v>562</v>
      </c>
      <c r="G843" t="s">
        <v>562</v>
      </c>
      <c r="H843" t="s">
        <v>562</v>
      </c>
      <c r="I843">
        <v>4628</v>
      </c>
      <c r="J843" t="s">
        <v>564</v>
      </c>
      <c r="K843" s="698">
        <v>45957.542361111111</v>
      </c>
      <c r="L843" s="698">
        <v>45957.542361111111</v>
      </c>
      <c r="M843" t="s">
        <v>565</v>
      </c>
      <c r="N843" t="s">
        <v>565</v>
      </c>
      <c r="O843" t="s">
        <v>566</v>
      </c>
      <c r="P843" t="s">
        <v>567</v>
      </c>
      <c r="S843" t="s">
        <v>567</v>
      </c>
      <c r="T843" t="s">
        <v>567</v>
      </c>
      <c r="Z843" t="s">
        <v>568</v>
      </c>
      <c r="AA843" t="s">
        <v>568</v>
      </c>
    </row>
    <row r="844" spans="1:27">
      <c r="A844" t="s">
        <v>2241</v>
      </c>
      <c r="B844" t="s">
        <v>2258</v>
      </c>
      <c r="C844" t="s">
        <v>2263</v>
      </c>
      <c r="D844" t="s">
        <v>2242</v>
      </c>
      <c r="E844" t="s">
        <v>2267</v>
      </c>
      <c r="F844" t="s">
        <v>562</v>
      </c>
      <c r="G844" t="s">
        <v>562</v>
      </c>
      <c r="H844" t="s">
        <v>562</v>
      </c>
      <c r="I844">
        <v>4725</v>
      </c>
      <c r="J844" t="s">
        <v>564</v>
      </c>
      <c r="K844" s="698">
        <v>45957.55</v>
      </c>
      <c r="L844" s="698">
        <v>45957.55</v>
      </c>
      <c r="M844" t="s">
        <v>565</v>
      </c>
      <c r="N844" t="s">
        <v>565</v>
      </c>
      <c r="O844" t="s">
        <v>566</v>
      </c>
      <c r="P844" t="s">
        <v>567</v>
      </c>
      <c r="S844" t="s">
        <v>567</v>
      </c>
      <c r="T844" t="s">
        <v>567</v>
      </c>
      <c r="Z844" t="s">
        <v>568</v>
      </c>
      <c r="AA844" t="s">
        <v>568</v>
      </c>
    </row>
    <row r="845" spans="1:27">
      <c r="A845" t="s">
        <v>2241</v>
      </c>
      <c r="B845" t="s">
        <v>562</v>
      </c>
      <c r="C845" t="s">
        <v>562</v>
      </c>
      <c r="D845" t="s">
        <v>2242</v>
      </c>
      <c r="E845" t="s">
        <v>2268</v>
      </c>
      <c r="F845" t="s">
        <v>562</v>
      </c>
      <c r="G845" t="s">
        <v>562</v>
      </c>
      <c r="H845" t="s">
        <v>562</v>
      </c>
      <c r="I845">
        <v>4732</v>
      </c>
      <c r="J845" t="s">
        <v>564</v>
      </c>
      <c r="K845" s="698">
        <v>45957.55</v>
      </c>
      <c r="L845" s="698">
        <v>45957.55</v>
      </c>
      <c r="M845" t="s">
        <v>565</v>
      </c>
      <c r="N845" t="s">
        <v>565</v>
      </c>
      <c r="O845" t="s">
        <v>566</v>
      </c>
      <c r="P845" t="s">
        <v>567</v>
      </c>
      <c r="S845" t="s">
        <v>567</v>
      </c>
      <c r="T845" t="s">
        <v>567</v>
      </c>
      <c r="Z845" t="s">
        <v>568</v>
      </c>
      <c r="AA845" t="s">
        <v>568</v>
      </c>
    </row>
    <row r="846" spans="1:27">
      <c r="A846" t="s">
        <v>2241</v>
      </c>
      <c r="B846" t="s">
        <v>562</v>
      </c>
      <c r="C846" t="s">
        <v>562</v>
      </c>
      <c r="D846" t="s">
        <v>2242</v>
      </c>
      <c r="E846" t="s">
        <v>2269</v>
      </c>
      <c r="F846" t="s">
        <v>562</v>
      </c>
      <c r="G846" t="s">
        <v>562</v>
      </c>
      <c r="H846" t="s">
        <v>562</v>
      </c>
      <c r="I846">
        <v>4824</v>
      </c>
      <c r="J846" t="s">
        <v>564</v>
      </c>
      <c r="K846" s="698">
        <v>45957.552777777775</v>
      </c>
      <c r="L846" s="698">
        <v>45957.552777777775</v>
      </c>
      <c r="M846" t="s">
        <v>565</v>
      </c>
      <c r="N846" t="s">
        <v>565</v>
      </c>
      <c r="O846" t="s">
        <v>566</v>
      </c>
      <c r="P846" t="s">
        <v>567</v>
      </c>
      <c r="S846" t="s">
        <v>567</v>
      </c>
      <c r="T846" t="s">
        <v>567</v>
      </c>
      <c r="Z846" t="s">
        <v>568</v>
      </c>
      <c r="AA846" t="s">
        <v>568</v>
      </c>
    </row>
    <row r="847" spans="1:27">
      <c r="A847" t="s">
        <v>2241</v>
      </c>
      <c r="B847" t="s">
        <v>562</v>
      </c>
      <c r="C847" t="s">
        <v>562</v>
      </c>
      <c r="D847" t="s">
        <v>2242</v>
      </c>
      <c r="E847" t="s">
        <v>2270</v>
      </c>
      <c r="F847" t="s">
        <v>562</v>
      </c>
      <c r="G847" t="s">
        <v>562</v>
      </c>
      <c r="H847" t="s">
        <v>562</v>
      </c>
      <c r="I847">
        <v>4869</v>
      </c>
      <c r="J847" t="s">
        <v>564</v>
      </c>
      <c r="K847" s="698">
        <v>45957.554166666669</v>
      </c>
      <c r="L847" s="698">
        <v>45957.554166666669</v>
      </c>
      <c r="M847" t="s">
        <v>565</v>
      </c>
      <c r="N847" t="s">
        <v>565</v>
      </c>
      <c r="O847" t="s">
        <v>566</v>
      </c>
      <c r="P847" t="s">
        <v>567</v>
      </c>
      <c r="S847" t="s">
        <v>567</v>
      </c>
      <c r="T847" t="s">
        <v>567</v>
      </c>
      <c r="Z847" t="s">
        <v>568</v>
      </c>
      <c r="AA847" t="s">
        <v>568</v>
      </c>
    </row>
    <row r="848" spans="1:27">
      <c r="A848" t="s">
        <v>2241</v>
      </c>
      <c r="B848" t="s">
        <v>2258</v>
      </c>
      <c r="C848" t="s">
        <v>2263</v>
      </c>
      <c r="D848" t="s">
        <v>2242</v>
      </c>
      <c r="E848" t="s">
        <v>2271</v>
      </c>
      <c r="F848" t="s">
        <v>562</v>
      </c>
      <c r="G848" t="s">
        <v>562</v>
      </c>
      <c r="H848" t="s">
        <v>562</v>
      </c>
      <c r="I848">
        <v>4881</v>
      </c>
      <c r="J848" t="s">
        <v>564</v>
      </c>
      <c r="K848" s="698">
        <v>45957.554861111108</v>
      </c>
      <c r="L848" s="698">
        <v>45957.554861111108</v>
      </c>
      <c r="M848" t="s">
        <v>565</v>
      </c>
      <c r="N848" t="s">
        <v>565</v>
      </c>
      <c r="O848" t="s">
        <v>566</v>
      </c>
      <c r="P848" t="s">
        <v>567</v>
      </c>
      <c r="S848" t="s">
        <v>567</v>
      </c>
      <c r="T848" t="s">
        <v>567</v>
      </c>
      <c r="Z848" t="s">
        <v>568</v>
      </c>
      <c r="AA848" t="s">
        <v>568</v>
      </c>
    </row>
    <row r="849" spans="1:27">
      <c r="A849" t="s">
        <v>2241</v>
      </c>
      <c r="B849" t="s">
        <v>562</v>
      </c>
      <c r="C849" t="s">
        <v>562</v>
      </c>
      <c r="D849" t="s">
        <v>2242</v>
      </c>
      <c r="E849" t="s">
        <v>2272</v>
      </c>
      <c r="F849" t="s">
        <v>562</v>
      </c>
      <c r="G849" t="s">
        <v>562</v>
      </c>
      <c r="H849" t="s">
        <v>562</v>
      </c>
      <c r="I849">
        <v>5158</v>
      </c>
      <c r="J849" t="s">
        <v>564</v>
      </c>
      <c r="K849" s="698">
        <v>45957.563194444447</v>
      </c>
      <c r="L849" s="698">
        <v>45957.563194444447</v>
      </c>
      <c r="M849" t="s">
        <v>565</v>
      </c>
      <c r="N849" t="s">
        <v>565</v>
      </c>
      <c r="O849" t="s">
        <v>566</v>
      </c>
      <c r="P849" t="s">
        <v>567</v>
      </c>
      <c r="S849" t="s">
        <v>567</v>
      </c>
      <c r="T849" t="s">
        <v>567</v>
      </c>
      <c r="Z849" t="s">
        <v>568</v>
      </c>
      <c r="AA849" t="s">
        <v>568</v>
      </c>
    </row>
    <row r="850" spans="1:27">
      <c r="A850" t="s">
        <v>2241</v>
      </c>
      <c r="B850" t="s">
        <v>562</v>
      </c>
      <c r="C850" t="s">
        <v>562</v>
      </c>
      <c r="D850" t="s">
        <v>2242</v>
      </c>
      <c r="E850" t="s">
        <v>2273</v>
      </c>
      <c r="F850" t="s">
        <v>562</v>
      </c>
      <c r="G850" t="s">
        <v>562</v>
      </c>
      <c r="H850" t="s">
        <v>562</v>
      </c>
      <c r="I850">
        <v>5201</v>
      </c>
      <c r="J850" t="s">
        <v>564</v>
      </c>
      <c r="K850" s="698">
        <v>45957.564583333333</v>
      </c>
      <c r="L850" s="698">
        <v>45957.564583333333</v>
      </c>
      <c r="M850" t="s">
        <v>565</v>
      </c>
      <c r="N850" t="s">
        <v>565</v>
      </c>
      <c r="O850" t="s">
        <v>566</v>
      </c>
      <c r="P850" t="s">
        <v>567</v>
      </c>
      <c r="S850" t="s">
        <v>567</v>
      </c>
      <c r="T850" t="s">
        <v>567</v>
      </c>
      <c r="Z850" t="s">
        <v>568</v>
      </c>
      <c r="AA850" t="s">
        <v>568</v>
      </c>
    </row>
    <row r="851" spans="1:27">
      <c r="A851" t="s">
        <v>2274</v>
      </c>
      <c r="B851" t="s">
        <v>2275</v>
      </c>
      <c r="C851" t="s">
        <v>2263</v>
      </c>
      <c r="D851" t="s">
        <v>2276</v>
      </c>
      <c r="E851" t="s">
        <v>562</v>
      </c>
      <c r="F851" t="s">
        <v>562</v>
      </c>
      <c r="G851" t="s">
        <v>562</v>
      </c>
      <c r="H851" t="s">
        <v>562</v>
      </c>
      <c r="I851">
        <v>3525</v>
      </c>
      <c r="J851" t="s">
        <v>564</v>
      </c>
      <c r="K851" s="698">
        <v>45957.412499999999</v>
      </c>
      <c r="L851" s="698">
        <v>45957.412499999999</v>
      </c>
      <c r="M851" t="s">
        <v>565</v>
      </c>
      <c r="N851" t="s">
        <v>565</v>
      </c>
      <c r="O851" t="s">
        <v>566</v>
      </c>
      <c r="P851" t="s">
        <v>567</v>
      </c>
      <c r="S851" t="s">
        <v>567</v>
      </c>
      <c r="T851" t="s">
        <v>567</v>
      </c>
      <c r="Z851" t="s">
        <v>568</v>
      </c>
      <c r="AA851" t="s">
        <v>568</v>
      </c>
    </row>
    <row r="852" spans="1:27">
      <c r="A852" t="s">
        <v>2277</v>
      </c>
      <c r="B852" t="s">
        <v>2278</v>
      </c>
      <c r="C852" t="s">
        <v>2279</v>
      </c>
      <c r="D852" t="s">
        <v>562</v>
      </c>
      <c r="E852" t="s">
        <v>2280</v>
      </c>
      <c r="F852" t="s">
        <v>562</v>
      </c>
      <c r="G852" t="s">
        <v>562</v>
      </c>
      <c r="H852" t="s">
        <v>562</v>
      </c>
      <c r="I852">
        <v>4737</v>
      </c>
      <c r="J852" t="s">
        <v>564</v>
      </c>
      <c r="K852" s="698">
        <v>45957.55</v>
      </c>
      <c r="L852" s="698">
        <v>45957.55</v>
      </c>
      <c r="M852" t="s">
        <v>565</v>
      </c>
      <c r="N852" t="s">
        <v>565</v>
      </c>
      <c r="O852" t="s">
        <v>566</v>
      </c>
      <c r="P852" t="s">
        <v>567</v>
      </c>
      <c r="S852" t="s">
        <v>567</v>
      </c>
      <c r="T852" t="s">
        <v>567</v>
      </c>
      <c r="Z852" t="s">
        <v>568</v>
      </c>
      <c r="AA852" t="s">
        <v>568</v>
      </c>
    </row>
    <row r="853" spans="1:27">
      <c r="A853" t="s">
        <v>2281</v>
      </c>
      <c r="B853" t="s">
        <v>562</v>
      </c>
      <c r="C853" t="s">
        <v>562</v>
      </c>
      <c r="D853" t="s">
        <v>562</v>
      </c>
      <c r="E853" t="s">
        <v>562</v>
      </c>
      <c r="F853" t="s">
        <v>562</v>
      </c>
      <c r="G853" t="s">
        <v>562</v>
      </c>
      <c r="H853" t="s">
        <v>562</v>
      </c>
      <c r="I853">
        <v>5228</v>
      </c>
      <c r="J853" t="s">
        <v>564</v>
      </c>
      <c r="K853" s="698">
        <v>45960.395833333336</v>
      </c>
      <c r="L853" s="698">
        <v>45960.395833333336</v>
      </c>
      <c r="M853" t="s">
        <v>565</v>
      </c>
      <c r="N853" t="s">
        <v>565</v>
      </c>
      <c r="O853" t="s">
        <v>566</v>
      </c>
      <c r="P853" t="s">
        <v>567</v>
      </c>
      <c r="S853" t="s">
        <v>567</v>
      </c>
      <c r="T853" t="s">
        <v>567</v>
      </c>
      <c r="Z853" t="s">
        <v>826</v>
      </c>
      <c r="AA853" t="s">
        <v>826</v>
      </c>
    </row>
    <row r="854" spans="1:27">
      <c r="A854" t="s">
        <v>2281</v>
      </c>
      <c r="B854" t="s">
        <v>562</v>
      </c>
      <c r="C854" t="s">
        <v>562</v>
      </c>
      <c r="D854" t="s">
        <v>2282</v>
      </c>
      <c r="E854" t="s">
        <v>2283</v>
      </c>
      <c r="F854" t="s">
        <v>562</v>
      </c>
      <c r="G854" t="s">
        <v>562</v>
      </c>
      <c r="H854" t="s">
        <v>562</v>
      </c>
      <c r="I854">
        <v>5229</v>
      </c>
      <c r="J854" t="s">
        <v>564</v>
      </c>
      <c r="K854" s="698">
        <v>45960.400694444441</v>
      </c>
      <c r="L854" s="698">
        <v>45960.400694444441</v>
      </c>
      <c r="M854" t="s">
        <v>565</v>
      </c>
      <c r="N854" t="s">
        <v>565</v>
      </c>
      <c r="O854" t="s">
        <v>566</v>
      </c>
      <c r="P854" t="s">
        <v>567</v>
      </c>
      <c r="S854" t="s">
        <v>567</v>
      </c>
      <c r="T854" t="s">
        <v>567</v>
      </c>
      <c r="Z854" t="s">
        <v>826</v>
      </c>
      <c r="AA854" t="s">
        <v>826</v>
      </c>
    </row>
    <row r="855" spans="1:27">
      <c r="A855" t="s">
        <v>2284</v>
      </c>
      <c r="B855" t="s">
        <v>2284</v>
      </c>
      <c r="C855" t="s">
        <v>2285</v>
      </c>
      <c r="D855" t="s">
        <v>562</v>
      </c>
      <c r="E855" t="s">
        <v>2286</v>
      </c>
      <c r="F855" t="s">
        <v>562</v>
      </c>
      <c r="G855" t="s">
        <v>562</v>
      </c>
      <c r="H855" t="s">
        <v>562</v>
      </c>
      <c r="I855">
        <v>4689</v>
      </c>
      <c r="J855" t="s">
        <v>564</v>
      </c>
      <c r="K855" s="698">
        <v>45957.548611111109</v>
      </c>
      <c r="L855" s="698">
        <v>45957.548611111109</v>
      </c>
      <c r="M855" t="s">
        <v>565</v>
      </c>
      <c r="N855" t="s">
        <v>565</v>
      </c>
      <c r="O855" t="s">
        <v>566</v>
      </c>
      <c r="P855" t="s">
        <v>567</v>
      </c>
      <c r="S855" t="s">
        <v>567</v>
      </c>
      <c r="T855" t="s">
        <v>567</v>
      </c>
      <c r="Z855" t="s">
        <v>568</v>
      </c>
      <c r="AA855" t="s">
        <v>568</v>
      </c>
    </row>
    <row r="856" spans="1:27">
      <c r="A856" t="s">
        <v>2287</v>
      </c>
      <c r="B856" t="s">
        <v>562</v>
      </c>
      <c r="C856" t="s">
        <v>562</v>
      </c>
      <c r="D856" t="s">
        <v>2288</v>
      </c>
      <c r="E856" t="s">
        <v>2289</v>
      </c>
      <c r="F856" t="s">
        <v>562</v>
      </c>
      <c r="G856" t="s">
        <v>562</v>
      </c>
      <c r="H856" t="s">
        <v>562</v>
      </c>
      <c r="I856">
        <v>4544</v>
      </c>
      <c r="J856" t="s">
        <v>564</v>
      </c>
      <c r="K856" s="698">
        <v>45957.53125</v>
      </c>
      <c r="L856" s="698">
        <v>45957.53125</v>
      </c>
      <c r="M856" t="s">
        <v>565</v>
      </c>
      <c r="N856" t="s">
        <v>565</v>
      </c>
      <c r="O856" t="s">
        <v>566</v>
      </c>
      <c r="P856" t="s">
        <v>567</v>
      </c>
      <c r="S856" t="s">
        <v>567</v>
      </c>
      <c r="T856" t="s">
        <v>567</v>
      </c>
      <c r="Z856" t="s">
        <v>568</v>
      </c>
      <c r="AA856" t="s">
        <v>568</v>
      </c>
    </row>
    <row r="857" spans="1:27">
      <c r="A857" t="s">
        <v>2290</v>
      </c>
      <c r="B857" t="s">
        <v>2290</v>
      </c>
      <c r="C857" t="s">
        <v>2291</v>
      </c>
      <c r="D857" t="s">
        <v>562</v>
      </c>
      <c r="E857" t="s">
        <v>2292</v>
      </c>
      <c r="F857" t="s">
        <v>562</v>
      </c>
      <c r="G857" t="s">
        <v>562</v>
      </c>
      <c r="H857" t="s">
        <v>562</v>
      </c>
      <c r="I857">
        <v>4863</v>
      </c>
      <c r="J857" t="s">
        <v>564</v>
      </c>
      <c r="K857" s="698">
        <v>45957.554166666669</v>
      </c>
      <c r="L857" s="698">
        <v>45957.554166666669</v>
      </c>
      <c r="M857" t="s">
        <v>565</v>
      </c>
      <c r="N857" t="s">
        <v>565</v>
      </c>
      <c r="O857" t="s">
        <v>566</v>
      </c>
      <c r="P857" t="s">
        <v>567</v>
      </c>
      <c r="S857" t="s">
        <v>567</v>
      </c>
      <c r="T857" t="s">
        <v>567</v>
      </c>
      <c r="Z857" t="s">
        <v>568</v>
      </c>
      <c r="AA857" t="s">
        <v>568</v>
      </c>
    </row>
    <row r="858" spans="1:27">
      <c r="A858" t="s">
        <v>2293</v>
      </c>
      <c r="B858" t="s">
        <v>1133</v>
      </c>
      <c r="C858" t="s">
        <v>2294</v>
      </c>
      <c r="D858" t="s">
        <v>562</v>
      </c>
      <c r="E858" t="s">
        <v>2295</v>
      </c>
      <c r="F858" t="s">
        <v>562</v>
      </c>
      <c r="G858" t="s">
        <v>562</v>
      </c>
      <c r="H858" t="s">
        <v>562</v>
      </c>
      <c r="I858">
        <v>4161</v>
      </c>
      <c r="J858" t="s">
        <v>564</v>
      </c>
      <c r="K858" s="698">
        <v>45957.484027777777</v>
      </c>
      <c r="L858" s="698">
        <v>45957.484027777777</v>
      </c>
      <c r="M858" t="s">
        <v>565</v>
      </c>
      <c r="N858" t="s">
        <v>565</v>
      </c>
      <c r="O858" t="s">
        <v>566</v>
      </c>
      <c r="P858" t="s">
        <v>567</v>
      </c>
      <c r="S858" t="s">
        <v>567</v>
      </c>
      <c r="T858" t="s">
        <v>567</v>
      </c>
      <c r="Z858" t="s">
        <v>568</v>
      </c>
      <c r="AA858" t="s">
        <v>568</v>
      </c>
    </row>
    <row r="859" spans="1:27">
      <c r="A859" t="s">
        <v>2296</v>
      </c>
      <c r="B859" t="s">
        <v>2296</v>
      </c>
      <c r="C859" t="s">
        <v>2297</v>
      </c>
      <c r="D859" t="s">
        <v>562</v>
      </c>
      <c r="E859" t="s">
        <v>2298</v>
      </c>
      <c r="F859" t="s">
        <v>562</v>
      </c>
      <c r="G859" t="s">
        <v>562</v>
      </c>
      <c r="H859" t="s">
        <v>562</v>
      </c>
      <c r="I859">
        <v>4740</v>
      </c>
      <c r="J859" t="s">
        <v>564</v>
      </c>
      <c r="K859" s="698">
        <v>45957.550694444442</v>
      </c>
      <c r="L859" s="698">
        <v>45957.550694444442</v>
      </c>
      <c r="M859" t="s">
        <v>565</v>
      </c>
      <c r="N859" t="s">
        <v>565</v>
      </c>
      <c r="O859" t="s">
        <v>566</v>
      </c>
      <c r="P859" t="s">
        <v>567</v>
      </c>
      <c r="S859" t="s">
        <v>567</v>
      </c>
      <c r="T859" t="s">
        <v>567</v>
      </c>
      <c r="Z859" t="s">
        <v>568</v>
      </c>
      <c r="AA859" t="s">
        <v>568</v>
      </c>
    </row>
    <row r="860" spans="1:27">
      <c r="A860" t="s">
        <v>2299</v>
      </c>
      <c r="B860" t="s">
        <v>562</v>
      </c>
      <c r="C860" t="s">
        <v>562</v>
      </c>
      <c r="D860" t="s">
        <v>2300</v>
      </c>
      <c r="E860" t="s">
        <v>2301</v>
      </c>
      <c r="F860" t="s">
        <v>562</v>
      </c>
      <c r="G860" t="s">
        <v>562</v>
      </c>
      <c r="H860" t="s">
        <v>562</v>
      </c>
      <c r="I860">
        <v>3649</v>
      </c>
      <c r="J860" t="s">
        <v>564</v>
      </c>
      <c r="K860" s="698">
        <v>45957.425694444442</v>
      </c>
      <c r="L860" s="698">
        <v>45957.425694444442</v>
      </c>
      <c r="M860" t="s">
        <v>565</v>
      </c>
      <c r="N860" t="s">
        <v>565</v>
      </c>
      <c r="O860" t="s">
        <v>566</v>
      </c>
      <c r="P860" t="s">
        <v>567</v>
      </c>
      <c r="S860" t="s">
        <v>567</v>
      </c>
      <c r="T860" t="s">
        <v>567</v>
      </c>
      <c r="Z860" t="s">
        <v>568</v>
      </c>
      <c r="AA860" t="s">
        <v>568</v>
      </c>
    </row>
    <row r="861" spans="1:27">
      <c r="A861" t="s">
        <v>2302</v>
      </c>
      <c r="B861" t="s">
        <v>562</v>
      </c>
      <c r="C861" t="s">
        <v>562</v>
      </c>
      <c r="D861" t="s">
        <v>2303</v>
      </c>
      <c r="E861" t="s">
        <v>2304</v>
      </c>
      <c r="F861" t="s">
        <v>562</v>
      </c>
      <c r="G861" t="s">
        <v>562</v>
      </c>
      <c r="H861" t="s">
        <v>562</v>
      </c>
      <c r="I861">
        <v>3949</v>
      </c>
      <c r="J861" t="s">
        <v>564</v>
      </c>
      <c r="K861" s="698">
        <v>45957.458333333336</v>
      </c>
      <c r="L861" s="698">
        <v>45957.458333333336</v>
      </c>
      <c r="M861" t="s">
        <v>565</v>
      </c>
      <c r="N861" t="s">
        <v>565</v>
      </c>
      <c r="O861" t="s">
        <v>566</v>
      </c>
      <c r="P861" t="s">
        <v>567</v>
      </c>
      <c r="S861" t="s">
        <v>567</v>
      </c>
      <c r="T861" t="s">
        <v>567</v>
      </c>
      <c r="Z861" t="s">
        <v>568</v>
      </c>
      <c r="AA861" t="s">
        <v>568</v>
      </c>
    </row>
    <row r="862" spans="1:27">
      <c r="A862" t="s">
        <v>2302</v>
      </c>
      <c r="B862" t="s">
        <v>562</v>
      </c>
      <c r="C862" t="s">
        <v>562</v>
      </c>
      <c r="D862" t="s">
        <v>2303</v>
      </c>
      <c r="E862" t="s">
        <v>2305</v>
      </c>
      <c r="F862" t="s">
        <v>562</v>
      </c>
      <c r="G862" t="s">
        <v>562</v>
      </c>
      <c r="H862" t="s">
        <v>562</v>
      </c>
      <c r="I862">
        <v>4066</v>
      </c>
      <c r="J862" t="s">
        <v>564</v>
      </c>
      <c r="K862" s="698">
        <v>45957.472222222219</v>
      </c>
      <c r="L862" s="698">
        <v>45957.472222222219</v>
      </c>
      <c r="M862" t="s">
        <v>565</v>
      </c>
      <c r="N862" t="s">
        <v>565</v>
      </c>
      <c r="O862" t="s">
        <v>566</v>
      </c>
      <c r="P862" t="s">
        <v>567</v>
      </c>
      <c r="S862" t="s">
        <v>567</v>
      </c>
      <c r="T862" t="s">
        <v>567</v>
      </c>
      <c r="Z862" t="s">
        <v>568</v>
      </c>
      <c r="AA862" t="s">
        <v>568</v>
      </c>
    </row>
    <row r="863" spans="1:27">
      <c r="A863" t="s">
        <v>2302</v>
      </c>
      <c r="B863" t="s">
        <v>2306</v>
      </c>
      <c r="C863" t="s">
        <v>2307</v>
      </c>
      <c r="D863" t="s">
        <v>2303</v>
      </c>
      <c r="E863" t="s">
        <v>2308</v>
      </c>
      <c r="F863" t="s">
        <v>562</v>
      </c>
      <c r="G863" t="s">
        <v>562</v>
      </c>
      <c r="H863" t="s">
        <v>562</v>
      </c>
      <c r="I863">
        <v>4069</v>
      </c>
      <c r="J863" t="s">
        <v>564</v>
      </c>
      <c r="K863" s="698">
        <v>45957.472222222219</v>
      </c>
      <c r="L863" s="698">
        <v>45957.472222222219</v>
      </c>
      <c r="M863" t="s">
        <v>565</v>
      </c>
      <c r="N863" t="s">
        <v>565</v>
      </c>
      <c r="O863" t="s">
        <v>566</v>
      </c>
      <c r="P863" t="s">
        <v>567</v>
      </c>
      <c r="S863" t="s">
        <v>567</v>
      </c>
      <c r="T863" t="s">
        <v>567</v>
      </c>
      <c r="Z863" t="s">
        <v>568</v>
      </c>
      <c r="AA863" t="s">
        <v>568</v>
      </c>
    </row>
    <row r="864" spans="1:27">
      <c r="A864" t="s">
        <v>2309</v>
      </c>
      <c r="B864" t="s">
        <v>2309</v>
      </c>
      <c r="C864" t="s">
        <v>2310</v>
      </c>
      <c r="D864" t="s">
        <v>2311</v>
      </c>
      <c r="E864" t="s">
        <v>2312</v>
      </c>
      <c r="F864" t="s">
        <v>562</v>
      </c>
      <c r="G864" t="s">
        <v>562</v>
      </c>
      <c r="H864" t="s">
        <v>562</v>
      </c>
      <c r="I864">
        <v>4427</v>
      </c>
      <c r="J864" t="s">
        <v>564</v>
      </c>
      <c r="K864" s="698">
        <v>45957.517361111109</v>
      </c>
      <c r="L864" s="698">
        <v>45957.517361111109</v>
      </c>
      <c r="M864" t="s">
        <v>565</v>
      </c>
      <c r="N864" t="s">
        <v>565</v>
      </c>
      <c r="O864" t="s">
        <v>566</v>
      </c>
      <c r="P864" t="s">
        <v>567</v>
      </c>
      <c r="S864" t="s">
        <v>567</v>
      </c>
      <c r="T864" t="s">
        <v>567</v>
      </c>
      <c r="Z864" t="s">
        <v>568</v>
      </c>
      <c r="AA864" t="s">
        <v>568</v>
      </c>
    </row>
    <row r="865" spans="1:27">
      <c r="A865" t="s">
        <v>2313</v>
      </c>
      <c r="B865" t="s">
        <v>2313</v>
      </c>
      <c r="C865" t="s">
        <v>562</v>
      </c>
      <c r="D865" t="s">
        <v>562</v>
      </c>
      <c r="E865" t="s">
        <v>2314</v>
      </c>
      <c r="F865" t="s">
        <v>562</v>
      </c>
      <c r="G865" t="s">
        <v>562</v>
      </c>
      <c r="H865" t="s">
        <v>562</v>
      </c>
      <c r="I865">
        <v>4681</v>
      </c>
      <c r="J865" t="s">
        <v>564</v>
      </c>
      <c r="K865" s="698">
        <v>45957.548611111109</v>
      </c>
      <c r="L865" s="698">
        <v>45957.548611111109</v>
      </c>
      <c r="M865" t="s">
        <v>565</v>
      </c>
      <c r="N865" t="s">
        <v>565</v>
      </c>
      <c r="O865" t="s">
        <v>566</v>
      </c>
      <c r="P865" t="s">
        <v>567</v>
      </c>
      <c r="S865" t="s">
        <v>567</v>
      </c>
      <c r="T865" t="s">
        <v>567</v>
      </c>
      <c r="Z865" t="s">
        <v>568</v>
      </c>
      <c r="AA865" t="s">
        <v>568</v>
      </c>
    </row>
    <row r="866" spans="1:27">
      <c r="A866" t="s">
        <v>2315</v>
      </c>
      <c r="B866" t="s">
        <v>2316</v>
      </c>
      <c r="C866" t="s">
        <v>2317</v>
      </c>
      <c r="D866" t="s">
        <v>562</v>
      </c>
      <c r="E866" t="s">
        <v>2318</v>
      </c>
      <c r="F866" t="s">
        <v>562</v>
      </c>
      <c r="G866" t="s">
        <v>562</v>
      </c>
      <c r="H866" t="s">
        <v>562</v>
      </c>
      <c r="I866">
        <v>4756</v>
      </c>
      <c r="J866" t="s">
        <v>564</v>
      </c>
      <c r="K866" s="698">
        <v>45957.550694444442</v>
      </c>
      <c r="L866" s="698">
        <v>45957.550694444442</v>
      </c>
      <c r="M866" t="s">
        <v>565</v>
      </c>
      <c r="N866" t="s">
        <v>565</v>
      </c>
      <c r="O866" t="s">
        <v>566</v>
      </c>
      <c r="P866" t="s">
        <v>567</v>
      </c>
      <c r="S866" t="s">
        <v>567</v>
      </c>
      <c r="T866" t="s">
        <v>567</v>
      </c>
      <c r="Z866" t="s">
        <v>568</v>
      </c>
      <c r="AA866" t="s">
        <v>568</v>
      </c>
    </row>
    <row r="867" spans="1:27">
      <c r="A867" t="s">
        <v>2319</v>
      </c>
      <c r="B867" t="s">
        <v>562</v>
      </c>
      <c r="C867" t="s">
        <v>2320</v>
      </c>
      <c r="D867" t="s">
        <v>2321</v>
      </c>
      <c r="E867" t="s">
        <v>2322</v>
      </c>
      <c r="F867" t="s">
        <v>562</v>
      </c>
      <c r="G867" t="s">
        <v>562</v>
      </c>
      <c r="H867" t="s">
        <v>562</v>
      </c>
      <c r="I867">
        <v>3526</v>
      </c>
      <c r="J867" t="s">
        <v>564</v>
      </c>
      <c r="K867" s="698">
        <v>45957.412499999999</v>
      </c>
      <c r="L867" s="698">
        <v>45957.412499999999</v>
      </c>
      <c r="M867" t="s">
        <v>565</v>
      </c>
      <c r="N867" t="s">
        <v>565</v>
      </c>
      <c r="O867" t="s">
        <v>566</v>
      </c>
      <c r="P867" t="s">
        <v>567</v>
      </c>
      <c r="S867" t="s">
        <v>567</v>
      </c>
      <c r="T867" t="s">
        <v>567</v>
      </c>
      <c r="Z867" t="s">
        <v>568</v>
      </c>
      <c r="AA867" t="s">
        <v>568</v>
      </c>
    </row>
    <row r="868" spans="1:27">
      <c r="A868" t="s">
        <v>2323</v>
      </c>
      <c r="B868" t="s">
        <v>2324</v>
      </c>
      <c r="C868" t="s">
        <v>2325</v>
      </c>
      <c r="D868" t="s">
        <v>562</v>
      </c>
      <c r="E868" t="s">
        <v>2326</v>
      </c>
      <c r="F868" t="s">
        <v>562</v>
      </c>
      <c r="G868" t="s">
        <v>562</v>
      </c>
      <c r="H868" t="s">
        <v>562</v>
      </c>
      <c r="I868">
        <v>3622</v>
      </c>
      <c r="J868" t="s">
        <v>564</v>
      </c>
      <c r="K868" s="698">
        <v>45957.422222222223</v>
      </c>
      <c r="L868" s="698">
        <v>45957.422222222223</v>
      </c>
      <c r="M868" t="s">
        <v>565</v>
      </c>
      <c r="N868" t="s">
        <v>565</v>
      </c>
      <c r="O868" t="s">
        <v>566</v>
      </c>
      <c r="P868" t="s">
        <v>567</v>
      </c>
      <c r="S868" t="s">
        <v>567</v>
      </c>
      <c r="T868" t="s">
        <v>567</v>
      </c>
      <c r="Z868" t="s">
        <v>568</v>
      </c>
      <c r="AA868" t="s">
        <v>568</v>
      </c>
    </row>
    <row r="869" spans="1:27">
      <c r="A869" t="s">
        <v>2327</v>
      </c>
      <c r="B869" t="s">
        <v>562</v>
      </c>
      <c r="C869" t="s">
        <v>562</v>
      </c>
      <c r="D869" t="s">
        <v>2328</v>
      </c>
      <c r="E869" t="s">
        <v>2329</v>
      </c>
      <c r="F869" t="s">
        <v>562</v>
      </c>
      <c r="G869" t="s">
        <v>562</v>
      </c>
      <c r="H869" t="s">
        <v>562</v>
      </c>
      <c r="I869">
        <v>5005</v>
      </c>
      <c r="J869" t="s">
        <v>564</v>
      </c>
      <c r="K869" s="698">
        <v>45957.558333333334</v>
      </c>
      <c r="L869" s="698">
        <v>45957.558333333334</v>
      </c>
      <c r="M869" t="s">
        <v>565</v>
      </c>
      <c r="N869" t="s">
        <v>565</v>
      </c>
      <c r="O869" t="s">
        <v>566</v>
      </c>
      <c r="P869" t="s">
        <v>567</v>
      </c>
      <c r="S869" t="s">
        <v>567</v>
      </c>
      <c r="T869" t="s">
        <v>567</v>
      </c>
      <c r="Z869" t="s">
        <v>568</v>
      </c>
      <c r="AA869" t="s">
        <v>568</v>
      </c>
    </row>
    <row r="870" spans="1:27">
      <c r="A870" t="s">
        <v>2330</v>
      </c>
      <c r="B870" t="s">
        <v>2330</v>
      </c>
      <c r="C870" t="s">
        <v>2331</v>
      </c>
      <c r="D870" t="s">
        <v>562</v>
      </c>
      <c r="E870" t="s">
        <v>2332</v>
      </c>
      <c r="F870" t="s">
        <v>562</v>
      </c>
      <c r="G870" t="s">
        <v>562</v>
      </c>
      <c r="H870" t="s">
        <v>562</v>
      </c>
      <c r="I870">
        <v>3775</v>
      </c>
      <c r="J870" t="s">
        <v>564</v>
      </c>
      <c r="K870" s="698">
        <v>45957.438888888886</v>
      </c>
      <c r="L870" s="698">
        <v>45957.438888888886</v>
      </c>
      <c r="M870" t="s">
        <v>565</v>
      </c>
      <c r="N870" t="s">
        <v>565</v>
      </c>
      <c r="O870" t="s">
        <v>566</v>
      </c>
      <c r="P870" t="s">
        <v>567</v>
      </c>
      <c r="S870" t="s">
        <v>567</v>
      </c>
      <c r="T870" t="s">
        <v>567</v>
      </c>
      <c r="Z870" t="s">
        <v>568</v>
      </c>
      <c r="AA870" t="s">
        <v>568</v>
      </c>
    </row>
    <row r="871" spans="1:27">
      <c r="A871" t="s">
        <v>2333</v>
      </c>
      <c r="B871" t="s">
        <v>2333</v>
      </c>
      <c r="C871" t="s">
        <v>2334</v>
      </c>
      <c r="D871" t="s">
        <v>2335</v>
      </c>
      <c r="E871" t="s">
        <v>2336</v>
      </c>
      <c r="F871" t="s">
        <v>562</v>
      </c>
      <c r="G871" t="s">
        <v>562</v>
      </c>
      <c r="H871" t="s">
        <v>562</v>
      </c>
      <c r="I871">
        <v>4218</v>
      </c>
      <c r="J871" t="s">
        <v>564</v>
      </c>
      <c r="K871" s="698">
        <v>45957.490972222222</v>
      </c>
      <c r="L871" s="698">
        <v>45957.490972222222</v>
      </c>
      <c r="M871" t="s">
        <v>565</v>
      </c>
      <c r="N871" t="s">
        <v>565</v>
      </c>
      <c r="O871" t="s">
        <v>566</v>
      </c>
      <c r="P871" t="s">
        <v>567</v>
      </c>
      <c r="S871" t="s">
        <v>567</v>
      </c>
      <c r="T871" t="s">
        <v>567</v>
      </c>
      <c r="Z871" t="s">
        <v>568</v>
      </c>
      <c r="AA871" t="s">
        <v>568</v>
      </c>
    </row>
    <row r="872" spans="1:27">
      <c r="A872" t="s">
        <v>2337</v>
      </c>
      <c r="B872" t="s">
        <v>562</v>
      </c>
      <c r="C872" t="s">
        <v>562</v>
      </c>
      <c r="D872" t="s">
        <v>2338</v>
      </c>
      <c r="E872" t="s">
        <v>2339</v>
      </c>
      <c r="F872" t="s">
        <v>562</v>
      </c>
      <c r="G872" t="s">
        <v>562</v>
      </c>
      <c r="H872" t="s">
        <v>562</v>
      </c>
      <c r="I872">
        <v>5080</v>
      </c>
      <c r="J872" t="s">
        <v>564</v>
      </c>
      <c r="K872" s="698">
        <v>45957.561111111114</v>
      </c>
      <c r="L872" s="698">
        <v>45957.561111111114</v>
      </c>
      <c r="M872" t="s">
        <v>565</v>
      </c>
      <c r="N872" t="s">
        <v>565</v>
      </c>
      <c r="O872" t="s">
        <v>566</v>
      </c>
      <c r="P872" t="s">
        <v>567</v>
      </c>
      <c r="S872" t="s">
        <v>567</v>
      </c>
      <c r="T872" t="s">
        <v>567</v>
      </c>
      <c r="Z872" t="s">
        <v>568</v>
      </c>
      <c r="AA872" t="s">
        <v>568</v>
      </c>
    </row>
    <row r="873" spans="1:27">
      <c r="A873" t="s">
        <v>2340</v>
      </c>
      <c r="B873" t="s">
        <v>2341</v>
      </c>
      <c r="C873" t="s">
        <v>562</v>
      </c>
      <c r="D873" t="s">
        <v>2342</v>
      </c>
      <c r="E873" t="s">
        <v>2343</v>
      </c>
      <c r="F873" t="s">
        <v>562</v>
      </c>
      <c r="G873" t="s">
        <v>562</v>
      </c>
      <c r="H873" t="s">
        <v>562</v>
      </c>
      <c r="I873">
        <v>4357</v>
      </c>
      <c r="J873" t="s">
        <v>564</v>
      </c>
      <c r="K873" s="698">
        <v>45957.508333333331</v>
      </c>
      <c r="L873" s="698">
        <v>45957.508333333331</v>
      </c>
      <c r="M873" t="s">
        <v>565</v>
      </c>
      <c r="N873" t="s">
        <v>565</v>
      </c>
      <c r="O873" t="s">
        <v>566</v>
      </c>
      <c r="P873" t="s">
        <v>567</v>
      </c>
      <c r="S873" t="s">
        <v>567</v>
      </c>
      <c r="T873" t="s">
        <v>567</v>
      </c>
      <c r="Z873" t="s">
        <v>568</v>
      </c>
      <c r="AA873" t="s">
        <v>568</v>
      </c>
    </row>
    <row r="874" spans="1:27">
      <c r="A874" t="s">
        <v>2344</v>
      </c>
      <c r="B874" t="s">
        <v>562</v>
      </c>
      <c r="C874" t="s">
        <v>562</v>
      </c>
      <c r="D874" t="s">
        <v>2345</v>
      </c>
      <c r="E874" t="s">
        <v>2346</v>
      </c>
      <c r="F874" t="s">
        <v>562</v>
      </c>
      <c r="G874" t="s">
        <v>562</v>
      </c>
      <c r="H874" t="s">
        <v>562</v>
      </c>
      <c r="I874">
        <v>3655</v>
      </c>
      <c r="J874" t="s">
        <v>564</v>
      </c>
      <c r="K874" s="698">
        <v>45957.426388888889</v>
      </c>
      <c r="L874" s="698">
        <v>45957.426388888889</v>
      </c>
      <c r="M874" t="s">
        <v>565</v>
      </c>
      <c r="N874" t="s">
        <v>565</v>
      </c>
      <c r="O874" t="s">
        <v>566</v>
      </c>
      <c r="P874" t="s">
        <v>567</v>
      </c>
      <c r="S874" t="s">
        <v>567</v>
      </c>
      <c r="T874" t="s">
        <v>567</v>
      </c>
      <c r="Z874" t="s">
        <v>568</v>
      </c>
      <c r="AA874" t="s">
        <v>568</v>
      </c>
    </row>
    <row r="875" spans="1:27">
      <c r="A875" t="s">
        <v>2344</v>
      </c>
      <c r="B875" t="s">
        <v>562</v>
      </c>
      <c r="C875" t="s">
        <v>562</v>
      </c>
      <c r="D875" t="s">
        <v>2345</v>
      </c>
      <c r="E875" t="s">
        <v>2347</v>
      </c>
      <c r="F875" t="s">
        <v>562</v>
      </c>
      <c r="G875" t="s">
        <v>562</v>
      </c>
      <c r="H875" t="s">
        <v>562</v>
      </c>
      <c r="I875">
        <v>3934</v>
      </c>
      <c r="J875" t="s">
        <v>564</v>
      </c>
      <c r="K875" s="698">
        <v>45957.456250000003</v>
      </c>
      <c r="L875" s="698">
        <v>45957.456250000003</v>
      </c>
      <c r="M875" t="s">
        <v>565</v>
      </c>
      <c r="N875" t="s">
        <v>565</v>
      </c>
      <c r="O875" t="s">
        <v>566</v>
      </c>
      <c r="P875" t="s">
        <v>567</v>
      </c>
      <c r="S875" t="s">
        <v>567</v>
      </c>
      <c r="T875" t="s">
        <v>567</v>
      </c>
      <c r="Z875" t="s">
        <v>568</v>
      </c>
      <c r="AA875" t="s">
        <v>568</v>
      </c>
    </row>
    <row r="876" spans="1:27">
      <c r="A876" t="s">
        <v>2344</v>
      </c>
      <c r="B876" t="s">
        <v>562</v>
      </c>
      <c r="C876" t="s">
        <v>562</v>
      </c>
      <c r="D876" t="s">
        <v>2345</v>
      </c>
      <c r="E876" t="s">
        <v>2348</v>
      </c>
      <c r="F876" t="s">
        <v>562</v>
      </c>
      <c r="G876" t="s">
        <v>562</v>
      </c>
      <c r="H876" t="s">
        <v>562</v>
      </c>
      <c r="I876">
        <v>3987</v>
      </c>
      <c r="J876" t="s">
        <v>564</v>
      </c>
      <c r="K876" s="698">
        <v>45957.462500000001</v>
      </c>
      <c r="L876" s="698">
        <v>45957.462500000001</v>
      </c>
      <c r="M876" t="s">
        <v>565</v>
      </c>
      <c r="N876" t="s">
        <v>565</v>
      </c>
      <c r="O876" t="s">
        <v>566</v>
      </c>
      <c r="P876" t="s">
        <v>567</v>
      </c>
      <c r="S876" t="s">
        <v>567</v>
      </c>
      <c r="T876" t="s">
        <v>567</v>
      </c>
      <c r="Z876" t="s">
        <v>568</v>
      </c>
      <c r="AA876" t="s">
        <v>568</v>
      </c>
    </row>
    <row r="877" spans="1:27">
      <c r="A877" t="s">
        <v>2344</v>
      </c>
      <c r="B877" t="s">
        <v>562</v>
      </c>
      <c r="C877" t="s">
        <v>562</v>
      </c>
      <c r="D877" t="s">
        <v>2345</v>
      </c>
      <c r="E877" t="s">
        <v>2349</v>
      </c>
      <c r="F877" t="s">
        <v>562</v>
      </c>
      <c r="G877" t="s">
        <v>562</v>
      </c>
      <c r="H877" t="s">
        <v>562</v>
      </c>
      <c r="I877">
        <v>4361</v>
      </c>
      <c r="J877" t="s">
        <v>564</v>
      </c>
      <c r="K877" s="698">
        <v>45957.509027777778</v>
      </c>
      <c r="L877" s="698">
        <v>45957.509027777778</v>
      </c>
      <c r="M877" t="s">
        <v>565</v>
      </c>
      <c r="N877" t="s">
        <v>565</v>
      </c>
      <c r="O877" t="s">
        <v>566</v>
      </c>
      <c r="P877" t="s">
        <v>567</v>
      </c>
      <c r="S877" t="s">
        <v>567</v>
      </c>
      <c r="T877" t="s">
        <v>567</v>
      </c>
      <c r="Z877" t="s">
        <v>568</v>
      </c>
      <c r="AA877" t="s">
        <v>568</v>
      </c>
    </row>
    <row r="878" spans="1:27">
      <c r="A878" t="s">
        <v>2350</v>
      </c>
      <c r="B878" t="s">
        <v>2351</v>
      </c>
      <c r="C878" t="s">
        <v>562</v>
      </c>
      <c r="D878" t="s">
        <v>562</v>
      </c>
      <c r="E878" t="s">
        <v>2352</v>
      </c>
      <c r="F878" t="s">
        <v>562</v>
      </c>
      <c r="G878" t="s">
        <v>562</v>
      </c>
      <c r="H878" t="s">
        <v>562</v>
      </c>
      <c r="I878">
        <v>4920</v>
      </c>
      <c r="J878" t="s">
        <v>564</v>
      </c>
      <c r="K878" s="698">
        <v>45957.556250000001</v>
      </c>
      <c r="L878" s="698">
        <v>45957.556250000001</v>
      </c>
      <c r="M878" t="s">
        <v>565</v>
      </c>
      <c r="N878" t="s">
        <v>565</v>
      </c>
      <c r="O878" t="s">
        <v>566</v>
      </c>
      <c r="P878" t="s">
        <v>567</v>
      </c>
      <c r="S878" t="s">
        <v>567</v>
      </c>
      <c r="T878" t="s">
        <v>567</v>
      </c>
      <c r="Z878" t="s">
        <v>568</v>
      </c>
      <c r="AA878" t="s">
        <v>568</v>
      </c>
    </row>
    <row r="879" spans="1:27">
      <c r="A879" t="s">
        <v>2353</v>
      </c>
      <c r="B879" t="s">
        <v>562</v>
      </c>
      <c r="C879" t="s">
        <v>562</v>
      </c>
      <c r="D879" t="s">
        <v>2354</v>
      </c>
      <c r="E879" t="s">
        <v>2355</v>
      </c>
      <c r="F879" t="s">
        <v>562</v>
      </c>
      <c r="G879" t="s">
        <v>562</v>
      </c>
      <c r="H879" t="s">
        <v>562</v>
      </c>
      <c r="I879">
        <v>4489</v>
      </c>
      <c r="J879" t="s">
        <v>564</v>
      </c>
      <c r="K879" s="698">
        <v>45957.525000000001</v>
      </c>
      <c r="L879" s="698">
        <v>45957.525000000001</v>
      </c>
      <c r="M879" t="s">
        <v>565</v>
      </c>
      <c r="N879" t="s">
        <v>565</v>
      </c>
      <c r="O879" t="s">
        <v>566</v>
      </c>
      <c r="P879" t="s">
        <v>567</v>
      </c>
      <c r="S879" t="s">
        <v>567</v>
      </c>
      <c r="T879" t="s">
        <v>567</v>
      </c>
      <c r="Z879" t="s">
        <v>568</v>
      </c>
      <c r="AA879" t="s">
        <v>568</v>
      </c>
    </row>
    <row r="880" spans="1:27">
      <c r="A880" t="s">
        <v>2356</v>
      </c>
      <c r="B880" t="s">
        <v>2357</v>
      </c>
      <c r="C880" t="s">
        <v>2358</v>
      </c>
      <c r="D880" t="s">
        <v>2359</v>
      </c>
      <c r="E880" t="s">
        <v>2360</v>
      </c>
      <c r="F880" t="s">
        <v>562</v>
      </c>
      <c r="G880" t="s">
        <v>562</v>
      </c>
      <c r="H880" t="s">
        <v>562</v>
      </c>
      <c r="I880">
        <v>5020</v>
      </c>
      <c r="J880" t="s">
        <v>564</v>
      </c>
      <c r="K880" s="698">
        <v>45957.559027777781</v>
      </c>
      <c r="L880" s="698">
        <v>45957.559027777781</v>
      </c>
      <c r="M880" t="s">
        <v>565</v>
      </c>
      <c r="N880" t="s">
        <v>565</v>
      </c>
      <c r="O880" t="s">
        <v>566</v>
      </c>
      <c r="P880" t="s">
        <v>567</v>
      </c>
      <c r="S880" t="s">
        <v>567</v>
      </c>
      <c r="T880" t="s">
        <v>567</v>
      </c>
      <c r="Z880" t="s">
        <v>568</v>
      </c>
      <c r="AA880" t="s">
        <v>568</v>
      </c>
    </row>
    <row r="881" spans="1:27">
      <c r="A881" t="s">
        <v>2361</v>
      </c>
      <c r="B881" t="s">
        <v>777</v>
      </c>
      <c r="C881" t="s">
        <v>2362</v>
      </c>
      <c r="D881" t="s">
        <v>2363</v>
      </c>
      <c r="E881" t="s">
        <v>2364</v>
      </c>
      <c r="F881" t="s">
        <v>562</v>
      </c>
      <c r="G881" t="s">
        <v>562</v>
      </c>
      <c r="H881" t="s">
        <v>562</v>
      </c>
      <c r="I881">
        <v>4106</v>
      </c>
      <c r="J881" t="s">
        <v>564</v>
      </c>
      <c r="K881" s="698">
        <v>45957.477083333331</v>
      </c>
      <c r="L881" s="698">
        <v>45957.477083333331</v>
      </c>
      <c r="M881" t="s">
        <v>565</v>
      </c>
      <c r="N881" t="s">
        <v>565</v>
      </c>
      <c r="O881" t="s">
        <v>566</v>
      </c>
      <c r="P881" t="s">
        <v>567</v>
      </c>
      <c r="S881" t="s">
        <v>567</v>
      </c>
      <c r="T881" t="s">
        <v>567</v>
      </c>
      <c r="Z881" t="s">
        <v>568</v>
      </c>
      <c r="AA881" t="s">
        <v>568</v>
      </c>
    </row>
    <row r="882" spans="1:27">
      <c r="A882" t="s">
        <v>2365</v>
      </c>
      <c r="B882" t="s">
        <v>2366</v>
      </c>
      <c r="C882" t="s">
        <v>2367</v>
      </c>
      <c r="D882" t="s">
        <v>2368</v>
      </c>
      <c r="E882" t="s">
        <v>2369</v>
      </c>
      <c r="F882" t="s">
        <v>562</v>
      </c>
      <c r="G882" t="s">
        <v>562</v>
      </c>
      <c r="H882" t="s">
        <v>562</v>
      </c>
      <c r="I882">
        <v>3585</v>
      </c>
      <c r="J882" t="s">
        <v>564</v>
      </c>
      <c r="K882" s="698">
        <v>45957.418749999997</v>
      </c>
      <c r="L882" s="698">
        <v>45957.418749999997</v>
      </c>
      <c r="M882" t="s">
        <v>565</v>
      </c>
      <c r="N882" t="s">
        <v>565</v>
      </c>
      <c r="O882" t="s">
        <v>566</v>
      </c>
      <c r="P882" t="s">
        <v>567</v>
      </c>
      <c r="S882" t="s">
        <v>567</v>
      </c>
      <c r="T882" t="s">
        <v>567</v>
      </c>
      <c r="Z882" t="s">
        <v>568</v>
      </c>
      <c r="AA882" t="s">
        <v>568</v>
      </c>
    </row>
    <row r="883" spans="1:27">
      <c r="A883" t="s">
        <v>2365</v>
      </c>
      <c r="B883" t="s">
        <v>2366</v>
      </c>
      <c r="C883" t="s">
        <v>2370</v>
      </c>
      <c r="D883" t="s">
        <v>2368</v>
      </c>
      <c r="E883" t="s">
        <v>2371</v>
      </c>
      <c r="F883" t="s">
        <v>562</v>
      </c>
      <c r="G883" t="s">
        <v>562</v>
      </c>
      <c r="H883" t="s">
        <v>562</v>
      </c>
      <c r="I883">
        <v>4584</v>
      </c>
      <c r="J883" t="s">
        <v>564</v>
      </c>
      <c r="K883" s="698">
        <v>45957.536805555559</v>
      </c>
      <c r="L883" s="698">
        <v>45957.536805555559</v>
      </c>
      <c r="M883" t="s">
        <v>565</v>
      </c>
      <c r="N883" t="s">
        <v>565</v>
      </c>
      <c r="O883" t="s">
        <v>566</v>
      </c>
      <c r="P883" t="s">
        <v>567</v>
      </c>
      <c r="S883" t="s">
        <v>567</v>
      </c>
      <c r="T883" t="s">
        <v>567</v>
      </c>
      <c r="Z883" t="s">
        <v>568</v>
      </c>
      <c r="AA883" t="s">
        <v>568</v>
      </c>
    </row>
    <row r="884" spans="1:27">
      <c r="A884" t="s">
        <v>2372</v>
      </c>
      <c r="B884" t="s">
        <v>2373</v>
      </c>
      <c r="C884" t="s">
        <v>2374</v>
      </c>
      <c r="D884" t="s">
        <v>2375</v>
      </c>
      <c r="E884" t="s">
        <v>2376</v>
      </c>
      <c r="F884" t="s">
        <v>562</v>
      </c>
      <c r="G884" t="s">
        <v>562</v>
      </c>
      <c r="H884" t="s">
        <v>562</v>
      </c>
      <c r="I884">
        <v>4625</v>
      </c>
      <c r="J884" t="s">
        <v>564</v>
      </c>
      <c r="K884" s="698">
        <v>45957.541666666664</v>
      </c>
      <c r="L884" s="698">
        <v>45957.541666666664</v>
      </c>
      <c r="M884" t="s">
        <v>565</v>
      </c>
      <c r="N884" t="s">
        <v>565</v>
      </c>
      <c r="O884" t="s">
        <v>566</v>
      </c>
      <c r="P884" t="s">
        <v>567</v>
      </c>
      <c r="S884" t="s">
        <v>567</v>
      </c>
      <c r="T884" t="s">
        <v>567</v>
      </c>
      <c r="Z884" t="s">
        <v>568</v>
      </c>
      <c r="AA884" t="s">
        <v>568</v>
      </c>
    </row>
    <row r="885" spans="1:27">
      <c r="A885" t="s">
        <v>2372</v>
      </c>
      <c r="B885" t="s">
        <v>562</v>
      </c>
      <c r="C885" t="s">
        <v>562</v>
      </c>
      <c r="D885" t="s">
        <v>2375</v>
      </c>
      <c r="E885" t="s">
        <v>2377</v>
      </c>
      <c r="F885" t="s">
        <v>562</v>
      </c>
      <c r="G885" t="s">
        <v>562</v>
      </c>
      <c r="H885" t="s">
        <v>562</v>
      </c>
      <c r="I885">
        <v>4640</v>
      </c>
      <c r="J885" t="s">
        <v>564</v>
      </c>
      <c r="K885" s="698">
        <v>45957.547222222223</v>
      </c>
      <c r="L885" s="698">
        <v>45957.547222222223</v>
      </c>
      <c r="M885" t="s">
        <v>565</v>
      </c>
      <c r="N885" t="s">
        <v>565</v>
      </c>
      <c r="O885" t="s">
        <v>566</v>
      </c>
      <c r="P885" t="s">
        <v>567</v>
      </c>
      <c r="S885" t="s">
        <v>567</v>
      </c>
      <c r="T885" t="s">
        <v>567</v>
      </c>
      <c r="Z885" t="s">
        <v>568</v>
      </c>
      <c r="AA885" t="s">
        <v>568</v>
      </c>
    </row>
    <row r="886" spans="1:27">
      <c r="A886" t="s">
        <v>2372</v>
      </c>
      <c r="B886" t="s">
        <v>2378</v>
      </c>
      <c r="C886" t="s">
        <v>2379</v>
      </c>
      <c r="D886" t="s">
        <v>2375</v>
      </c>
      <c r="E886" t="s">
        <v>2380</v>
      </c>
      <c r="F886" t="s">
        <v>562</v>
      </c>
      <c r="G886" t="s">
        <v>562</v>
      </c>
      <c r="H886" t="s">
        <v>562</v>
      </c>
      <c r="I886">
        <v>4724</v>
      </c>
      <c r="J886" t="s">
        <v>564</v>
      </c>
      <c r="K886" s="698">
        <v>45957.55</v>
      </c>
      <c r="L886" s="698">
        <v>45957.55</v>
      </c>
      <c r="M886" t="s">
        <v>565</v>
      </c>
      <c r="N886" t="s">
        <v>565</v>
      </c>
      <c r="O886" t="s">
        <v>566</v>
      </c>
      <c r="P886" t="s">
        <v>567</v>
      </c>
      <c r="S886" t="s">
        <v>567</v>
      </c>
      <c r="T886" t="s">
        <v>567</v>
      </c>
      <c r="Z886" t="s">
        <v>568</v>
      </c>
      <c r="AA886" t="s">
        <v>568</v>
      </c>
    </row>
    <row r="887" spans="1:27">
      <c r="A887" t="s">
        <v>2381</v>
      </c>
      <c r="B887" t="s">
        <v>2382</v>
      </c>
      <c r="C887" t="s">
        <v>2383</v>
      </c>
      <c r="D887" t="s">
        <v>562</v>
      </c>
      <c r="E887" t="s">
        <v>2384</v>
      </c>
      <c r="F887" t="s">
        <v>562</v>
      </c>
      <c r="G887" t="s">
        <v>562</v>
      </c>
      <c r="H887" t="s">
        <v>562</v>
      </c>
      <c r="I887">
        <v>4950</v>
      </c>
      <c r="J887" t="s">
        <v>564</v>
      </c>
      <c r="K887" s="698">
        <v>45957.556944444441</v>
      </c>
      <c r="L887" s="698">
        <v>45957.556944444441</v>
      </c>
      <c r="M887" t="s">
        <v>565</v>
      </c>
      <c r="N887" t="s">
        <v>565</v>
      </c>
      <c r="O887" t="s">
        <v>566</v>
      </c>
      <c r="P887" t="s">
        <v>567</v>
      </c>
      <c r="S887" t="s">
        <v>567</v>
      </c>
      <c r="T887" t="s">
        <v>567</v>
      </c>
      <c r="Z887" t="s">
        <v>568</v>
      </c>
      <c r="AA887" t="s">
        <v>568</v>
      </c>
    </row>
    <row r="888" spans="1:27">
      <c r="A888" t="s">
        <v>2385</v>
      </c>
      <c r="B888" t="s">
        <v>1803</v>
      </c>
      <c r="C888" t="s">
        <v>2386</v>
      </c>
      <c r="D888" t="s">
        <v>562</v>
      </c>
      <c r="E888" t="s">
        <v>2387</v>
      </c>
      <c r="F888" t="s">
        <v>562</v>
      </c>
      <c r="G888" t="s">
        <v>562</v>
      </c>
      <c r="H888" t="s">
        <v>562</v>
      </c>
      <c r="I888">
        <v>4487</v>
      </c>
      <c r="J888" t="s">
        <v>564</v>
      </c>
      <c r="K888" s="698">
        <v>45957.524305555555</v>
      </c>
      <c r="L888" s="698">
        <v>45957.524305555555</v>
      </c>
      <c r="M888" t="s">
        <v>565</v>
      </c>
      <c r="N888" t="s">
        <v>565</v>
      </c>
      <c r="O888" t="s">
        <v>566</v>
      </c>
      <c r="P888" t="s">
        <v>567</v>
      </c>
      <c r="S888" t="s">
        <v>567</v>
      </c>
      <c r="T888" t="s">
        <v>567</v>
      </c>
      <c r="Z888" t="s">
        <v>568</v>
      </c>
      <c r="AA888" t="s">
        <v>568</v>
      </c>
    </row>
    <row r="889" spans="1:27">
      <c r="A889" t="s">
        <v>2385</v>
      </c>
      <c r="B889" t="s">
        <v>2388</v>
      </c>
      <c r="C889" t="s">
        <v>2389</v>
      </c>
      <c r="D889" t="s">
        <v>562</v>
      </c>
      <c r="E889" t="s">
        <v>2390</v>
      </c>
      <c r="F889" t="s">
        <v>562</v>
      </c>
      <c r="G889" t="s">
        <v>562</v>
      </c>
      <c r="H889" t="s">
        <v>562</v>
      </c>
      <c r="I889">
        <v>4645</v>
      </c>
      <c r="J889" t="s">
        <v>564</v>
      </c>
      <c r="K889" s="698">
        <v>45957.547222222223</v>
      </c>
      <c r="L889" s="698">
        <v>45957.547222222223</v>
      </c>
      <c r="M889" t="s">
        <v>565</v>
      </c>
      <c r="N889" t="s">
        <v>565</v>
      </c>
      <c r="O889" t="s">
        <v>566</v>
      </c>
      <c r="P889" t="s">
        <v>567</v>
      </c>
      <c r="S889" t="s">
        <v>567</v>
      </c>
      <c r="T889" t="s">
        <v>567</v>
      </c>
      <c r="Z889" t="s">
        <v>568</v>
      </c>
      <c r="AA889" t="s">
        <v>568</v>
      </c>
    </row>
    <row r="890" spans="1:27">
      <c r="A890" t="s">
        <v>2385</v>
      </c>
      <c r="B890" t="s">
        <v>2388</v>
      </c>
      <c r="C890" t="s">
        <v>2391</v>
      </c>
      <c r="D890" t="s">
        <v>562</v>
      </c>
      <c r="E890" t="s">
        <v>2392</v>
      </c>
      <c r="F890" t="s">
        <v>562</v>
      </c>
      <c r="G890" t="s">
        <v>562</v>
      </c>
      <c r="H890" t="s">
        <v>562</v>
      </c>
      <c r="I890">
        <v>4733</v>
      </c>
      <c r="J890" t="s">
        <v>564</v>
      </c>
      <c r="K890" s="698">
        <v>45957.55</v>
      </c>
      <c r="L890" s="698">
        <v>45957.55</v>
      </c>
      <c r="M890" t="s">
        <v>565</v>
      </c>
      <c r="N890" t="s">
        <v>565</v>
      </c>
      <c r="O890" t="s">
        <v>566</v>
      </c>
      <c r="P890" t="s">
        <v>567</v>
      </c>
      <c r="S890" t="s">
        <v>567</v>
      </c>
      <c r="T890" t="s">
        <v>567</v>
      </c>
      <c r="Z890" t="s">
        <v>568</v>
      </c>
      <c r="AA890" t="s">
        <v>568</v>
      </c>
    </row>
    <row r="891" spans="1:27">
      <c r="A891" t="s">
        <v>2393</v>
      </c>
      <c r="B891" t="s">
        <v>2394</v>
      </c>
      <c r="C891" t="s">
        <v>2395</v>
      </c>
      <c r="D891" t="s">
        <v>2396</v>
      </c>
      <c r="E891" t="s">
        <v>2397</v>
      </c>
      <c r="F891" t="s">
        <v>562</v>
      </c>
      <c r="G891" t="s">
        <v>562</v>
      </c>
      <c r="H891" t="s">
        <v>562</v>
      </c>
      <c r="I891">
        <v>4229</v>
      </c>
      <c r="J891" t="s">
        <v>564</v>
      </c>
      <c r="K891" s="698">
        <v>45957.492361111108</v>
      </c>
      <c r="L891" s="698">
        <v>45957.492361111108</v>
      </c>
      <c r="M891" t="s">
        <v>565</v>
      </c>
      <c r="N891" t="s">
        <v>565</v>
      </c>
      <c r="O891" t="s">
        <v>566</v>
      </c>
      <c r="P891" t="s">
        <v>567</v>
      </c>
      <c r="S891" t="s">
        <v>567</v>
      </c>
      <c r="T891" t="s">
        <v>567</v>
      </c>
      <c r="Z891" t="s">
        <v>568</v>
      </c>
      <c r="AA891" t="s">
        <v>568</v>
      </c>
    </row>
    <row r="892" spans="1:27">
      <c r="A892" t="s">
        <v>2398</v>
      </c>
      <c r="B892" t="s">
        <v>2399</v>
      </c>
      <c r="C892" t="s">
        <v>2400</v>
      </c>
      <c r="D892" t="s">
        <v>2401</v>
      </c>
      <c r="E892" t="s">
        <v>2402</v>
      </c>
      <c r="F892" t="s">
        <v>562</v>
      </c>
      <c r="G892" t="s">
        <v>562</v>
      </c>
      <c r="H892" t="s">
        <v>562</v>
      </c>
      <c r="I892">
        <v>5220</v>
      </c>
      <c r="J892" t="s">
        <v>564</v>
      </c>
      <c r="K892" s="698">
        <v>45957.564583333333</v>
      </c>
      <c r="L892" s="698">
        <v>45957.564583333333</v>
      </c>
      <c r="M892" t="s">
        <v>565</v>
      </c>
      <c r="N892" t="s">
        <v>565</v>
      </c>
      <c r="O892" t="s">
        <v>566</v>
      </c>
      <c r="P892" t="s">
        <v>567</v>
      </c>
      <c r="S892" t="s">
        <v>567</v>
      </c>
      <c r="T892" t="s">
        <v>567</v>
      </c>
      <c r="Z892" t="s">
        <v>568</v>
      </c>
      <c r="AA892" t="s">
        <v>568</v>
      </c>
    </row>
    <row r="893" spans="1:27">
      <c r="A893" t="s">
        <v>2403</v>
      </c>
      <c r="B893" t="s">
        <v>562</v>
      </c>
      <c r="C893" t="s">
        <v>562</v>
      </c>
      <c r="D893" t="s">
        <v>2342</v>
      </c>
      <c r="E893" t="s">
        <v>2404</v>
      </c>
      <c r="F893" t="s">
        <v>562</v>
      </c>
      <c r="G893" t="s">
        <v>562</v>
      </c>
      <c r="H893" t="s">
        <v>562</v>
      </c>
      <c r="I893">
        <v>4321</v>
      </c>
      <c r="J893" t="s">
        <v>564</v>
      </c>
      <c r="K893" s="698">
        <v>45957.504166666666</v>
      </c>
      <c r="L893" s="698">
        <v>45957.504166666666</v>
      </c>
      <c r="M893" t="s">
        <v>565</v>
      </c>
      <c r="N893" t="s">
        <v>565</v>
      </c>
      <c r="O893" t="s">
        <v>566</v>
      </c>
      <c r="P893" t="s">
        <v>567</v>
      </c>
      <c r="S893" t="s">
        <v>567</v>
      </c>
      <c r="T893" t="s">
        <v>567</v>
      </c>
      <c r="Z893" t="s">
        <v>568</v>
      </c>
      <c r="AA893" t="s">
        <v>568</v>
      </c>
    </row>
    <row r="894" spans="1:27">
      <c r="A894" t="s">
        <v>2405</v>
      </c>
      <c r="B894" t="s">
        <v>2406</v>
      </c>
      <c r="C894" t="s">
        <v>2407</v>
      </c>
      <c r="D894" t="s">
        <v>562</v>
      </c>
      <c r="E894" t="s">
        <v>2408</v>
      </c>
      <c r="F894" t="s">
        <v>562</v>
      </c>
      <c r="G894" t="s">
        <v>562</v>
      </c>
      <c r="H894" t="s">
        <v>562</v>
      </c>
      <c r="I894">
        <v>4492</v>
      </c>
      <c r="J894" t="s">
        <v>564</v>
      </c>
      <c r="K894" s="698">
        <v>45957.525000000001</v>
      </c>
      <c r="L894" s="698">
        <v>45957.525000000001</v>
      </c>
      <c r="M894" t="s">
        <v>565</v>
      </c>
      <c r="N894" t="s">
        <v>565</v>
      </c>
      <c r="O894" t="s">
        <v>566</v>
      </c>
      <c r="P894" t="s">
        <v>567</v>
      </c>
      <c r="S894" t="s">
        <v>567</v>
      </c>
      <c r="T894" t="s">
        <v>567</v>
      </c>
      <c r="Z894" t="s">
        <v>568</v>
      </c>
      <c r="AA894" t="s">
        <v>568</v>
      </c>
    </row>
    <row r="895" spans="1:27">
      <c r="A895" t="s">
        <v>2409</v>
      </c>
      <c r="B895" t="s">
        <v>2410</v>
      </c>
      <c r="C895" t="s">
        <v>663</v>
      </c>
      <c r="D895" t="s">
        <v>562</v>
      </c>
      <c r="E895" t="s">
        <v>2411</v>
      </c>
      <c r="F895" t="s">
        <v>562</v>
      </c>
      <c r="G895" t="s">
        <v>562</v>
      </c>
      <c r="H895" t="s">
        <v>562</v>
      </c>
      <c r="I895">
        <v>4788</v>
      </c>
      <c r="J895" t="s">
        <v>564</v>
      </c>
      <c r="K895" s="698">
        <v>45957.552083333336</v>
      </c>
      <c r="L895" s="698">
        <v>45957.552083333336</v>
      </c>
      <c r="M895" t="s">
        <v>565</v>
      </c>
      <c r="N895" t="s">
        <v>565</v>
      </c>
      <c r="O895" t="s">
        <v>566</v>
      </c>
      <c r="P895" t="s">
        <v>567</v>
      </c>
      <c r="S895" t="s">
        <v>567</v>
      </c>
      <c r="T895" t="s">
        <v>567</v>
      </c>
      <c r="Z895" t="s">
        <v>568</v>
      </c>
      <c r="AA895" t="s">
        <v>568</v>
      </c>
    </row>
    <row r="896" spans="1:27">
      <c r="A896" t="s">
        <v>2412</v>
      </c>
      <c r="B896" t="s">
        <v>2394</v>
      </c>
      <c r="C896" t="s">
        <v>2413</v>
      </c>
      <c r="D896" t="s">
        <v>562</v>
      </c>
      <c r="E896" t="s">
        <v>2414</v>
      </c>
      <c r="F896" t="s">
        <v>562</v>
      </c>
      <c r="G896" t="s">
        <v>562</v>
      </c>
      <c r="H896" t="s">
        <v>562</v>
      </c>
      <c r="I896">
        <v>4377</v>
      </c>
      <c r="J896" t="s">
        <v>564</v>
      </c>
      <c r="K896" s="698">
        <v>45957.511111111111</v>
      </c>
      <c r="L896" s="698">
        <v>45957.511111111111</v>
      </c>
      <c r="M896" t="s">
        <v>565</v>
      </c>
      <c r="N896" t="s">
        <v>565</v>
      </c>
      <c r="O896" t="s">
        <v>566</v>
      </c>
      <c r="P896" t="s">
        <v>567</v>
      </c>
      <c r="S896" t="s">
        <v>567</v>
      </c>
      <c r="T896" t="s">
        <v>567</v>
      </c>
      <c r="Z896" t="s">
        <v>568</v>
      </c>
      <c r="AA896" t="s">
        <v>568</v>
      </c>
    </row>
    <row r="897" spans="1:27">
      <c r="A897" t="s">
        <v>2415</v>
      </c>
      <c r="B897" t="s">
        <v>2416</v>
      </c>
      <c r="C897" t="s">
        <v>2417</v>
      </c>
      <c r="D897" t="s">
        <v>562</v>
      </c>
      <c r="E897" t="s">
        <v>2418</v>
      </c>
      <c r="F897" t="s">
        <v>562</v>
      </c>
      <c r="G897" t="s">
        <v>562</v>
      </c>
      <c r="H897" t="s">
        <v>562</v>
      </c>
      <c r="I897">
        <v>4075</v>
      </c>
      <c r="J897" t="s">
        <v>564</v>
      </c>
      <c r="K897" s="698">
        <v>45957.472916666666</v>
      </c>
      <c r="L897" s="698">
        <v>45957.472916666666</v>
      </c>
      <c r="M897" t="s">
        <v>565</v>
      </c>
      <c r="N897" t="s">
        <v>565</v>
      </c>
      <c r="O897" t="s">
        <v>566</v>
      </c>
      <c r="P897" t="s">
        <v>567</v>
      </c>
      <c r="S897" t="s">
        <v>567</v>
      </c>
      <c r="T897" t="s">
        <v>567</v>
      </c>
      <c r="Z897" t="s">
        <v>568</v>
      </c>
      <c r="AA897" t="s">
        <v>568</v>
      </c>
    </row>
    <row r="898" spans="1:27">
      <c r="A898" t="s">
        <v>2419</v>
      </c>
      <c r="B898" t="s">
        <v>2420</v>
      </c>
      <c r="C898" t="s">
        <v>2421</v>
      </c>
      <c r="D898" t="s">
        <v>2422</v>
      </c>
      <c r="E898" t="s">
        <v>2423</v>
      </c>
      <c r="F898" t="s">
        <v>562</v>
      </c>
      <c r="G898" t="s">
        <v>562</v>
      </c>
      <c r="H898" t="s">
        <v>562</v>
      </c>
      <c r="I898">
        <v>4704</v>
      </c>
      <c r="J898" t="s">
        <v>564</v>
      </c>
      <c r="K898" s="698">
        <v>45957.549305555556</v>
      </c>
      <c r="L898" s="698">
        <v>45957.549305555556</v>
      </c>
      <c r="M898" t="s">
        <v>565</v>
      </c>
      <c r="N898" t="s">
        <v>565</v>
      </c>
      <c r="O898" t="s">
        <v>566</v>
      </c>
      <c r="P898" t="s">
        <v>567</v>
      </c>
      <c r="S898" t="s">
        <v>567</v>
      </c>
      <c r="T898" t="s">
        <v>567</v>
      </c>
      <c r="Z898" t="s">
        <v>568</v>
      </c>
      <c r="AA898" t="s">
        <v>568</v>
      </c>
    </row>
    <row r="899" spans="1:27">
      <c r="A899" t="s">
        <v>2424</v>
      </c>
      <c r="B899" t="s">
        <v>562</v>
      </c>
      <c r="C899" t="s">
        <v>562</v>
      </c>
      <c r="D899" t="s">
        <v>2425</v>
      </c>
      <c r="E899" t="s">
        <v>2426</v>
      </c>
      <c r="F899" t="s">
        <v>562</v>
      </c>
      <c r="G899" t="s">
        <v>562</v>
      </c>
      <c r="H899" t="s">
        <v>562</v>
      </c>
      <c r="I899">
        <v>4564</v>
      </c>
      <c r="J899" t="s">
        <v>564</v>
      </c>
      <c r="K899" s="698">
        <v>45957.53402777778</v>
      </c>
      <c r="L899" s="698">
        <v>45957.53402777778</v>
      </c>
      <c r="M899" t="s">
        <v>565</v>
      </c>
      <c r="N899" t="s">
        <v>565</v>
      </c>
      <c r="O899" t="s">
        <v>566</v>
      </c>
      <c r="P899" t="s">
        <v>567</v>
      </c>
      <c r="S899" t="s">
        <v>567</v>
      </c>
      <c r="T899" t="s">
        <v>567</v>
      </c>
      <c r="Z899" t="s">
        <v>568</v>
      </c>
      <c r="AA899" t="s">
        <v>568</v>
      </c>
    </row>
    <row r="900" spans="1:27">
      <c r="A900" t="s">
        <v>2427</v>
      </c>
      <c r="B900" t="s">
        <v>562</v>
      </c>
      <c r="C900" t="s">
        <v>562</v>
      </c>
      <c r="D900" t="s">
        <v>2428</v>
      </c>
      <c r="E900" t="s">
        <v>2429</v>
      </c>
      <c r="F900" t="s">
        <v>562</v>
      </c>
      <c r="G900" t="s">
        <v>562</v>
      </c>
      <c r="H900" t="s">
        <v>562</v>
      </c>
      <c r="I900">
        <v>4566</v>
      </c>
      <c r="J900" t="s">
        <v>564</v>
      </c>
      <c r="K900" s="698">
        <v>45957.53402777778</v>
      </c>
      <c r="L900" s="698">
        <v>45957.53402777778</v>
      </c>
      <c r="M900" t="s">
        <v>565</v>
      </c>
      <c r="N900" t="s">
        <v>565</v>
      </c>
      <c r="O900" t="s">
        <v>566</v>
      </c>
      <c r="P900" t="s">
        <v>567</v>
      </c>
      <c r="S900" t="s">
        <v>567</v>
      </c>
      <c r="T900" t="s">
        <v>567</v>
      </c>
      <c r="Z900" t="s">
        <v>568</v>
      </c>
      <c r="AA900" t="s">
        <v>568</v>
      </c>
    </row>
    <row r="901" spans="1:27">
      <c r="A901" t="s">
        <v>2430</v>
      </c>
      <c r="B901" t="s">
        <v>2431</v>
      </c>
      <c r="C901" t="s">
        <v>562</v>
      </c>
      <c r="D901" t="s">
        <v>2432</v>
      </c>
      <c r="E901" t="s">
        <v>1993</v>
      </c>
      <c r="F901" t="s">
        <v>562</v>
      </c>
      <c r="G901" t="s">
        <v>562</v>
      </c>
      <c r="H901" t="s">
        <v>562</v>
      </c>
      <c r="I901">
        <v>3586</v>
      </c>
      <c r="J901" t="s">
        <v>564</v>
      </c>
      <c r="K901" s="698">
        <v>45957.418749999997</v>
      </c>
      <c r="L901" s="698">
        <v>45957.418749999997</v>
      </c>
      <c r="M901" t="s">
        <v>565</v>
      </c>
      <c r="N901" t="s">
        <v>565</v>
      </c>
      <c r="O901" t="s">
        <v>566</v>
      </c>
      <c r="P901" t="s">
        <v>567</v>
      </c>
      <c r="S901" t="s">
        <v>567</v>
      </c>
      <c r="T901" t="s">
        <v>567</v>
      </c>
      <c r="Z901" t="s">
        <v>568</v>
      </c>
      <c r="AA901" t="s">
        <v>568</v>
      </c>
    </row>
    <row r="902" spans="1:27">
      <c r="A902" t="s">
        <v>2433</v>
      </c>
      <c r="B902" t="s">
        <v>2434</v>
      </c>
      <c r="C902" t="s">
        <v>562</v>
      </c>
      <c r="D902" t="s">
        <v>562</v>
      </c>
      <c r="E902" t="s">
        <v>2435</v>
      </c>
      <c r="F902" t="s">
        <v>562</v>
      </c>
      <c r="G902" t="s">
        <v>562</v>
      </c>
      <c r="H902" t="s">
        <v>562</v>
      </c>
      <c r="I902">
        <v>5154</v>
      </c>
      <c r="J902" t="s">
        <v>564</v>
      </c>
      <c r="K902" s="698">
        <v>45957.563194444447</v>
      </c>
      <c r="L902" s="698">
        <v>45957.563194444447</v>
      </c>
      <c r="M902" t="s">
        <v>565</v>
      </c>
      <c r="N902" t="s">
        <v>565</v>
      </c>
      <c r="O902" t="s">
        <v>566</v>
      </c>
      <c r="P902" t="s">
        <v>567</v>
      </c>
      <c r="S902" t="s">
        <v>567</v>
      </c>
      <c r="T902" t="s">
        <v>567</v>
      </c>
      <c r="Z902" t="s">
        <v>568</v>
      </c>
      <c r="AA902" t="s">
        <v>568</v>
      </c>
    </row>
    <row r="903" spans="1:27">
      <c r="A903" t="s">
        <v>2436</v>
      </c>
      <c r="B903" t="s">
        <v>562</v>
      </c>
      <c r="C903" t="s">
        <v>562</v>
      </c>
      <c r="D903" t="s">
        <v>2437</v>
      </c>
      <c r="E903" t="s">
        <v>2438</v>
      </c>
      <c r="F903" t="s">
        <v>562</v>
      </c>
      <c r="G903" t="s">
        <v>562</v>
      </c>
      <c r="H903" t="s">
        <v>562</v>
      </c>
      <c r="I903">
        <v>3853</v>
      </c>
      <c r="J903" t="s">
        <v>564</v>
      </c>
      <c r="K903" s="698">
        <v>45957.447916666664</v>
      </c>
      <c r="L903" s="698">
        <v>45957.447916666664</v>
      </c>
      <c r="M903" t="s">
        <v>565</v>
      </c>
      <c r="N903" t="s">
        <v>565</v>
      </c>
      <c r="O903" t="s">
        <v>566</v>
      </c>
      <c r="P903" t="s">
        <v>567</v>
      </c>
      <c r="S903" t="s">
        <v>567</v>
      </c>
      <c r="T903" t="s">
        <v>567</v>
      </c>
      <c r="Z903" t="s">
        <v>568</v>
      </c>
      <c r="AA903" t="s">
        <v>568</v>
      </c>
    </row>
    <row r="904" spans="1:27">
      <c r="A904" t="s">
        <v>2436</v>
      </c>
      <c r="B904" t="s">
        <v>562</v>
      </c>
      <c r="C904" t="s">
        <v>562</v>
      </c>
      <c r="D904" t="s">
        <v>2437</v>
      </c>
      <c r="E904" t="s">
        <v>2439</v>
      </c>
      <c r="F904" t="s">
        <v>562</v>
      </c>
      <c r="G904" t="s">
        <v>562</v>
      </c>
      <c r="H904" t="s">
        <v>562</v>
      </c>
      <c r="I904">
        <v>3926</v>
      </c>
      <c r="J904" t="s">
        <v>564</v>
      </c>
      <c r="K904" s="698">
        <v>45957.455555555556</v>
      </c>
      <c r="L904" s="698">
        <v>45957.455555555556</v>
      </c>
      <c r="M904" t="s">
        <v>565</v>
      </c>
      <c r="N904" t="s">
        <v>565</v>
      </c>
      <c r="O904" t="s">
        <v>566</v>
      </c>
      <c r="P904" t="s">
        <v>567</v>
      </c>
      <c r="S904" t="s">
        <v>567</v>
      </c>
      <c r="T904" t="s">
        <v>567</v>
      </c>
      <c r="Z904" t="s">
        <v>568</v>
      </c>
      <c r="AA904" t="s">
        <v>568</v>
      </c>
    </row>
    <row r="905" spans="1:27">
      <c r="A905" t="s">
        <v>2436</v>
      </c>
      <c r="B905" t="s">
        <v>2440</v>
      </c>
      <c r="C905" t="s">
        <v>2441</v>
      </c>
      <c r="D905" t="s">
        <v>2437</v>
      </c>
      <c r="E905" t="s">
        <v>2442</v>
      </c>
      <c r="F905" t="s">
        <v>562</v>
      </c>
      <c r="G905" t="s">
        <v>562</v>
      </c>
      <c r="H905" t="s">
        <v>562</v>
      </c>
      <c r="I905">
        <v>5132</v>
      </c>
      <c r="J905" t="s">
        <v>564</v>
      </c>
      <c r="K905" s="698">
        <v>45957.5625</v>
      </c>
      <c r="L905" s="698">
        <v>45957.5625</v>
      </c>
      <c r="M905" t="s">
        <v>565</v>
      </c>
      <c r="N905" t="s">
        <v>565</v>
      </c>
      <c r="O905" t="s">
        <v>566</v>
      </c>
      <c r="P905" t="s">
        <v>567</v>
      </c>
      <c r="S905" t="s">
        <v>567</v>
      </c>
      <c r="T905" t="s">
        <v>567</v>
      </c>
      <c r="Z905" t="s">
        <v>568</v>
      </c>
      <c r="AA905" t="s">
        <v>568</v>
      </c>
    </row>
    <row r="906" spans="1:27">
      <c r="A906" t="s">
        <v>2443</v>
      </c>
      <c r="B906" t="s">
        <v>562</v>
      </c>
      <c r="C906" t="s">
        <v>2444</v>
      </c>
      <c r="D906" t="s">
        <v>2445</v>
      </c>
      <c r="E906" t="s">
        <v>562</v>
      </c>
      <c r="F906" t="s">
        <v>562</v>
      </c>
      <c r="G906" t="s">
        <v>562</v>
      </c>
      <c r="H906" t="s">
        <v>562</v>
      </c>
      <c r="I906">
        <v>3527</v>
      </c>
      <c r="J906" t="s">
        <v>564</v>
      </c>
      <c r="K906" s="698">
        <v>45957.412499999999</v>
      </c>
      <c r="L906" s="698">
        <v>45957.412499999999</v>
      </c>
      <c r="M906" t="s">
        <v>565</v>
      </c>
      <c r="N906" t="s">
        <v>565</v>
      </c>
      <c r="O906" t="s">
        <v>566</v>
      </c>
      <c r="P906" t="s">
        <v>567</v>
      </c>
      <c r="S906" t="s">
        <v>567</v>
      </c>
      <c r="T906" t="s">
        <v>567</v>
      </c>
      <c r="Z906" t="s">
        <v>568</v>
      </c>
      <c r="AA906" t="s">
        <v>568</v>
      </c>
    </row>
    <row r="907" spans="1:27">
      <c r="A907" t="s">
        <v>2446</v>
      </c>
      <c r="B907" t="s">
        <v>2447</v>
      </c>
      <c r="C907" t="s">
        <v>2448</v>
      </c>
      <c r="D907" t="s">
        <v>2449</v>
      </c>
      <c r="E907" t="s">
        <v>2450</v>
      </c>
      <c r="F907" t="s">
        <v>562</v>
      </c>
      <c r="G907" t="s">
        <v>562</v>
      </c>
      <c r="H907" t="s">
        <v>562</v>
      </c>
      <c r="I907">
        <v>4213</v>
      </c>
      <c r="J907" t="s">
        <v>564</v>
      </c>
      <c r="K907" s="698">
        <v>45957.490277777775</v>
      </c>
      <c r="L907" s="698">
        <v>45957.490277777775</v>
      </c>
      <c r="M907" t="s">
        <v>565</v>
      </c>
      <c r="N907" t="s">
        <v>565</v>
      </c>
      <c r="O907" t="s">
        <v>566</v>
      </c>
      <c r="P907" t="s">
        <v>567</v>
      </c>
      <c r="S907" t="s">
        <v>567</v>
      </c>
      <c r="T907" t="s">
        <v>567</v>
      </c>
      <c r="Z907" t="s">
        <v>568</v>
      </c>
      <c r="AA907" t="s">
        <v>568</v>
      </c>
    </row>
    <row r="908" spans="1:27">
      <c r="A908" t="s">
        <v>2451</v>
      </c>
      <c r="B908" t="s">
        <v>2452</v>
      </c>
      <c r="C908" t="s">
        <v>2453</v>
      </c>
      <c r="D908" t="s">
        <v>2454</v>
      </c>
      <c r="E908" t="s">
        <v>2455</v>
      </c>
      <c r="F908" t="s">
        <v>562</v>
      </c>
      <c r="G908" t="s">
        <v>562</v>
      </c>
      <c r="H908" t="s">
        <v>562</v>
      </c>
      <c r="I908">
        <v>4120</v>
      </c>
      <c r="J908" t="s">
        <v>564</v>
      </c>
      <c r="K908" s="698">
        <v>45957.478472222225</v>
      </c>
      <c r="L908" s="698">
        <v>45957.478472222225</v>
      </c>
      <c r="M908" t="s">
        <v>565</v>
      </c>
      <c r="N908" t="s">
        <v>565</v>
      </c>
      <c r="O908" t="s">
        <v>566</v>
      </c>
      <c r="P908" t="s">
        <v>567</v>
      </c>
      <c r="S908" t="s">
        <v>567</v>
      </c>
      <c r="T908" t="s">
        <v>567</v>
      </c>
      <c r="Z908" t="s">
        <v>568</v>
      </c>
      <c r="AA908" t="s">
        <v>568</v>
      </c>
    </row>
    <row r="909" spans="1:27">
      <c r="A909" t="s">
        <v>2456</v>
      </c>
      <c r="B909" t="s">
        <v>2457</v>
      </c>
      <c r="C909" t="s">
        <v>2458</v>
      </c>
      <c r="D909" t="s">
        <v>2459</v>
      </c>
      <c r="E909" t="s">
        <v>562</v>
      </c>
      <c r="F909" t="s">
        <v>562</v>
      </c>
      <c r="G909" t="s">
        <v>562</v>
      </c>
      <c r="H909" t="s">
        <v>562</v>
      </c>
      <c r="I909">
        <v>3528</v>
      </c>
      <c r="J909" t="s">
        <v>564</v>
      </c>
      <c r="K909" s="698">
        <v>45957.412499999999</v>
      </c>
      <c r="L909" s="698">
        <v>45957.412499999999</v>
      </c>
      <c r="M909" t="s">
        <v>565</v>
      </c>
      <c r="N909" t="s">
        <v>565</v>
      </c>
      <c r="O909" t="s">
        <v>566</v>
      </c>
      <c r="P909" t="s">
        <v>567</v>
      </c>
      <c r="S909" t="s">
        <v>567</v>
      </c>
      <c r="T909" t="s">
        <v>567</v>
      </c>
      <c r="Z909" t="s">
        <v>568</v>
      </c>
      <c r="AA909" t="s">
        <v>568</v>
      </c>
    </row>
    <row r="910" spans="1:27">
      <c r="A910" t="s">
        <v>2460</v>
      </c>
      <c r="B910" t="s">
        <v>732</v>
      </c>
      <c r="C910" t="s">
        <v>2461</v>
      </c>
      <c r="D910" t="s">
        <v>2462</v>
      </c>
      <c r="E910" t="s">
        <v>2463</v>
      </c>
      <c r="F910" t="s">
        <v>562</v>
      </c>
      <c r="G910" t="s">
        <v>562</v>
      </c>
      <c r="H910" t="s">
        <v>562</v>
      </c>
      <c r="I910">
        <v>3529</v>
      </c>
      <c r="J910" t="s">
        <v>564</v>
      </c>
      <c r="K910" s="698">
        <v>45957.412499999999</v>
      </c>
      <c r="L910" s="698">
        <v>45957.412499999999</v>
      </c>
      <c r="M910" t="s">
        <v>565</v>
      </c>
      <c r="N910" t="s">
        <v>565</v>
      </c>
      <c r="O910" t="s">
        <v>566</v>
      </c>
      <c r="P910" t="s">
        <v>567</v>
      </c>
      <c r="S910" t="s">
        <v>567</v>
      </c>
      <c r="T910" t="s">
        <v>567</v>
      </c>
      <c r="Z910" t="s">
        <v>568</v>
      </c>
      <c r="AA910" t="s">
        <v>568</v>
      </c>
    </row>
    <row r="911" spans="1:27">
      <c r="A911" t="s">
        <v>2464</v>
      </c>
      <c r="B911" t="s">
        <v>2465</v>
      </c>
      <c r="C911" t="s">
        <v>2466</v>
      </c>
      <c r="D911" t="s">
        <v>562</v>
      </c>
      <c r="E911" t="s">
        <v>2467</v>
      </c>
      <c r="F911" t="s">
        <v>562</v>
      </c>
      <c r="G911" t="s">
        <v>562</v>
      </c>
      <c r="H911" t="s">
        <v>562</v>
      </c>
      <c r="I911">
        <v>3530</v>
      </c>
      <c r="J911" t="s">
        <v>564</v>
      </c>
      <c r="K911" s="698">
        <v>45957.412499999999</v>
      </c>
      <c r="L911" s="698">
        <v>45957.412499999999</v>
      </c>
      <c r="M911" t="s">
        <v>565</v>
      </c>
      <c r="N911" t="s">
        <v>565</v>
      </c>
      <c r="O911" t="s">
        <v>566</v>
      </c>
      <c r="P911" t="s">
        <v>567</v>
      </c>
      <c r="S911" t="s">
        <v>567</v>
      </c>
      <c r="T911" t="s">
        <v>567</v>
      </c>
      <c r="Z911" t="s">
        <v>568</v>
      </c>
      <c r="AA911" t="s">
        <v>568</v>
      </c>
    </row>
    <row r="912" spans="1:27">
      <c r="A912" t="s">
        <v>2468</v>
      </c>
      <c r="B912" t="s">
        <v>2469</v>
      </c>
      <c r="C912" t="s">
        <v>562</v>
      </c>
      <c r="D912" t="s">
        <v>562</v>
      </c>
      <c r="E912" t="s">
        <v>2470</v>
      </c>
      <c r="F912" t="s">
        <v>562</v>
      </c>
      <c r="G912" t="s">
        <v>562</v>
      </c>
      <c r="H912" t="s">
        <v>562</v>
      </c>
      <c r="I912">
        <v>4610</v>
      </c>
      <c r="J912" t="s">
        <v>564</v>
      </c>
      <c r="K912" s="698">
        <v>45957.539583333331</v>
      </c>
      <c r="L912" s="698">
        <v>45957.539583333331</v>
      </c>
      <c r="M912" t="s">
        <v>565</v>
      </c>
      <c r="N912" t="s">
        <v>565</v>
      </c>
      <c r="O912" t="s">
        <v>566</v>
      </c>
      <c r="P912" t="s">
        <v>567</v>
      </c>
      <c r="S912" t="s">
        <v>567</v>
      </c>
      <c r="T912" t="s">
        <v>567</v>
      </c>
      <c r="Z912" t="s">
        <v>568</v>
      </c>
      <c r="AA912" t="s">
        <v>568</v>
      </c>
    </row>
    <row r="913" spans="1:27">
      <c r="A913" t="s">
        <v>2471</v>
      </c>
      <c r="B913" t="s">
        <v>2472</v>
      </c>
      <c r="C913" t="s">
        <v>2473</v>
      </c>
      <c r="D913" t="s">
        <v>562</v>
      </c>
      <c r="E913" t="s">
        <v>2474</v>
      </c>
      <c r="F913" t="s">
        <v>562</v>
      </c>
      <c r="G913" t="s">
        <v>562</v>
      </c>
      <c r="H913" t="s">
        <v>562</v>
      </c>
      <c r="I913">
        <v>5186</v>
      </c>
      <c r="J913" t="s">
        <v>564</v>
      </c>
      <c r="K913" s="698">
        <v>45957.563888888886</v>
      </c>
      <c r="L913" s="698">
        <v>45957.563888888886</v>
      </c>
      <c r="M913" t="s">
        <v>565</v>
      </c>
      <c r="N913" t="s">
        <v>565</v>
      </c>
      <c r="O913" t="s">
        <v>566</v>
      </c>
      <c r="P913" t="s">
        <v>567</v>
      </c>
      <c r="S913" t="s">
        <v>567</v>
      </c>
      <c r="T913" t="s">
        <v>567</v>
      </c>
      <c r="Z913" t="s">
        <v>568</v>
      </c>
      <c r="AA913" t="s">
        <v>568</v>
      </c>
    </row>
    <row r="914" spans="1:27">
      <c r="A914" t="s">
        <v>2475</v>
      </c>
      <c r="B914" t="s">
        <v>2476</v>
      </c>
      <c r="C914" t="s">
        <v>2477</v>
      </c>
      <c r="D914" t="s">
        <v>2478</v>
      </c>
      <c r="E914" t="s">
        <v>2479</v>
      </c>
      <c r="F914" t="s">
        <v>562</v>
      </c>
      <c r="G914" t="s">
        <v>562</v>
      </c>
      <c r="H914" t="s">
        <v>562</v>
      </c>
      <c r="I914">
        <v>3531</v>
      </c>
      <c r="J914" t="s">
        <v>564</v>
      </c>
      <c r="K914" s="698">
        <v>45957.412499999999</v>
      </c>
      <c r="L914" s="698">
        <v>45957.412499999999</v>
      </c>
      <c r="M914" t="s">
        <v>565</v>
      </c>
      <c r="N914" t="s">
        <v>565</v>
      </c>
      <c r="O914" t="s">
        <v>566</v>
      </c>
      <c r="P914" t="s">
        <v>567</v>
      </c>
      <c r="S914" t="s">
        <v>567</v>
      </c>
      <c r="T914" t="s">
        <v>567</v>
      </c>
      <c r="Z914" t="s">
        <v>568</v>
      </c>
      <c r="AA914" t="s">
        <v>568</v>
      </c>
    </row>
    <row r="915" spans="1:27">
      <c r="A915" t="s">
        <v>2480</v>
      </c>
      <c r="B915" t="s">
        <v>2481</v>
      </c>
      <c r="C915" t="s">
        <v>2482</v>
      </c>
      <c r="D915" t="s">
        <v>562</v>
      </c>
      <c r="E915" t="s">
        <v>1016</v>
      </c>
      <c r="F915" t="s">
        <v>562</v>
      </c>
      <c r="G915" t="s">
        <v>562</v>
      </c>
      <c r="H915" t="s">
        <v>562</v>
      </c>
      <c r="I915">
        <v>4224</v>
      </c>
      <c r="J915" t="s">
        <v>564</v>
      </c>
      <c r="K915" s="698">
        <v>45957.491666666669</v>
      </c>
      <c r="L915" s="698">
        <v>45957.491666666669</v>
      </c>
      <c r="M915" t="s">
        <v>565</v>
      </c>
      <c r="N915" t="s">
        <v>565</v>
      </c>
      <c r="O915" t="s">
        <v>566</v>
      </c>
      <c r="P915" t="s">
        <v>567</v>
      </c>
      <c r="S915" t="s">
        <v>567</v>
      </c>
      <c r="T915" t="s">
        <v>567</v>
      </c>
      <c r="Z915" t="s">
        <v>568</v>
      </c>
      <c r="AA915" t="s">
        <v>568</v>
      </c>
    </row>
    <row r="916" spans="1:27">
      <c r="A916" t="s">
        <v>2483</v>
      </c>
      <c r="B916" t="s">
        <v>562</v>
      </c>
      <c r="C916" t="s">
        <v>562</v>
      </c>
      <c r="D916" t="s">
        <v>2484</v>
      </c>
      <c r="E916" t="s">
        <v>1116</v>
      </c>
      <c r="F916" t="s">
        <v>562</v>
      </c>
      <c r="G916" t="s">
        <v>562</v>
      </c>
      <c r="H916" t="s">
        <v>562</v>
      </c>
      <c r="I916">
        <v>5012</v>
      </c>
      <c r="J916" t="s">
        <v>564</v>
      </c>
      <c r="K916" s="698">
        <v>45957.559027777781</v>
      </c>
      <c r="L916" s="698">
        <v>45957.559027777781</v>
      </c>
      <c r="M916" t="s">
        <v>565</v>
      </c>
      <c r="N916" t="s">
        <v>565</v>
      </c>
      <c r="O916" t="s">
        <v>566</v>
      </c>
      <c r="P916" t="s">
        <v>567</v>
      </c>
      <c r="S916" t="s">
        <v>567</v>
      </c>
      <c r="T916" t="s">
        <v>567</v>
      </c>
      <c r="Z916" t="s">
        <v>568</v>
      </c>
      <c r="AA916" t="s">
        <v>568</v>
      </c>
    </row>
    <row r="917" spans="1:27">
      <c r="A917" t="s">
        <v>2485</v>
      </c>
      <c r="B917" t="s">
        <v>562</v>
      </c>
      <c r="C917" t="s">
        <v>2486</v>
      </c>
      <c r="D917" t="s">
        <v>2487</v>
      </c>
      <c r="E917" t="s">
        <v>562</v>
      </c>
      <c r="F917" t="s">
        <v>562</v>
      </c>
      <c r="G917" t="s">
        <v>562</v>
      </c>
      <c r="H917" t="s">
        <v>562</v>
      </c>
      <c r="I917">
        <v>3532</v>
      </c>
      <c r="J917" t="s">
        <v>564</v>
      </c>
      <c r="K917" s="698">
        <v>45957.412499999999</v>
      </c>
      <c r="L917" s="698">
        <v>45957.412499999999</v>
      </c>
      <c r="M917" t="s">
        <v>565</v>
      </c>
      <c r="N917" t="s">
        <v>565</v>
      </c>
      <c r="O917" t="s">
        <v>566</v>
      </c>
      <c r="P917" t="s">
        <v>567</v>
      </c>
      <c r="S917" t="s">
        <v>567</v>
      </c>
      <c r="T917" t="s">
        <v>567</v>
      </c>
      <c r="Z917" t="s">
        <v>568</v>
      </c>
      <c r="AA917" t="s">
        <v>568</v>
      </c>
    </row>
    <row r="918" spans="1:27">
      <c r="A918" t="s">
        <v>2485</v>
      </c>
      <c r="B918" t="s">
        <v>2488</v>
      </c>
      <c r="C918" t="s">
        <v>2489</v>
      </c>
      <c r="D918" t="s">
        <v>2490</v>
      </c>
      <c r="E918" t="s">
        <v>2491</v>
      </c>
      <c r="F918" t="s">
        <v>562</v>
      </c>
      <c r="G918" t="s">
        <v>562</v>
      </c>
      <c r="H918" t="s">
        <v>562</v>
      </c>
      <c r="I918">
        <v>3596</v>
      </c>
      <c r="J918" t="s">
        <v>564</v>
      </c>
      <c r="K918" s="698">
        <v>45957.419444444444</v>
      </c>
      <c r="L918" s="698">
        <v>45957.419444444444</v>
      </c>
      <c r="M918" t="s">
        <v>565</v>
      </c>
      <c r="N918" t="s">
        <v>565</v>
      </c>
      <c r="O918" t="s">
        <v>566</v>
      </c>
      <c r="P918" t="s">
        <v>567</v>
      </c>
      <c r="S918" t="s">
        <v>567</v>
      </c>
      <c r="T918" t="s">
        <v>567</v>
      </c>
      <c r="Z918" t="s">
        <v>568</v>
      </c>
      <c r="AA918" t="s">
        <v>568</v>
      </c>
    </row>
    <row r="919" spans="1:27">
      <c r="A919" t="s">
        <v>2485</v>
      </c>
      <c r="B919" t="s">
        <v>2492</v>
      </c>
      <c r="C919" t="s">
        <v>2493</v>
      </c>
      <c r="D919" t="s">
        <v>2490</v>
      </c>
      <c r="E919" t="s">
        <v>2494</v>
      </c>
      <c r="F919" t="s">
        <v>562</v>
      </c>
      <c r="G919" t="s">
        <v>562</v>
      </c>
      <c r="H919" t="s">
        <v>562</v>
      </c>
      <c r="I919">
        <v>3960</v>
      </c>
      <c r="J919" t="s">
        <v>564</v>
      </c>
      <c r="K919" s="698">
        <v>45957.459027777775</v>
      </c>
      <c r="L919" s="698">
        <v>45957.459027777775</v>
      </c>
      <c r="M919" t="s">
        <v>565</v>
      </c>
      <c r="N919" t="s">
        <v>565</v>
      </c>
      <c r="O919" t="s">
        <v>566</v>
      </c>
      <c r="P919" t="s">
        <v>567</v>
      </c>
      <c r="S919" t="s">
        <v>567</v>
      </c>
      <c r="T919" t="s">
        <v>567</v>
      </c>
      <c r="Z919" t="s">
        <v>568</v>
      </c>
      <c r="AA919" t="s">
        <v>568</v>
      </c>
    </row>
    <row r="920" spans="1:27">
      <c r="A920" t="s">
        <v>2485</v>
      </c>
      <c r="B920" t="s">
        <v>900</v>
      </c>
      <c r="C920" t="s">
        <v>2495</v>
      </c>
      <c r="D920" t="s">
        <v>2490</v>
      </c>
      <c r="E920" t="s">
        <v>2496</v>
      </c>
      <c r="F920" t="s">
        <v>562</v>
      </c>
      <c r="G920" t="s">
        <v>562</v>
      </c>
      <c r="H920" t="s">
        <v>562</v>
      </c>
      <c r="I920">
        <v>4048</v>
      </c>
      <c r="J920" t="s">
        <v>564</v>
      </c>
      <c r="K920" s="698">
        <v>45957.470138888886</v>
      </c>
      <c r="L920" s="698">
        <v>45957.470138888886</v>
      </c>
      <c r="M920" t="s">
        <v>565</v>
      </c>
      <c r="N920" t="s">
        <v>565</v>
      </c>
      <c r="O920" t="s">
        <v>566</v>
      </c>
      <c r="P920" t="s">
        <v>567</v>
      </c>
      <c r="S920" t="s">
        <v>567</v>
      </c>
      <c r="T920" t="s">
        <v>567</v>
      </c>
      <c r="Z920" t="s">
        <v>568</v>
      </c>
      <c r="AA920" t="s">
        <v>568</v>
      </c>
    </row>
    <row r="921" spans="1:27">
      <c r="A921" t="s">
        <v>2485</v>
      </c>
      <c r="B921" t="s">
        <v>2497</v>
      </c>
      <c r="C921" t="s">
        <v>2498</v>
      </c>
      <c r="D921" t="s">
        <v>2490</v>
      </c>
      <c r="E921" t="s">
        <v>2499</v>
      </c>
      <c r="F921" t="s">
        <v>562</v>
      </c>
      <c r="G921" t="s">
        <v>562</v>
      </c>
      <c r="H921" t="s">
        <v>562</v>
      </c>
      <c r="I921">
        <v>4151</v>
      </c>
      <c r="J921" t="s">
        <v>564</v>
      </c>
      <c r="K921" s="698">
        <v>45957.482638888891</v>
      </c>
      <c r="L921" s="698">
        <v>45957.482638888891</v>
      </c>
      <c r="M921" t="s">
        <v>565</v>
      </c>
      <c r="N921" t="s">
        <v>565</v>
      </c>
      <c r="O921" t="s">
        <v>566</v>
      </c>
      <c r="P921" t="s">
        <v>567</v>
      </c>
      <c r="S921" t="s">
        <v>567</v>
      </c>
      <c r="T921" t="s">
        <v>567</v>
      </c>
      <c r="Z921" t="s">
        <v>568</v>
      </c>
      <c r="AA921" t="s">
        <v>568</v>
      </c>
    </row>
    <row r="922" spans="1:27">
      <c r="A922" t="s">
        <v>2485</v>
      </c>
      <c r="B922" t="s">
        <v>2497</v>
      </c>
      <c r="C922" t="s">
        <v>2498</v>
      </c>
      <c r="D922" t="s">
        <v>2490</v>
      </c>
      <c r="E922" t="s">
        <v>2500</v>
      </c>
      <c r="F922" t="s">
        <v>562</v>
      </c>
      <c r="G922" t="s">
        <v>562</v>
      </c>
      <c r="H922" t="s">
        <v>562</v>
      </c>
      <c r="I922">
        <v>4157</v>
      </c>
      <c r="J922" t="s">
        <v>564</v>
      </c>
      <c r="K922" s="698">
        <v>45957.48333333333</v>
      </c>
      <c r="L922" s="698">
        <v>45957.48333333333</v>
      </c>
      <c r="M922" t="s">
        <v>565</v>
      </c>
      <c r="N922" t="s">
        <v>565</v>
      </c>
      <c r="O922" t="s">
        <v>566</v>
      </c>
      <c r="P922" t="s">
        <v>567</v>
      </c>
      <c r="S922" t="s">
        <v>567</v>
      </c>
      <c r="T922" t="s">
        <v>567</v>
      </c>
      <c r="Z922" t="s">
        <v>568</v>
      </c>
      <c r="AA922" t="s">
        <v>568</v>
      </c>
    </row>
    <row r="923" spans="1:27">
      <c r="A923" t="s">
        <v>2485</v>
      </c>
      <c r="B923" t="s">
        <v>2492</v>
      </c>
      <c r="C923" t="s">
        <v>2493</v>
      </c>
      <c r="D923" t="s">
        <v>2490</v>
      </c>
      <c r="E923" t="s">
        <v>2501</v>
      </c>
      <c r="F923" t="s">
        <v>562</v>
      </c>
      <c r="G923" t="s">
        <v>562</v>
      </c>
      <c r="H923" t="s">
        <v>562</v>
      </c>
      <c r="I923">
        <v>4201</v>
      </c>
      <c r="J923" t="s">
        <v>564</v>
      </c>
      <c r="K923" s="698">
        <v>45957.488888888889</v>
      </c>
      <c r="L923" s="698">
        <v>45957.488888888889</v>
      </c>
      <c r="M923" t="s">
        <v>565</v>
      </c>
      <c r="N923" t="s">
        <v>565</v>
      </c>
      <c r="O923" t="s">
        <v>566</v>
      </c>
      <c r="P923" t="s">
        <v>567</v>
      </c>
      <c r="S923" t="s">
        <v>567</v>
      </c>
      <c r="T923" t="s">
        <v>567</v>
      </c>
      <c r="Z923" t="s">
        <v>568</v>
      </c>
      <c r="AA923" t="s">
        <v>568</v>
      </c>
    </row>
    <row r="924" spans="1:27">
      <c r="A924" t="s">
        <v>2485</v>
      </c>
      <c r="B924" t="s">
        <v>2497</v>
      </c>
      <c r="C924" t="s">
        <v>2498</v>
      </c>
      <c r="D924" t="s">
        <v>2490</v>
      </c>
      <c r="E924" t="s">
        <v>2502</v>
      </c>
      <c r="F924" t="s">
        <v>562</v>
      </c>
      <c r="G924" t="s">
        <v>562</v>
      </c>
      <c r="H924" t="s">
        <v>562</v>
      </c>
      <c r="I924">
        <v>4245</v>
      </c>
      <c r="J924" t="s">
        <v>564</v>
      </c>
      <c r="K924" s="698">
        <v>45957.494444444441</v>
      </c>
      <c r="L924" s="698">
        <v>45957.494444444441</v>
      </c>
      <c r="M924" t="s">
        <v>565</v>
      </c>
      <c r="N924" t="s">
        <v>565</v>
      </c>
      <c r="O924" t="s">
        <v>566</v>
      </c>
      <c r="P924" t="s">
        <v>567</v>
      </c>
      <c r="S924" t="s">
        <v>567</v>
      </c>
      <c r="T924" t="s">
        <v>567</v>
      </c>
      <c r="Z924" t="s">
        <v>568</v>
      </c>
      <c r="AA924" t="s">
        <v>568</v>
      </c>
    </row>
    <row r="925" spans="1:27">
      <c r="A925" t="s">
        <v>2485</v>
      </c>
      <c r="B925" t="s">
        <v>562</v>
      </c>
      <c r="C925" t="s">
        <v>562</v>
      </c>
      <c r="D925" t="s">
        <v>2490</v>
      </c>
      <c r="E925" t="s">
        <v>2503</v>
      </c>
      <c r="F925" t="s">
        <v>562</v>
      </c>
      <c r="G925" t="s">
        <v>562</v>
      </c>
      <c r="H925" t="s">
        <v>562</v>
      </c>
      <c r="I925">
        <v>4306</v>
      </c>
      <c r="J925" t="s">
        <v>564</v>
      </c>
      <c r="K925" s="698">
        <v>45957.502083333333</v>
      </c>
      <c r="L925" s="698">
        <v>45957.502083333333</v>
      </c>
      <c r="M925" t="s">
        <v>565</v>
      </c>
      <c r="N925" t="s">
        <v>565</v>
      </c>
      <c r="O925" t="s">
        <v>566</v>
      </c>
      <c r="P925" t="s">
        <v>567</v>
      </c>
      <c r="S925" t="s">
        <v>567</v>
      </c>
      <c r="T925" t="s">
        <v>567</v>
      </c>
      <c r="Z925" t="s">
        <v>568</v>
      </c>
      <c r="AA925" t="s">
        <v>568</v>
      </c>
    </row>
    <row r="926" spans="1:27">
      <c r="A926" t="s">
        <v>2485</v>
      </c>
      <c r="B926" t="s">
        <v>562</v>
      </c>
      <c r="C926" t="s">
        <v>562</v>
      </c>
      <c r="D926" t="s">
        <v>2490</v>
      </c>
      <c r="E926" t="s">
        <v>2504</v>
      </c>
      <c r="F926" t="s">
        <v>562</v>
      </c>
      <c r="G926" t="s">
        <v>562</v>
      </c>
      <c r="H926" t="s">
        <v>562</v>
      </c>
      <c r="I926">
        <v>4318</v>
      </c>
      <c r="J926" t="s">
        <v>564</v>
      </c>
      <c r="K926" s="698">
        <v>45957.503472222219</v>
      </c>
      <c r="L926" s="698">
        <v>45957.503472222219</v>
      </c>
      <c r="M926" t="s">
        <v>565</v>
      </c>
      <c r="N926" t="s">
        <v>565</v>
      </c>
      <c r="O926" t="s">
        <v>566</v>
      </c>
      <c r="P926" t="s">
        <v>567</v>
      </c>
      <c r="S926" t="s">
        <v>567</v>
      </c>
      <c r="T926" t="s">
        <v>567</v>
      </c>
      <c r="Z926" t="s">
        <v>568</v>
      </c>
      <c r="AA926" t="s">
        <v>568</v>
      </c>
    </row>
    <row r="927" spans="1:27">
      <c r="A927" t="s">
        <v>2485</v>
      </c>
      <c r="B927" t="s">
        <v>2488</v>
      </c>
      <c r="C927" t="s">
        <v>2489</v>
      </c>
      <c r="D927" t="s">
        <v>2490</v>
      </c>
      <c r="E927" t="s">
        <v>2505</v>
      </c>
      <c r="F927" t="s">
        <v>562</v>
      </c>
      <c r="G927" t="s">
        <v>562</v>
      </c>
      <c r="H927" t="s">
        <v>562</v>
      </c>
      <c r="I927">
        <v>4396</v>
      </c>
      <c r="J927" t="s">
        <v>564</v>
      </c>
      <c r="K927" s="698">
        <v>45957.513194444444</v>
      </c>
      <c r="L927" s="698">
        <v>45957.513194444444</v>
      </c>
      <c r="M927" t="s">
        <v>565</v>
      </c>
      <c r="N927" t="s">
        <v>565</v>
      </c>
      <c r="O927" t="s">
        <v>566</v>
      </c>
      <c r="P927" t="s">
        <v>567</v>
      </c>
      <c r="S927" t="s">
        <v>567</v>
      </c>
      <c r="T927" t="s">
        <v>567</v>
      </c>
      <c r="Z927" t="s">
        <v>568</v>
      </c>
      <c r="AA927" t="s">
        <v>568</v>
      </c>
    </row>
    <row r="928" spans="1:27">
      <c r="A928" t="s">
        <v>2485</v>
      </c>
      <c r="B928" t="s">
        <v>562</v>
      </c>
      <c r="C928" t="s">
        <v>562</v>
      </c>
      <c r="D928" t="s">
        <v>2490</v>
      </c>
      <c r="E928" t="s">
        <v>2506</v>
      </c>
      <c r="F928" t="s">
        <v>562</v>
      </c>
      <c r="G928" t="s">
        <v>562</v>
      </c>
      <c r="H928" t="s">
        <v>562</v>
      </c>
      <c r="I928">
        <v>4531</v>
      </c>
      <c r="J928" t="s">
        <v>564</v>
      </c>
      <c r="K928" s="698">
        <v>45957.529861111114</v>
      </c>
      <c r="L928" s="698">
        <v>45957.529861111114</v>
      </c>
      <c r="M928" t="s">
        <v>565</v>
      </c>
      <c r="N928" t="s">
        <v>565</v>
      </c>
      <c r="O928" t="s">
        <v>566</v>
      </c>
      <c r="P928" t="s">
        <v>567</v>
      </c>
      <c r="S928" t="s">
        <v>567</v>
      </c>
      <c r="T928" t="s">
        <v>567</v>
      </c>
      <c r="Z928" t="s">
        <v>568</v>
      </c>
      <c r="AA928" t="s">
        <v>568</v>
      </c>
    </row>
    <row r="929" spans="1:27">
      <c r="A929" t="s">
        <v>2485</v>
      </c>
      <c r="B929" t="s">
        <v>2394</v>
      </c>
      <c r="C929" t="s">
        <v>2507</v>
      </c>
      <c r="D929" t="s">
        <v>2490</v>
      </c>
      <c r="E929" t="s">
        <v>2508</v>
      </c>
      <c r="F929" t="s">
        <v>562</v>
      </c>
      <c r="G929" t="s">
        <v>562</v>
      </c>
      <c r="H929" t="s">
        <v>562</v>
      </c>
      <c r="I929">
        <v>4560</v>
      </c>
      <c r="J929" t="s">
        <v>564</v>
      </c>
      <c r="K929" s="698">
        <v>45957.533333333333</v>
      </c>
      <c r="L929" s="698">
        <v>45957.533333333333</v>
      </c>
      <c r="M929" t="s">
        <v>565</v>
      </c>
      <c r="N929" t="s">
        <v>565</v>
      </c>
      <c r="O929" t="s">
        <v>566</v>
      </c>
      <c r="P929" t="s">
        <v>567</v>
      </c>
      <c r="S929" t="s">
        <v>567</v>
      </c>
      <c r="T929" t="s">
        <v>567</v>
      </c>
      <c r="Z929" t="s">
        <v>568</v>
      </c>
      <c r="AA929" t="s">
        <v>568</v>
      </c>
    </row>
    <row r="930" spans="1:27">
      <c r="A930" t="s">
        <v>2485</v>
      </c>
      <c r="B930" t="s">
        <v>2394</v>
      </c>
      <c r="C930" t="s">
        <v>2507</v>
      </c>
      <c r="D930" t="s">
        <v>2490</v>
      </c>
      <c r="E930" t="s">
        <v>2509</v>
      </c>
      <c r="F930" t="s">
        <v>562</v>
      </c>
      <c r="G930" t="s">
        <v>562</v>
      </c>
      <c r="H930" t="s">
        <v>562</v>
      </c>
      <c r="I930">
        <v>4594</v>
      </c>
      <c r="J930" t="s">
        <v>564</v>
      </c>
      <c r="K930" s="698">
        <v>45957.537499999999</v>
      </c>
      <c r="L930" s="698">
        <v>45957.537499999999</v>
      </c>
      <c r="M930" t="s">
        <v>565</v>
      </c>
      <c r="N930" t="s">
        <v>565</v>
      </c>
      <c r="O930" t="s">
        <v>566</v>
      </c>
      <c r="P930" t="s">
        <v>567</v>
      </c>
      <c r="S930" t="s">
        <v>567</v>
      </c>
      <c r="T930" t="s">
        <v>567</v>
      </c>
      <c r="Z930" t="s">
        <v>568</v>
      </c>
      <c r="AA930" t="s">
        <v>568</v>
      </c>
    </row>
    <row r="931" spans="1:27">
      <c r="A931" t="s">
        <v>2485</v>
      </c>
      <c r="B931" t="s">
        <v>2510</v>
      </c>
      <c r="C931" t="s">
        <v>562</v>
      </c>
      <c r="D931" t="s">
        <v>2490</v>
      </c>
      <c r="E931" t="s">
        <v>2511</v>
      </c>
      <c r="F931" t="s">
        <v>562</v>
      </c>
      <c r="G931" t="s">
        <v>562</v>
      </c>
      <c r="H931" t="s">
        <v>562</v>
      </c>
      <c r="I931">
        <v>4893</v>
      </c>
      <c r="J931" t="s">
        <v>564</v>
      </c>
      <c r="K931" s="698">
        <v>45957.554861111108</v>
      </c>
      <c r="L931" s="698">
        <v>45957.554861111108</v>
      </c>
      <c r="M931" t="s">
        <v>565</v>
      </c>
      <c r="N931" t="s">
        <v>565</v>
      </c>
      <c r="O931" t="s">
        <v>566</v>
      </c>
      <c r="P931" t="s">
        <v>567</v>
      </c>
      <c r="S931" t="s">
        <v>567</v>
      </c>
      <c r="T931" t="s">
        <v>567</v>
      </c>
      <c r="Z931" t="s">
        <v>568</v>
      </c>
      <c r="AA931" t="s">
        <v>568</v>
      </c>
    </row>
    <row r="932" spans="1:27">
      <c r="A932" t="s">
        <v>2485</v>
      </c>
      <c r="B932" t="s">
        <v>2394</v>
      </c>
      <c r="C932" t="s">
        <v>2498</v>
      </c>
      <c r="D932" t="s">
        <v>2490</v>
      </c>
      <c r="E932" t="s">
        <v>2512</v>
      </c>
      <c r="F932" t="s">
        <v>562</v>
      </c>
      <c r="G932" t="s">
        <v>562</v>
      </c>
      <c r="H932" t="s">
        <v>562</v>
      </c>
      <c r="I932">
        <v>4904</v>
      </c>
      <c r="J932" t="s">
        <v>564</v>
      </c>
      <c r="K932" s="698">
        <v>45957.555555555555</v>
      </c>
      <c r="L932" s="698">
        <v>45957.555555555555</v>
      </c>
      <c r="M932" t="s">
        <v>565</v>
      </c>
      <c r="N932" t="s">
        <v>565</v>
      </c>
      <c r="O932" t="s">
        <v>566</v>
      </c>
      <c r="P932" t="s">
        <v>567</v>
      </c>
      <c r="S932" t="s">
        <v>567</v>
      </c>
      <c r="T932" t="s">
        <v>567</v>
      </c>
      <c r="Z932" t="s">
        <v>568</v>
      </c>
      <c r="AA932" t="s">
        <v>568</v>
      </c>
    </row>
    <row r="933" spans="1:27">
      <c r="A933" t="s">
        <v>2485</v>
      </c>
      <c r="B933" t="s">
        <v>562</v>
      </c>
      <c r="C933" t="s">
        <v>562</v>
      </c>
      <c r="D933" t="s">
        <v>2490</v>
      </c>
      <c r="E933" t="s">
        <v>2513</v>
      </c>
      <c r="F933" t="s">
        <v>562</v>
      </c>
      <c r="G933" t="s">
        <v>562</v>
      </c>
      <c r="H933" t="s">
        <v>562</v>
      </c>
      <c r="I933">
        <v>4905</v>
      </c>
      <c r="J933" t="s">
        <v>564</v>
      </c>
      <c r="K933" s="698">
        <v>45957.555555555555</v>
      </c>
      <c r="L933" s="698">
        <v>45957.555555555555</v>
      </c>
      <c r="M933" t="s">
        <v>565</v>
      </c>
      <c r="N933" t="s">
        <v>565</v>
      </c>
      <c r="O933" t="s">
        <v>566</v>
      </c>
      <c r="P933" t="s">
        <v>567</v>
      </c>
      <c r="S933" t="s">
        <v>567</v>
      </c>
      <c r="T933" t="s">
        <v>567</v>
      </c>
      <c r="Z933" t="s">
        <v>568</v>
      </c>
      <c r="AA933" t="s">
        <v>568</v>
      </c>
    </row>
    <row r="934" spans="1:27">
      <c r="A934" t="s">
        <v>2485</v>
      </c>
      <c r="B934" t="s">
        <v>562</v>
      </c>
      <c r="C934" t="s">
        <v>562</v>
      </c>
      <c r="D934" t="s">
        <v>2490</v>
      </c>
      <c r="E934" t="s">
        <v>2514</v>
      </c>
      <c r="F934" t="s">
        <v>562</v>
      </c>
      <c r="G934" t="s">
        <v>562</v>
      </c>
      <c r="H934" t="s">
        <v>562</v>
      </c>
      <c r="I934">
        <v>4906</v>
      </c>
      <c r="J934" t="s">
        <v>564</v>
      </c>
      <c r="K934" s="698">
        <v>45957.555555555555</v>
      </c>
      <c r="L934" s="698">
        <v>45957.555555555555</v>
      </c>
      <c r="M934" t="s">
        <v>565</v>
      </c>
      <c r="N934" t="s">
        <v>565</v>
      </c>
      <c r="O934" t="s">
        <v>566</v>
      </c>
      <c r="P934" t="s">
        <v>567</v>
      </c>
      <c r="S934" t="s">
        <v>567</v>
      </c>
      <c r="T934" t="s">
        <v>567</v>
      </c>
      <c r="Z934" t="s">
        <v>568</v>
      </c>
      <c r="AA934" t="s">
        <v>568</v>
      </c>
    </row>
    <row r="935" spans="1:27">
      <c r="A935" t="s">
        <v>2485</v>
      </c>
      <c r="B935" t="s">
        <v>562</v>
      </c>
      <c r="C935" t="s">
        <v>562</v>
      </c>
      <c r="D935" t="s">
        <v>2490</v>
      </c>
      <c r="E935" t="s">
        <v>2515</v>
      </c>
      <c r="F935" t="s">
        <v>562</v>
      </c>
      <c r="G935" t="s">
        <v>562</v>
      </c>
      <c r="H935" t="s">
        <v>562</v>
      </c>
      <c r="I935">
        <v>5031</v>
      </c>
      <c r="J935" t="s">
        <v>564</v>
      </c>
      <c r="K935" s="698">
        <v>45957.559027777781</v>
      </c>
      <c r="L935" s="698">
        <v>45957.559027777781</v>
      </c>
      <c r="M935" t="s">
        <v>565</v>
      </c>
      <c r="N935" t="s">
        <v>565</v>
      </c>
      <c r="O935" t="s">
        <v>566</v>
      </c>
      <c r="P935" t="s">
        <v>567</v>
      </c>
      <c r="S935" t="s">
        <v>567</v>
      </c>
      <c r="T935" t="s">
        <v>567</v>
      </c>
      <c r="Z935" t="s">
        <v>568</v>
      </c>
      <c r="AA935" t="s">
        <v>568</v>
      </c>
    </row>
    <row r="936" spans="1:27">
      <c r="A936" t="s">
        <v>2485</v>
      </c>
      <c r="B936" t="s">
        <v>562</v>
      </c>
      <c r="C936" t="s">
        <v>562</v>
      </c>
      <c r="D936" t="s">
        <v>2490</v>
      </c>
      <c r="E936" t="s">
        <v>2516</v>
      </c>
      <c r="F936" t="s">
        <v>562</v>
      </c>
      <c r="G936" t="s">
        <v>562</v>
      </c>
      <c r="H936" t="s">
        <v>562</v>
      </c>
      <c r="I936">
        <v>5068</v>
      </c>
      <c r="J936" t="s">
        <v>564</v>
      </c>
      <c r="K936" s="698">
        <v>45957.560416666667</v>
      </c>
      <c r="L936" s="698">
        <v>45957.560416666667</v>
      </c>
      <c r="M936" t="s">
        <v>565</v>
      </c>
      <c r="N936" t="s">
        <v>565</v>
      </c>
      <c r="O936" t="s">
        <v>566</v>
      </c>
      <c r="P936" t="s">
        <v>567</v>
      </c>
      <c r="S936" t="s">
        <v>567</v>
      </c>
      <c r="T936" t="s">
        <v>567</v>
      </c>
      <c r="Z936" t="s">
        <v>568</v>
      </c>
      <c r="AA936" t="s">
        <v>568</v>
      </c>
    </row>
    <row r="937" spans="1:27">
      <c r="A937" t="s">
        <v>2485</v>
      </c>
      <c r="B937" t="s">
        <v>2517</v>
      </c>
      <c r="C937" t="s">
        <v>562</v>
      </c>
      <c r="D937" t="s">
        <v>2487</v>
      </c>
      <c r="E937" t="s">
        <v>2518</v>
      </c>
      <c r="F937" t="s">
        <v>562</v>
      </c>
      <c r="G937" t="s">
        <v>562</v>
      </c>
      <c r="H937" t="s">
        <v>562</v>
      </c>
      <c r="I937">
        <v>5230</v>
      </c>
      <c r="J937" t="s">
        <v>564</v>
      </c>
      <c r="K937" s="698">
        <v>45968.354166666664</v>
      </c>
      <c r="L937" s="698">
        <v>45968.354166666664</v>
      </c>
      <c r="M937" t="s">
        <v>565</v>
      </c>
      <c r="N937" t="s">
        <v>565</v>
      </c>
      <c r="O937" t="s">
        <v>566</v>
      </c>
      <c r="P937" t="s">
        <v>567</v>
      </c>
      <c r="S937" t="s">
        <v>567</v>
      </c>
      <c r="T937" t="s">
        <v>567</v>
      </c>
      <c r="Z937" t="s">
        <v>826</v>
      </c>
      <c r="AA937" t="s">
        <v>826</v>
      </c>
    </row>
    <row r="938" spans="1:27">
      <c r="A938" t="s">
        <v>2519</v>
      </c>
      <c r="B938" t="s">
        <v>2520</v>
      </c>
      <c r="C938" t="s">
        <v>2521</v>
      </c>
      <c r="D938" t="s">
        <v>562</v>
      </c>
      <c r="E938" t="s">
        <v>2522</v>
      </c>
      <c r="F938" t="s">
        <v>562</v>
      </c>
      <c r="G938" t="s">
        <v>562</v>
      </c>
      <c r="H938" t="s">
        <v>562</v>
      </c>
      <c r="I938">
        <v>3578</v>
      </c>
      <c r="J938" t="s">
        <v>564</v>
      </c>
      <c r="K938" s="698">
        <v>45957.418055555558</v>
      </c>
      <c r="L938" s="698">
        <v>45957.418055555558</v>
      </c>
      <c r="M938" t="s">
        <v>565</v>
      </c>
      <c r="N938" t="s">
        <v>565</v>
      </c>
      <c r="O938" t="s">
        <v>566</v>
      </c>
      <c r="P938" t="s">
        <v>567</v>
      </c>
      <c r="S938" t="s">
        <v>567</v>
      </c>
      <c r="T938" t="s">
        <v>567</v>
      </c>
      <c r="Z938" t="s">
        <v>568</v>
      </c>
      <c r="AA938" t="s">
        <v>568</v>
      </c>
    </row>
    <row r="939" spans="1:27">
      <c r="A939" t="s">
        <v>2523</v>
      </c>
      <c r="B939" t="s">
        <v>2524</v>
      </c>
      <c r="C939" t="s">
        <v>2525</v>
      </c>
      <c r="D939" t="s">
        <v>562</v>
      </c>
      <c r="E939" t="s">
        <v>2526</v>
      </c>
      <c r="F939" t="s">
        <v>562</v>
      </c>
      <c r="G939" t="s">
        <v>562</v>
      </c>
      <c r="H939" t="s">
        <v>562</v>
      </c>
      <c r="I939">
        <v>4472</v>
      </c>
      <c r="J939" t="s">
        <v>564</v>
      </c>
      <c r="K939" s="698">
        <v>45957.522916666669</v>
      </c>
      <c r="L939" s="698">
        <v>45957.522916666669</v>
      </c>
      <c r="M939" t="s">
        <v>565</v>
      </c>
      <c r="N939" t="s">
        <v>565</v>
      </c>
      <c r="O939" t="s">
        <v>566</v>
      </c>
      <c r="P939" t="s">
        <v>567</v>
      </c>
      <c r="S939" t="s">
        <v>567</v>
      </c>
      <c r="T939" t="s">
        <v>567</v>
      </c>
      <c r="Z939" t="s">
        <v>568</v>
      </c>
      <c r="AA939" t="s">
        <v>568</v>
      </c>
    </row>
    <row r="940" spans="1:27">
      <c r="A940" t="s">
        <v>2527</v>
      </c>
      <c r="B940" t="s">
        <v>2528</v>
      </c>
      <c r="C940" t="s">
        <v>2529</v>
      </c>
      <c r="D940" t="s">
        <v>2530</v>
      </c>
      <c r="E940" t="s">
        <v>2531</v>
      </c>
      <c r="F940" t="s">
        <v>562</v>
      </c>
      <c r="G940" t="s">
        <v>562</v>
      </c>
      <c r="H940" t="s">
        <v>562</v>
      </c>
      <c r="I940">
        <v>4792</v>
      </c>
      <c r="J940" t="s">
        <v>564</v>
      </c>
      <c r="K940" s="698">
        <v>45957.552083333336</v>
      </c>
      <c r="L940" s="698">
        <v>45957.552083333336</v>
      </c>
      <c r="M940" t="s">
        <v>565</v>
      </c>
      <c r="N940" t="s">
        <v>565</v>
      </c>
      <c r="O940" t="s">
        <v>566</v>
      </c>
      <c r="P940" t="s">
        <v>567</v>
      </c>
      <c r="S940" t="s">
        <v>567</v>
      </c>
      <c r="T940" t="s">
        <v>567</v>
      </c>
      <c r="Z940" t="s">
        <v>568</v>
      </c>
      <c r="AA940" t="s">
        <v>568</v>
      </c>
    </row>
    <row r="941" spans="1:27">
      <c r="A941" t="s">
        <v>2532</v>
      </c>
      <c r="B941" t="s">
        <v>2533</v>
      </c>
      <c r="C941" t="s">
        <v>2534</v>
      </c>
      <c r="D941" t="s">
        <v>562</v>
      </c>
      <c r="E941" t="s">
        <v>2535</v>
      </c>
      <c r="F941" t="s">
        <v>562</v>
      </c>
      <c r="G941" t="s">
        <v>562</v>
      </c>
      <c r="H941" t="s">
        <v>562</v>
      </c>
      <c r="I941">
        <v>4134</v>
      </c>
      <c r="J941" t="s">
        <v>564</v>
      </c>
      <c r="K941" s="698">
        <v>45957.480555555558</v>
      </c>
      <c r="L941" s="698">
        <v>45957.480555555558</v>
      </c>
      <c r="M941" t="s">
        <v>565</v>
      </c>
      <c r="N941" t="s">
        <v>565</v>
      </c>
      <c r="O941" t="s">
        <v>566</v>
      </c>
      <c r="P941" t="s">
        <v>567</v>
      </c>
      <c r="S941" t="s">
        <v>567</v>
      </c>
      <c r="T941" t="s">
        <v>567</v>
      </c>
      <c r="Z941" t="s">
        <v>568</v>
      </c>
      <c r="AA941" t="s">
        <v>568</v>
      </c>
    </row>
    <row r="942" spans="1:27">
      <c r="A942" t="s">
        <v>2532</v>
      </c>
      <c r="B942" t="s">
        <v>2533</v>
      </c>
      <c r="C942" t="s">
        <v>2534</v>
      </c>
      <c r="D942" t="s">
        <v>562</v>
      </c>
      <c r="E942" t="s">
        <v>2536</v>
      </c>
      <c r="F942" t="s">
        <v>562</v>
      </c>
      <c r="G942" t="s">
        <v>562</v>
      </c>
      <c r="H942" t="s">
        <v>562</v>
      </c>
      <c r="I942">
        <v>4135</v>
      </c>
      <c r="J942" t="s">
        <v>564</v>
      </c>
      <c r="K942" s="698">
        <v>45957.480555555558</v>
      </c>
      <c r="L942" s="698">
        <v>45957.480555555558</v>
      </c>
      <c r="M942" t="s">
        <v>565</v>
      </c>
      <c r="N942" t="s">
        <v>565</v>
      </c>
      <c r="O942" t="s">
        <v>566</v>
      </c>
      <c r="P942" t="s">
        <v>567</v>
      </c>
      <c r="S942" t="s">
        <v>567</v>
      </c>
      <c r="T942" t="s">
        <v>567</v>
      </c>
      <c r="Z942" t="s">
        <v>568</v>
      </c>
      <c r="AA942" t="s">
        <v>568</v>
      </c>
    </row>
    <row r="943" spans="1:27">
      <c r="A943" t="s">
        <v>2532</v>
      </c>
      <c r="B943" t="s">
        <v>2533</v>
      </c>
      <c r="C943" t="s">
        <v>2534</v>
      </c>
      <c r="D943" t="s">
        <v>562</v>
      </c>
      <c r="E943" t="s">
        <v>2537</v>
      </c>
      <c r="F943" t="s">
        <v>562</v>
      </c>
      <c r="G943" t="s">
        <v>562</v>
      </c>
      <c r="H943" t="s">
        <v>562</v>
      </c>
      <c r="I943">
        <v>4136</v>
      </c>
      <c r="J943" t="s">
        <v>564</v>
      </c>
      <c r="K943" s="698">
        <v>45957.480555555558</v>
      </c>
      <c r="L943" s="698">
        <v>45957.480555555558</v>
      </c>
      <c r="M943" t="s">
        <v>565</v>
      </c>
      <c r="N943" t="s">
        <v>565</v>
      </c>
      <c r="O943" t="s">
        <v>566</v>
      </c>
      <c r="P943" t="s">
        <v>567</v>
      </c>
      <c r="S943" t="s">
        <v>567</v>
      </c>
      <c r="T943" t="s">
        <v>567</v>
      </c>
      <c r="Z943" t="s">
        <v>568</v>
      </c>
      <c r="AA943" t="s">
        <v>568</v>
      </c>
    </row>
    <row r="944" spans="1:27">
      <c r="A944" t="s">
        <v>2532</v>
      </c>
      <c r="B944" t="s">
        <v>2533</v>
      </c>
      <c r="C944" t="s">
        <v>2538</v>
      </c>
      <c r="D944" t="s">
        <v>562</v>
      </c>
      <c r="E944" t="s">
        <v>2539</v>
      </c>
      <c r="F944" t="s">
        <v>562</v>
      </c>
      <c r="G944" t="s">
        <v>562</v>
      </c>
      <c r="H944" t="s">
        <v>562</v>
      </c>
      <c r="I944">
        <v>4410</v>
      </c>
      <c r="J944" t="s">
        <v>564</v>
      </c>
      <c r="K944" s="698">
        <v>45957.515277777777</v>
      </c>
      <c r="L944" s="698">
        <v>45957.515277777777</v>
      </c>
      <c r="M944" t="s">
        <v>565</v>
      </c>
      <c r="N944" t="s">
        <v>565</v>
      </c>
      <c r="O944" t="s">
        <v>566</v>
      </c>
      <c r="P944" t="s">
        <v>567</v>
      </c>
      <c r="S944" t="s">
        <v>567</v>
      </c>
      <c r="T944" t="s">
        <v>567</v>
      </c>
      <c r="Z944" t="s">
        <v>568</v>
      </c>
      <c r="AA944" t="s">
        <v>568</v>
      </c>
    </row>
    <row r="945" spans="1:27">
      <c r="A945" t="s">
        <v>2540</v>
      </c>
      <c r="B945" t="s">
        <v>2541</v>
      </c>
      <c r="C945" t="s">
        <v>2542</v>
      </c>
      <c r="D945" t="s">
        <v>562</v>
      </c>
      <c r="E945" t="s">
        <v>2543</v>
      </c>
      <c r="F945" t="s">
        <v>562</v>
      </c>
      <c r="G945" t="s">
        <v>562</v>
      </c>
      <c r="H945" t="s">
        <v>562</v>
      </c>
      <c r="I945">
        <v>4001</v>
      </c>
      <c r="J945" t="s">
        <v>564</v>
      </c>
      <c r="K945" s="698">
        <v>45957.464583333334</v>
      </c>
      <c r="L945" s="698">
        <v>45957.464583333334</v>
      </c>
      <c r="M945" t="s">
        <v>565</v>
      </c>
      <c r="N945" t="s">
        <v>565</v>
      </c>
      <c r="O945" t="s">
        <v>566</v>
      </c>
      <c r="P945" t="s">
        <v>567</v>
      </c>
      <c r="S945" t="s">
        <v>567</v>
      </c>
      <c r="T945" t="s">
        <v>567</v>
      </c>
      <c r="Z945" t="s">
        <v>568</v>
      </c>
      <c r="AA945" t="s">
        <v>568</v>
      </c>
    </row>
    <row r="946" spans="1:27">
      <c r="A946" t="s">
        <v>2540</v>
      </c>
      <c r="B946" t="s">
        <v>2420</v>
      </c>
      <c r="C946" t="s">
        <v>2421</v>
      </c>
      <c r="D946" t="s">
        <v>562</v>
      </c>
      <c r="E946" t="s">
        <v>2544</v>
      </c>
      <c r="F946" t="s">
        <v>562</v>
      </c>
      <c r="G946" t="s">
        <v>562</v>
      </c>
      <c r="H946" t="s">
        <v>562</v>
      </c>
      <c r="I946">
        <v>4601</v>
      </c>
      <c r="J946" t="s">
        <v>564</v>
      </c>
      <c r="K946" s="698">
        <v>45957.538888888892</v>
      </c>
      <c r="L946" s="698">
        <v>45957.538888888892</v>
      </c>
      <c r="M946" t="s">
        <v>565</v>
      </c>
      <c r="N946" t="s">
        <v>565</v>
      </c>
      <c r="O946" t="s">
        <v>566</v>
      </c>
      <c r="P946" t="s">
        <v>567</v>
      </c>
      <c r="S946" t="s">
        <v>567</v>
      </c>
      <c r="T946" t="s">
        <v>567</v>
      </c>
      <c r="Z946" t="s">
        <v>568</v>
      </c>
      <c r="AA946" t="s">
        <v>568</v>
      </c>
    </row>
    <row r="947" spans="1:27">
      <c r="A947" t="s">
        <v>2540</v>
      </c>
      <c r="B947" t="s">
        <v>2545</v>
      </c>
      <c r="C947" t="s">
        <v>2546</v>
      </c>
      <c r="D947" t="s">
        <v>562</v>
      </c>
      <c r="E947" t="s">
        <v>2547</v>
      </c>
      <c r="F947" t="s">
        <v>562</v>
      </c>
      <c r="G947" t="s">
        <v>562</v>
      </c>
      <c r="H947" t="s">
        <v>562</v>
      </c>
      <c r="I947">
        <v>5134</v>
      </c>
      <c r="J947" t="s">
        <v>564</v>
      </c>
      <c r="K947" s="698">
        <v>45957.5625</v>
      </c>
      <c r="L947" s="698">
        <v>45957.5625</v>
      </c>
      <c r="M947" t="s">
        <v>565</v>
      </c>
      <c r="N947" t="s">
        <v>565</v>
      </c>
      <c r="O947" t="s">
        <v>566</v>
      </c>
      <c r="P947" t="s">
        <v>567</v>
      </c>
      <c r="S947" t="s">
        <v>567</v>
      </c>
      <c r="T947" t="s">
        <v>567</v>
      </c>
      <c r="Z947" t="s">
        <v>568</v>
      </c>
      <c r="AA947" t="s">
        <v>568</v>
      </c>
    </row>
    <row r="948" spans="1:27">
      <c r="A948" t="s">
        <v>2540</v>
      </c>
      <c r="B948" t="s">
        <v>2420</v>
      </c>
      <c r="C948" t="s">
        <v>2421</v>
      </c>
      <c r="D948" t="s">
        <v>2548</v>
      </c>
      <c r="E948" t="s">
        <v>2549</v>
      </c>
      <c r="F948" t="s">
        <v>562</v>
      </c>
      <c r="G948" t="s">
        <v>562</v>
      </c>
      <c r="H948" t="s">
        <v>562</v>
      </c>
      <c r="I948">
        <v>5208</v>
      </c>
      <c r="J948" t="s">
        <v>564</v>
      </c>
      <c r="K948" s="698">
        <v>45957.564583333333</v>
      </c>
      <c r="L948" s="698">
        <v>45957.564583333333</v>
      </c>
      <c r="M948" t="s">
        <v>565</v>
      </c>
      <c r="N948" t="s">
        <v>565</v>
      </c>
      <c r="O948" t="s">
        <v>566</v>
      </c>
      <c r="P948" t="s">
        <v>567</v>
      </c>
      <c r="S948" t="s">
        <v>567</v>
      </c>
      <c r="T948" t="s">
        <v>567</v>
      </c>
      <c r="Z948" t="s">
        <v>568</v>
      </c>
      <c r="AA948" t="s">
        <v>568</v>
      </c>
    </row>
    <row r="949" spans="1:27">
      <c r="A949" t="s">
        <v>2540</v>
      </c>
      <c r="B949" t="s">
        <v>2420</v>
      </c>
      <c r="C949" t="s">
        <v>562</v>
      </c>
      <c r="D949" t="s">
        <v>2548</v>
      </c>
      <c r="E949" t="s">
        <v>2550</v>
      </c>
      <c r="F949" t="s">
        <v>562</v>
      </c>
      <c r="G949" t="s">
        <v>562</v>
      </c>
      <c r="H949" t="s">
        <v>562</v>
      </c>
      <c r="I949">
        <v>5214</v>
      </c>
      <c r="J949" t="s">
        <v>564</v>
      </c>
      <c r="K949" s="698">
        <v>45957.564583333333</v>
      </c>
      <c r="L949" s="698">
        <v>45957.564583333333</v>
      </c>
      <c r="M949" t="s">
        <v>565</v>
      </c>
      <c r="N949" t="s">
        <v>565</v>
      </c>
      <c r="O949" t="s">
        <v>566</v>
      </c>
      <c r="P949" t="s">
        <v>567</v>
      </c>
      <c r="S949" t="s">
        <v>567</v>
      </c>
      <c r="T949" t="s">
        <v>567</v>
      </c>
      <c r="Z949" t="s">
        <v>568</v>
      </c>
      <c r="AA949" t="s">
        <v>568</v>
      </c>
    </row>
    <row r="950" spans="1:27">
      <c r="A950" t="s">
        <v>2551</v>
      </c>
      <c r="B950" t="s">
        <v>2552</v>
      </c>
      <c r="C950" t="s">
        <v>2553</v>
      </c>
      <c r="D950" t="s">
        <v>562</v>
      </c>
      <c r="E950" t="s">
        <v>2554</v>
      </c>
      <c r="F950" t="s">
        <v>562</v>
      </c>
      <c r="G950" t="s">
        <v>562</v>
      </c>
      <c r="H950" t="s">
        <v>562</v>
      </c>
      <c r="I950">
        <v>4802</v>
      </c>
      <c r="J950" t="s">
        <v>564</v>
      </c>
      <c r="K950" s="698">
        <v>45957.552083333336</v>
      </c>
      <c r="L950" s="698">
        <v>45957.552083333336</v>
      </c>
      <c r="M950" t="s">
        <v>565</v>
      </c>
      <c r="N950" t="s">
        <v>565</v>
      </c>
      <c r="O950" t="s">
        <v>566</v>
      </c>
      <c r="P950" t="s">
        <v>567</v>
      </c>
      <c r="S950" t="s">
        <v>567</v>
      </c>
      <c r="T950" t="s">
        <v>567</v>
      </c>
      <c r="Z950" t="s">
        <v>568</v>
      </c>
      <c r="AA950" t="s">
        <v>568</v>
      </c>
    </row>
    <row r="951" spans="1:27">
      <c r="A951" t="s">
        <v>2555</v>
      </c>
      <c r="B951" t="s">
        <v>2556</v>
      </c>
      <c r="C951" t="s">
        <v>2557</v>
      </c>
      <c r="D951" t="s">
        <v>2558</v>
      </c>
      <c r="E951" t="s">
        <v>2559</v>
      </c>
      <c r="F951" t="s">
        <v>562</v>
      </c>
      <c r="G951" t="s">
        <v>562</v>
      </c>
      <c r="H951" t="s">
        <v>562</v>
      </c>
      <c r="I951">
        <v>4614</v>
      </c>
      <c r="J951" t="s">
        <v>564</v>
      </c>
      <c r="K951" s="698">
        <v>45957.540277777778</v>
      </c>
      <c r="L951" s="698">
        <v>45957.540277777778</v>
      </c>
      <c r="M951" t="s">
        <v>565</v>
      </c>
      <c r="N951" t="s">
        <v>565</v>
      </c>
      <c r="O951" t="s">
        <v>566</v>
      </c>
      <c r="P951" t="s">
        <v>567</v>
      </c>
      <c r="S951" t="s">
        <v>567</v>
      </c>
      <c r="T951" t="s">
        <v>567</v>
      </c>
      <c r="Z951" t="s">
        <v>568</v>
      </c>
      <c r="AA951" t="s">
        <v>568</v>
      </c>
    </row>
    <row r="952" spans="1:27">
      <c r="A952" t="s">
        <v>2560</v>
      </c>
      <c r="B952" t="s">
        <v>562</v>
      </c>
      <c r="C952" t="s">
        <v>562</v>
      </c>
      <c r="D952" t="s">
        <v>2561</v>
      </c>
      <c r="E952" t="s">
        <v>2562</v>
      </c>
      <c r="F952" t="s">
        <v>562</v>
      </c>
      <c r="G952" t="s">
        <v>562</v>
      </c>
      <c r="H952" t="s">
        <v>562</v>
      </c>
      <c r="I952">
        <v>3857</v>
      </c>
      <c r="J952" t="s">
        <v>564</v>
      </c>
      <c r="K952" s="698">
        <v>45957.448611111111</v>
      </c>
      <c r="L952" s="698">
        <v>45957.448611111111</v>
      </c>
      <c r="M952" t="s">
        <v>565</v>
      </c>
      <c r="N952" t="s">
        <v>565</v>
      </c>
      <c r="O952" t="s">
        <v>566</v>
      </c>
      <c r="P952" t="s">
        <v>567</v>
      </c>
      <c r="S952" t="s">
        <v>567</v>
      </c>
      <c r="T952" t="s">
        <v>567</v>
      </c>
      <c r="Z952" t="s">
        <v>568</v>
      </c>
      <c r="AA952" t="s">
        <v>568</v>
      </c>
    </row>
    <row r="953" spans="1:27">
      <c r="A953" t="s">
        <v>2560</v>
      </c>
      <c r="B953" t="s">
        <v>2563</v>
      </c>
      <c r="C953" t="s">
        <v>2564</v>
      </c>
      <c r="D953" t="s">
        <v>2561</v>
      </c>
      <c r="E953" t="s">
        <v>2565</v>
      </c>
      <c r="F953" t="s">
        <v>562</v>
      </c>
      <c r="G953" t="s">
        <v>562</v>
      </c>
      <c r="H953" t="s">
        <v>562</v>
      </c>
      <c r="I953">
        <v>4096</v>
      </c>
      <c r="J953" t="s">
        <v>564</v>
      </c>
      <c r="K953" s="698">
        <v>45957.475694444445</v>
      </c>
      <c r="L953" s="698">
        <v>45957.475694444445</v>
      </c>
      <c r="M953" t="s">
        <v>565</v>
      </c>
      <c r="N953" t="s">
        <v>565</v>
      </c>
      <c r="O953" t="s">
        <v>566</v>
      </c>
      <c r="P953" t="s">
        <v>567</v>
      </c>
      <c r="S953" t="s">
        <v>567</v>
      </c>
      <c r="T953" t="s">
        <v>567</v>
      </c>
      <c r="Z953" t="s">
        <v>568</v>
      </c>
      <c r="AA953" t="s">
        <v>568</v>
      </c>
    </row>
    <row r="954" spans="1:27">
      <c r="A954" t="s">
        <v>2560</v>
      </c>
      <c r="B954" t="s">
        <v>562</v>
      </c>
      <c r="C954" t="s">
        <v>562</v>
      </c>
      <c r="D954" t="s">
        <v>2561</v>
      </c>
      <c r="E954" t="s">
        <v>2566</v>
      </c>
      <c r="F954" t="s">
        <v>562</v>
      </c>
      <c r="G954" t="s">
        <v>562</v>
      </c>
      <c r="H954" t="s">
        <v>562</v>
      </c>
      <c r="I954">
        <v>4219</v>
      </c>
      <c r="J954" t="s">
        <v>564</v>
      </c>
      <c r="K954" s="698">
        <v>45957.490972222222</v>
      </c>
      <c r="L954" s="698">
        <v>45957.490972222222</v>
      </c>
      <c r="M954" t="s">
        <v>565</v>
      </c>
      <c r="N954" t="s">
        <v>565</v>
      </c>
      <c r="O954" t="s">
        <v>566</v>
      </c>
      <c r="P954" t="s">
        <v>567</v>
      </c>
      <c r="S954" t="s">
        <v>567</v>
      </c>
      <c r="T954" t="s">
        <v>567</v>
      </c>
      <c r="Z954" t="s">
        <v>568</v>
      </c>
      <c r="AA954" t="s">
        <v>568</v>
      </c>
    </row>
    <row r="955" spans="1:27">
      <c r="A955" t="s">
        <v>2560</v>
      </c>
      <c r="B955" t="s">
        <v>2563</v>
      </c>
      <c r="C955" t="s">
        <v>2567</v>
      </c>
      <c r="D955" t="s">
        <v>2561</v>
      </c>
      <c r="E955" t="s">
        <v>2568</v>
      </c>
      <c r="F955" t="s">
        <v>562</v>
      </c>
      <c r="G955" t="s">
        <v>562</v>
      </c>
      <c r="H955" t="s">
        <v>562</v>
      </c>
      <c r="I955">
        <v>4253</v>
      </c>
      <c r="J955" t="s">
        <v>564</v>
      </c>
      <c r="K955" s="698">
        <v>45957.495138888888</v>
      </c>
      <c r="L955" s="698">
        <v>45957.495138888888</v>
      </c>
      <c r="M955" t="s">
        <v>565</v>
      </c>
      <c r="N955" t="s">
        <v>565</v>
      </c>
      <c r="O955" t="s">
        <v>566</v>
      </c>
      <c r="P955" t="s">
        <v>567</v>
      </c>
      <c r="S955" t="s">
        <v>567</v>
      </c>
      <c r="T955" t="s">
        <v>567</v>
      </c>
      <c r="Z955" t="s">
        <v>568</v>
      </c>
      <c r="AA955" t="s">
        <v>568</v>
      </c>
    </row>
    <row r="956" spans="1:27">
      <c r="A956" t="s">
        <v>2569</v>
      </c>
      <c r="B956" t="s">
        <v>1153</v>
      </c>
      <c r="C956" t="s">
        <v>562</v>
      </c>
      <c r="D956" t="s">
        <v>2570</v>
      </c>
      <c r="E956" t="s">
        <v>2571</v>
      </c>
      <c r="F956" t="s">
        <v>562</v>
      </c>
      <c r="G956" t="s">
        <v>562</v>
      </c>
      <c r="H956" t="s">
        <v>562</v>
      </c>
      <c r="I956">
        <v>5210</v>
      </c>
      <c r="J956" t="s">
        <v>564</v>
      </c>
      <c r="K956" s="698">
        <v>45957.564583333333</v>
      </c>
      <c r="L956" s="698">
        <v>45957.564583333333</v>
      </c>
      <c r="M956" t="s">
        <v>565</v>
      </c>
      <c r="N956" t="s">
        <v>565</v>
      </c>
      <c r="O956" t="s">
        <v>566</v>
      </c>
      <c r="P956" t="s">
        <v>567</v>
      </c>
      <c r="S956" t="s">
        <v>567</v>
      </c>
      <c r="T956" t="s">
        <v>567</v>
      </c>
      <c r="Z956" t="s">
        <v>568</v>
      </c>
      <c r="AA956" t="s">
        <v>568</v>
      </c>
    </row>
    <row r="957" spans="1:27">
      <c r="A957" t="s">
        <v>2572</v>
      </c>
      <c r="B957" t="s">
        <v>2573</v>
      </c>
      <c r="C957" t="s">
        <v>2574</v>
      </c>
      <c r="D957" t="s">
        <v>2575</v>
      </c>
      <c r="E957" t="s">
        <v>2576</v>
      </c>
      <c r="F957" t="s">
        <v>562</v>
      </c>
      <c r="G957" t="s">
        <v>562</v>
      </c>
      <c r="H957" t="s">
        <v>562</v>
      </c>
      <c r="I957">
        <v>3927</v>
      </c>
      <c r="J957" t="s">
        <v>564</v>
      </c>
      <c r="K957" s="698">
        <v>45957.455555555556</v>
      </c>
      <c r="L957" s="698">
        <v>45957.455555555556</v>
      </c>
      <c r="M957" t="s">
        <v>565</v>
      </c>
      <c r="N957" t="s">
        <v>565</v>
      </c>
      <c r="O957" t="s">
        <v>566</v>
      </c>
      <c r="P957" t="s">
        <v>567</v>
      </c>
      <c r="S957" t="s">
        <v>567</v>
      </c>
      <c r="T957" t="s">
        <v>567</v>
      </c>
      <c r="Z957" t="s">
        <v>568</v>
      </c>
      <c r="AA957" t="s">
        <v>568</v>
      </c>
    </row>
    <row r="958" spans="1:27">
      <c r="A958" t="s">
        <v>2577</v>
      </c>
      <c r="B958" t="s">
        <v>562</v>
      </c>
      <c r="C958" t="s">
        <v>2578</v>
      </c>
      <c r="D958" t="s">
        <v>2579</v>
      </c>
      <c r="E958" t="s">
        <v>2580</v>
      </c>
      <c r="F958" t="s">
        <v>562</v>
      </c>
      <c r="G958" t="s">
        <v>562</v>
      </c>
      <c r="H958" t="s">
        <v>562</v>
      </c>
      <c r="I958">
        <v>3533</v>
      </c>
      <c r="J958" t="s">
        <v>564</v>
      </c>
      <c r="K958" s="698">
        <v>45957.412499999999</v>
      </c>
      <c r="L958" s="698">
        <v>45957.412499999999</v>
      </c>
      <c r="M958" t="s">
        <v>565</v>
      </c>
      <c r="N958" t="s">
        <v>565</v>
      </c>
      <c r="O958" t="s">
        <v>566</v>
      </c>
      <c r="P958" t="s">
        <v>567</v>
      </c>
      <c r="S958" t="s">
        <v>567</v>
      </c>
      <c r="T958" t="s">
        <v>567</v>
      </c>
      <c r="Z958" t="s">
        <v>568</v>
      </c>
      <c r="AA958" t="s">
        <v>568</v>
      </c>
    </row>
    <row r="959" spans="1:27">
      <c r="A959" t="s">
        <v>2581</v>
      </c>
      <c r="B959" t="s">
        <v>562</v>
      </c>
      <c r="C959" t="s">
        <v>562</v>
      </c>
      <c r="D959" t="s">
        <v>2582</v>
      </c>
      <c r="E959" t="s">
        <v>2583</v>
      </c>
      <c r="F959" t="s">
        <v>562</v>
      </c>
      <c r="G959" t="s">
        <v>562</v>
      </c>
      <c r="H959" t="s">
        <v>562</v>
      </c>
      <c r="I959">
        <v>3925</v>
      </c>
      <c r="J959" t="s">
        <v>564</v>
      </c>
      <c r="K959" s="698">
        <v>45957.455555555556</v>
      </c>
      <c r="L959" s="698">
        <v>45957.455555555556</v>
      </c>
      <c r="M959" t="s">
        <v>565</v>
      </c>
      <c r="N959" t="s">
        <v>565</v>
      </c>
      <c r="O959" t="s">
        <v>566</v>
      </c>
      <c r="P959" t="s">
        <v>567</v>
      </c>
      <c r="S959" t="s">
        <v>567</v>
      </c>
      <c r="T959" t="s">
        <v>567</v>
      </c>
      <c r="Z959" t="s">
        <v>568</v>
      </c>
      <c r="AA959" t="s">
        <v>568</v>
      </c>
    </row>
    <row r="960" spans="1:27">
      <c r="A960" t="s">
        <v>2581</v>
      </c>
      <c r="B960" t="s">
        <v>562</v>
      </c>
      <c r="C960" t="s">
        <v>562</v>
      </c>
      <c r="D960" t="s">
        <v>2582</v>
      </c>
      <c r="E960" t="s">
        <v>2584</v>
      </c>
      <c r="F960" t="s">
        <v>562</v>
      </c>
      <c r="G960" t="s">
        <v>562</v>
      </c>
      <c r="H960" t="s">
        <v>562</v>
      </c>
      <c r="I960">
        <v>4323</v>
      </c>
      <c r="J960" t="s">
        <v>564</v>
      </c>
      <c r="K960" s="698">
        <v>45957.504166666666</v>
      </c>
      <c r="L960" s="698">
        <v>45957.504166666666</v>
      </c>
      <c r="M960" t="s">
        <v>565</v>
      </c>
      <c r="N960" t="s">
        <v>565</v>
      </c>
      <c r="O960" t="s">
        <v>566</v>
      </c>
      <c r="P960" t="s">
        <v>567</v>
      </c>
      <c r="S960" t="s">
        <v>567</v>
      </c>
      <c r="T960" t="s">
        <v>567</v>
      </c>
      <c r="Z960" t="s">
        <v>568</v>
      </c>
      <c r="AA960" t="s">
        <v>568</v>
      </c>
    </row>
    <row r="961" spans="1:27">
      <c r="A961" t="s">
        <v>2585</v>
      </c>
      <c r="B961" t="s">
        <v>2586</v>
      </c>
      <c r="C961" t="s">
        <v>2587</v>
      </c>
      <c r="D961" t="s">
        <v>562</v>
      </c>
      <c r="E961" t="s">
        <v>2588</v>
      </c>
      <c r="F961" t="s">
        <v>562</v>
      </c>
      <c r="G961" t="s">
        <v>562</v>
      </c>
      <c r="H961" t="s">
        <v>562</v>
      </c>
      <c r="I961">
        <v>4520</v>
      </c>
      <c r="J961" t="s">
        <v>564</v>
      </c>
      <c r="K961" s="698">
        <v>45957.52847222222</v>
      </c>
      <c r="L961" s="698">
        <v>45957.52847222222</v>
      </c>
      <c r="M961" t="s">
        <v>565</v>
      </c>
      <c r="N961" t="s">
        <v>565</v>
      </c>
      <c r="O961" t="s">
        <v>566</v>
      </c>
      <c r="P961" t="s">
        <v>567</v>
      </c>
      <c r="S961" t="s">
        <v>567</v>
      </c>
      <c r="T961" t="s">
        <v>567</v>
      </c>
      <c r="Z961" t="s">
        <v>568</v>
      </c>
      <c r="AA961" t="s">
        <v>568</v>
      </c>
    </row>
    <row r="962" spans="1:27">
      <c r="A962" t="s">
        <v>2589</v>
      </c>
      <c r="B962" t="s">
        <v>2590</v>
      </c>
      <c r="C962" t="s">
        <v>2591</v>
      </c>
      <c r="D962" t="s">
        <v>562</v>
      </c>
      <c r="E962" t="s">
        <v>2592</v>
      </c>
      <c r="F962" t="s">
        <v>562</v>
      </c>
      <c r="G962" t="s">
        <v>562</v>
      </c>
      <c r="H962" t="s">
        <v>562</v>
      </c>
      <c r="I962">
        <v>4437</v>
      </c>
      <c r="J962" t="s">
        <v>564</v>
      </c>
      <c r="K962" s="698">
        <v>45957.518750000003</v>
      </c>
      <c r="L962" s="698">
        <v>45957.518750000003</v>
      </c>
      <c r="M962" t="s">
        <v>565</v>
      </c>
      <c r="N962" t="s">
        <v>565</v>
      </c>
      <c r="O962" t="s">
        <v>566</v>
      </c>
      <c r="P962" t="s">
        <v>567</v>
      </c>
      <c r="S962" t="s">
        <v>567</v>
      </c>
      <c r="T962" t="s">
        <v>567</v>
      </c>
      <c r="Z962" t="s">
        <v>568</v>
      </c>
      <c r="AA962" t="s">
        <v>568</v>
      </c>
    </row>
    <row r="963" spans="1:27">
      <c r="A963" t="s">
        <v>2593</v>
      </c>
      <c r="B963" t="s">
        <v>2594</v>
      </c>
      <c r="C963" t="s">
        <v>2595</v>
      </c>
      <c r="D963" t="s">
        <v>562</v>
      </c>
      <c r="E963" t="s">
        <v>2596</v>
      </c>
      <c r="F963" t="s">
        <v>562</v>
      </c>
      <c r="G963" t="s">
        <v>562</v>
      </c>
      <c r="H963" t="s">
        <v>562</v>
      </c>
      <c r="I963">
        <v>4336</v>
      </c>
      <c r="J963" t="s">
        <v>564</v>
      </c>
      <c r="K963" s="698">
        <v>45957.506249999999</v>
      </c>
      <c r="L963" s="698">
        <v>45957.506249999999</v>
      </c>
      <c r="M963" t="s">
        <v>565</v>
      </c>
      <c r="N963" t="s">
        <v>565</v>
      </c>
      <c r="O963" t="s">
        <v>566</v>
      </c>
      <c r="P963" t="s">
        <v>567</v>
      </c>
      <c r="S963" t="s">
        <v>567</v>
      </c>
      <c r="T963" t="s">
        <v>567</v>
      </c>
      <c r="Z963" t="s">
        <v>568</v>
      </c>
      <c r="AA963" t="s">
        <v>568</v>
      </c>
    </row>
    <row r="964" spans="1:27">
      <c r="A964" t="s">
        <v>2597</v>
      </c>
      <c r="B964" t="s">
        <v>562</v>
      </c>
      <c r="C964" t="s">
        <v>562</v>
      </c>
      <c r="D964" t="s">
        <v>2598</v>
      </c>
      <c r="E964" t="s">
        <v>2599</v>
      </c>
      <c r="F964" t="s">
        <v>562</v>
      </c>
      <c r="G964" t="s">
        <v>562</v>
      </c>
      <c r="H964" t="s">
        <v>562</v>
      </c>
      <c r="I964">
        <v>4451</v>
      </c>
      <c r="J964" t="s">
        <v>564</v>
      </c>
      <c r="K964" s="698">
        <v>45957.520138888889</v>
      </c>
      <c r="L964" s="698">
        <v>45957.520138888889</v>
      </c>
      <c r="M964" t="s">
        <v>565</v>
      </c>
      <c r="N964" t="s">
        <v>565</v>
      </c>
      <c r="O964" t="s">
        <v>566</v>
      </c>
      <c r="P964" t="s">
        <v>567</v>
      </c>
      <c r="S964" t="s">
        <v>567</v>
      </c>
      <c r="T964" t="s">
        <v>567</v>
      </c>
      <c r="Z964" t="s">
        <v>568</v>
      </c>
      <c r="AA964" t="s">
        <v>568</v>
      </c>
    </row>
    <row r="965" spans="1:27">
      <c r="A965" t="s">
        <v>2600</v>
      </c>
      <c r="B965" t="s">
        <v>562</v>
      </c>
      <c r="C965" t="s">
        <v>562</v>
      </c>
      <c r="D965" t="s">
        <v>2601</v>
      </c>
      <c r="E965" t="s">
        <v>2602</v>
      </c>
      <c r="F965" t="s">
        <v>562</v>
      </c>
      <c r="G965" t="s">
        <v>562</v>
      </c>
      <c r="H965" t="s">
        <v>562</v>
      </c>
      <c r="I965">
        <v>4042</v>
      </c>
      <c r="J965" t="s">
        <v>564</v>
      </c>
      <c r="K965" s="698">
        <v>45957.469444444447</v>
      </c>
      <c r="L965" s="698">
        <v>45957.469444444447</v>
      </c>
      <c r="M965" t="s">
        <v>565</v>
      </c>
      <c r="N965" t="s">
        <v>565</v>
      </c>
      <c r="O965" t="s">
        <v>566</v>
      </c>
      <c r="P965" t="s">
        <v>567</v>
      </c>
      <c r="S965" t="s">
        <v>567</v>
      </c>
      <c r="T965" t="s">
        <v>567</v>
      </c>
      <c r="Z965" t="s">
        <v>568</v>
      </c>
      <c r="AA965" t="s">
        <v>568</v>
      </c>
    </row>
    <row r="966" spans="1:27">
      <c r="A966" t="s">
        <v>2603</v>
      </c>
      <c r="B966" t="s">
        <v>562</v>
      </c>
      <c r="C966" t="s">
        <v>562</v>
      </c>
      <c r="D966" t="s">
        <v>2604</v>
      </c>
      <c r="E966" t="s">
        <v>1116</v>
      </c>
      <c r="F966" t="s">
        <v>562</v>
      </c>
      <c r="G966" t="s">
        <v>562</v>
      </c>
      <c r="H966" t="s">
        <v>562</v>
      </c>
      <c r="I966">
        <v>4773</v>
      </c>
      <c r="J966" t="s">
        <v>564</v>
      </c>
      <c r="K966" s="698">
        <v>45957.551388888889</v>
      </c>
      <c r="L966" s="698">
        <v>45957.551388888889</v>
      </c>
      <c r="M966" t="s">
        <v>565</v>
      </c>
      <c r="N966" t="s">
        <v>565</v>
      </c>
      <c r="O966" t="s">
        <v>566</v>
      </c>
      <c r="P966" t="s">
        <v>567</v>
      </c>
      <c r="S966" t="s">
        <v>567</v>
      </c>
      <c r="T966" t="s">
        <v>567</v>
      </c>
      <c r="Z966" t="s">
        <v>568</v>
      </c>
      <c r="AA966" t="s">
        <v>568</v>
      </c>
    </row>
    <row r="967" spans="1:27">
      <c r="A967" t="s">
        <v>2605</v>
      </c>
      <c r="B967" t="s">
        <v>562</v>
      </c>
      <c r="C967" t="s">
        <v>2606</v>
      </c>
      <c r="D967" t="s">
        <v>2607</v>
      </c>
      <c r="E967" t="s">
        <v>2608</v>
      </c>
      <c r="F967" t="s">
        <v>562</v>
      </c>
      <c r="G967" t="s">
        <v>562</v>
      </c>
      <c r="H967" t="s">
        <v>562</v>
      </c>
      <c r="I967">
        <v>3534</v>
      </c>
      <c r="J967" t="s">
        <v>564</v>
      </c>
      <c r="K967" s="698">
        <v>45957.412499999999</v>
      </c>
      <c r="L967" s="698">
        <v>45957.412499999999</v>
      </c>
      <c r="M967" t="s">
        <v>565</v>
      </c>
      <c r="N967" t="s">
        <v>565</v>
      </c>
      <c r="O967" t="s">
        <v>566</v>
      </c>
      <c r="P967" t="s">
        <v>567</v>
      </c>
      <c r="S967" t="s">
        <v>567</v>
      </c>
      <c r="T967" t="s">
        <v>567</v>
      </c>
      <c r="Z967" t="s">
        <v>568</v>
      </c>
      <c r="AA967" t="s">
        <v>568</v>
      </c>
    </row>
    <row r="968" spans="1:27">
      <c r="A968" t="s">
        <v>2609</v>
      </c>
      <c r="B968" t="s">
        <v>2610</v>
      </c>
      <c r="C968" t="s">
        <v>2611</v>
      </c>
      <c r="D968" t="s">
        <v>562</v>
      </c>
      <c r="E968" t="s">
        <v>2612</v>
      </c>
      <c r="F968" t="s">
        <v>562</v>
      </c>
      <c r="G968" t="s">
        <v>562</v>
      </c>
      <c r="H968" t="s">
        <v>562</v>
      </c>
      <c r="I968">
        <v>3899</v>
      </c>
      <c r="J968" t="s">
        <v>564</v>
      </c>
      <c r="K968" s="698">
        <v>45957.452777777777</v>
      </c>
      <c r="L968" s="698">
        <v>45957.452777777777</v>
      </c>
      <c r="M968" t="s">
        <v>565</v>
      </c>
      <c r="N968" t="s">
        <v>565</v>
      </c>
      <c r="O968" t="s">
        <v>566</v>
      </c>
      <c r="P968" t="s">
        <v>567</v>
      </c>
      <c r="S968" t="s">
        <v>567</v>
      </c>
      <c r="T968" t="s">
        <v>567</v>
      </c>
      <c r="Z968" t="s">
        <v>568</v>
      </c>
      <c r="AA968" t="s">
        <v>568</v>
      </c>
    </row>
    <row r="969" spans="1:27">
      <c r="A969" t="s">
        <v>2613</v>
      </c>
      <c r="B969" t="s">
        <v>2614</v>
      </c>
      <c r="C969" t="s">
        <v>2615</v>
      </c>
      <c r="D969" t="s">
        <v>2616</v>
      </c>
      <c r="E969" t="s">
        <v>2617</v>
      </c>
      <c r="F969" t="s">
        <v>562</v>
      </c>
      <c r="G969" t="s">
        <v>562</v>
      </c>
      <c r="H969" t="s">
        <v>562</v>
      </c>
      <c r="I969">
        <v>3672</v>
      </c>
      <c r="J969" t="s">
        <v>564</v>
      </c>
      <c r="K969" s="698">
        <v>45957.427777777775</v>
      </c>
      <c r="L969" s="698">
        <v>45957.427777777775</v>
      </c>
      <c r="M969" t="s">
        <v>565</v>
      </c>
      <c r="N969" t="s">
        <v>565</v>
      </c>
      <c r="O969" t="s">
        <v>566</v>
      </c>
      <c r="P969" t="s">
        <v>567</v>
      </c>
      <c r="S969" t="s">
        <v>567</v>
      </c>
      <c r="T969" t="s">
        <v>567</v>
      </c>
      <c r="Z969" t="s">
        <v>568</v>
      </c>
      <c r="AA969" t="s">
        <v>568</v>
      </c>
    </row>
    <row r="970" spans="1:27">
      <c r="A970" t="s">
        <v>2613</v>
      </c>
      <c r="B970" t="s">
        <v>603</v>
      </c>
      <c r="C970" t="s">
        <v>562</v>
      </c>
      <c r="D970" t="s">
        <v>2616</v>
      </c>
      <c r="E970" t="s">
        <v>666</v>
      </c>
      <c r="F970" t="s">
        <v>562</v>
      </c>
      <c r="G970" t="s">
        <v>562</v>
      </c>
      <c r="H970" t="s">
        <v>562</v>
      </c>
      <c r="I970">
        <v>3707</v>
      </c>
      <c r="J970" t="s">
        <v>564</v>
      </c>
      <c r="K970" s="698">
        <v>45957.431944444441</v>
      </c>
      <c r="L970" s="698">
        <v>45957.431944444441</v>
      </c>
      <c r="M970" t="s">
        <v>565</v>
      </c>
      <c r="N970" t="s">
        <v>565</v>
      </c>
      <c r="O970" t="s">
        <v>566</v>
      </c>
      <c r="P970" t="s">
        <v>567</v>
      </c>
      <c r="S970" t="s">
        <v>567</v>
      </c>
      <c r="T970" t="s">
        <v>567</v>
      </c>
      <c r="Z970" t="s">
        <v>568</v>
      </c>
      <c r="AA970" t="s">
        <v>568</v>
      </c>
    </row>
    <row r="971" spans="1:27">
      <c r="A971" t="s">
        <v>2613</v>
      </c>
      <c r="B971" t="s">
        <v>2618</v>
      </c>
      <c r="C971" t="s">
        <v>2619</v>
      </c>
      <c r="D971" t="s">
        <v>2616</v>
      </c>
      <c r="E971" t="s">
        <v>2620</v>
      </c>
      <c r="F971" t="s">
        <v>562</v>
      </c>
      <c r="G971" t="s">
        <v>562</v>
      </c>
      <c r="H971" t="s">
        <v>562</v>
      </c>
      <c r="I971">
        <v>4513</v>
      </c>
      <c r="J971" t="s">
        <v>564</v>
      </c>
      <c r="K971" s="698">
        <v>45957.527777777781</v>
      </c>
      <c r="L971" s="698">
        <v>45957.527777777781</v>
      </c>
      <c r="M971" t="s">
        <v>565</v>
      </c>
      <c r="N971" t="s">
        <v>565</v>
      </c>
      <c r="O971" t="s">
        <v>566</v>
      </c>
      <c r="P971" t="s">
        <v>567</v>
      </c>
      <c r="S971" t="s">
        <v>567</v>
      </c>
      <c r="T971" t="s">
        <v>567</v>
      </c>
      <c r="Z971" t="s">
        <v>568</v>
      </c>
      <c r="AA971" t="s">
        <v>568</v>
      </c>
    </row>
    <row r="972" spans="1:27">
      <c r="A972" t="s">
        <v>2613</v>
      </c>
      <c r="B972" t="s">
        <v>562</v>
      </c>
      <c r="C972" t="s">
        <v>562</v>
      </c>
      <c r="D972" t="s">
        <v>2616</v>
      </c>
      <c r="E972" t="s">
        <v>2621</v>
      </c>
      <c r="F972" t="s">
        <v>562</v>
      </c>
      <c r="G972" t="s">
        <v>562</v>
      </c>
      <c r="H972" t="s">
        <v>562</v>
      </c>
      <c r="I972">
        <v>4648</v>
      </c>
      <c r="J972" t="s">
        <v>564</v>
      </c>
      <c r="K972" s="698">
        <v>45957.547222222223</v>
      </c>
      <c r="L972" s="698">
        <v>45957.547222222223</v>
      </c>
      <c r="M972" t="s">
        <v>565</v>
      </c>
      <c r="N972" t="s">
        <v>565</v>
      </c>
      <c r="O972" t="s">
        <v>566</v>
      </c>
      <c r="P972" t="s">
        <v>567</v>
      </c>
      <c r="S972" t="s">
        <v>567</v>
      </c>
      <c r="T972" t="s">
        <v>567</v>
      </c>
      <c r="Z972" t="s">
        <v>568</v>
      </c>
      <c r="AA972" t="s">
        <v>568</v>
      </c>
    </row>
    <row r="973" spans="1:27">
      <c r="A973" t="s">
        <v>2613</v>
      </c>
      <c r="B973" t="s">
        <v>562</v>
      </c>
      <c r="C973" t="s">
        <v>562</v>
      </c>
      <c r="D973" t="s">
        <v>2616</v>
      </c>
      <c r="E973" t="s">
        <v>1343</v>
      </c>
      <c r="F973" t="s">
        <v>562</v>
      </c>
      <c r="G973" t="s">
        <v>562</v>
      </c>
      <c r="H973" t="s">
        <v>562</v>
      </c>
      <c r="I973">
        <v>5108</v>
      </c>
      <c r="J973" t="s">
        <v>564</v>
      </c>
      <c r="K973" s="698">
        <v>45957.561805555553</v>
      </c>
      <c r="L973" s="698">
        <v>45957.561805555553</v>
      </c>
      <c r="M973" t="s">
        <v>565</v>
      </c>
      <c r="N973" t="s">
        <v>565</v>
      </c>
      <c r="O973" t="s">
        <v>566</v>
      </c>
      <c r="P973" t="s">
        <v>567</v>
      </c>
      <c r="S973" t="s">
        <v>567</v>
      </c>
      <c r="T973" t="s">
        <v>567</v>
      </c>
      <c r="Z973" t="s">
        <v>568</v>
      </c>
      <c r="AA973" t="s">
        <v>568</v>
      </c>
    </row>
    <row r="974" spans="1:27">
      <c r="A974" t="s">
        <v>2613</v>
      </c>
      <c r="B974" t="s">
        <v>562</v>
      </c>
      <c r="C974" t="s">
        <v>562</v>
      </c>
      <c r="D974" t="s">
        <v>2616</v>
      </c>
      <c r="E974" t="s">
        <v>2622</v>
      </c>
      <c r="F974" t="s">
        <v>562</v>
      </c>
      <c r="G974" t="s">
        <v>562</v>
      </c>
      <c r="H974" t="s">
        <v>562</v>
      </c>
      <c r="I974">
        <v>5109</v>
      </c>
      <c r="J974" t="s">
        <v>564</v>
      </c>
      <c r="K974" s="698">
        <v>45957.561805555553</v>
      </c>
      <c r="L974" s="698">
        <v>45957.561805555553</v>
      </c>
      <c r="M974" t="s">
        <v>565</v>
      </c>
      <c r="N974" t="s">
        <v>565</v>
      </c>
      <c r="O974" t="s">
        <v>566</v>
      </c>
      <c r="P974" t="s">
        <v>567</v>
      </c>
      <c r="S974" t="s">
        <v>567</v>
      </c>
      <c r="T974" t="s">
        <v>567</v>
      </c>
      <c r="Z974" t="s">
        <v>568</v>
      </c>
      <c r="AA974" t="s">
        <v>568</v>
      </c>
    </row>
    <row r="975" spans="1:27">
      <c r="A975" t="s">
        <v>2613</v>
      </c>
      <c r="B975" t="s">
        <v>562</v>
      </c>
      <c r="C975" t="s">
        <v>562</v>
      </c>
      <c r="D975" t="s">
        <v>2616</v>
      </c>
      <c r="E975" t="s">
        <v>2623</v>
      </c>
      <c r="F975" t="s">
        <v>562</v>
      </c>
      <c r="G975" t="s">
        <v>562</v>
      </c>
      <c r="H975" t="s">
        <v>562</v>
      </c>
      <c r="I975">
        <v>5110</v>
      </c>
      <c r="J975" t="s">
        <v>564</v>
      </c>
      <c r="K975" s="698">
        <v>45957.561805555553</v>
      </c>
      <c r="L975" s="698">
        <v>45957.561805555553</v>
      </c>
      <c r="M975" t="s">
        <v>565</v>
      </c>
      <c r="N975" t="s">
        <v>565</v>
      </c>
      <c r="O975" t="s">
        <v>566</v>
      </c>
      <c r="P975" t="s">
        <v>567</v>
      </c>
      <c r="S975" t="s">
        <v>567</v>
      </c>
      <c r="T975" t="s">
        <v>567</v>
      </c>
      <c r="Z975" t="s">
        <v>568</v>
      </c>
      <c r="AA975" t="s">
        <v>568</v>
      </c>
    </row>
    <row r="976" spans="1:27">
      <c r="A976" t="s">
        <v>2613</v>
      </c>
      <c r="B976" t="s">
        <v>562</v>
      </c>
      <c r="C976" t="s">
        <v>562</v>
      </c>
      <c r="D976" t="s">
        <v>2616</v>
      </c>
      <c r="E976" t="s">
        <v>2624</v>
      </c>
      <c r="F976" t="s">
        <v>562</v>
      </c>
      <c r="G976" t="s">
        <v>562</v>
      </c>
      <c r="H976" t="s">
        <v>562</v>
      </c>
      <c r="I976">
        <v>5112</v>
      </c>
      <c r="J976" t="s">
        <v>564</v>
      </c>
      <c r="K976" s="698">
        <v>45957.561805555553</v>
      </c>
      <c r="L976" s="698">
        <v>45957.561805555553</v>
      </c>
      <c r="M976" t="s">
        <v>565</v>
      </c>
      <c r="N976" t="s">
        <v>565</v>
      </c>
      <c r="O976" t="s">
        <v>566</v>
      </c>
      <c r="P976" t="s">
        <v>567</v>
      </c>
      <c r="S976" t="s">
        <v>567</v>
      </c>
      <c r="T976" t="s">
        <v>567</v>
      </c>
      <c r="Z976" t="s">
        <v>568</v>
      </c>
      <c r="AA976" t="s">
        <v>568</v>
      </c>
    </row>
    <row r="977" spans="1:27">
      <c r="A977" t="s">
        <v>2613</v>
      </c>
      <c r="B977" t="s">
        <v>562</v>
      </c>
      <c r="C977" t="s">
        <v>562</v>
      </c>
      <c r="D977" t="s">
        <v>2616</v>
      </c>
      <c r="E977" t="s">
        <v>2625</v>
      </c>
      <c r="F977" t="s">
        <v>562</v>
      </c>
      <c r="G977" t="s">
        <v>562</v>
      </c>
      <c r="H977" t="s">
        <v>562</v>
      </c>
      <c r="I977">
        <v>5114</v>
      </c>
      <c r="J977" t="s">
        <v>564</v>
      </c>
      <c r="K977" s="698">
        <v>45957.561805555553</v>
      </c>
      <c r="L977" s="698">
        <v>45957.561805555553</v>
      </c>
      <c r="M977" t="s">
        <v>565</v>
      </c>
      <c r="N977" t="s">
        <v>565</v>
      </c>
      <c r="O977" t="s">
        <v>566</v>
      </c>
      <c r="P977" t="s">
        <v>567</v>
      </c>
      <c r="S977" t="s">
        <v>567</v>
      </c>
      <c r="T977" t="s">
        <v>567</v>
      </c>
      <c r="Z977" t="s">
        <v>568</v>
      </c>
      <c r="AA977" t="s">
        <v>568</v>
      </c>
    </row>
    <row r="978" spans="1:27">
      <c r="A978" t="s">
        <v>2613</v>
      </c>
      <c r="B978" t="s">
        <v>1342</v>
      </c>
      <c r="C978" t="s">
        <v>2626</v>
      </c>
      <c r="D978" t="s">
        <v>2616</v>
      </c>
      <c r="E978" t="s">
        <v>2627</v>
      </c>
      <c r="F978" t="s">
        <v>562</v>
      </c>
      <c r="G978" t="s">
        <v>562</v>
      </c>
      <c r="H978" t="s">
        <v>562</v>
      </c>
      <c r="I978">
        <v>5119</v>
      </c>
      <c r="J978" t="s">
        <v>564</v>
      </c>
      <c r="K978" s="698">
        <v>45957.561805555553</v>
      </c>
      <c r="L978" s="698">
        <v>45957.561805555553</v>
      </c>
      <c r="M978" t="s">
        <v>565</v>
      </c>
      <c r="N978" t="s">
        <v>565</v>
      </c>
      <c r="O978" t="s">
        <v>566</v>
      </c>
      <c r="P978" t="s">
        <v>567</v>
      </c>
      <c r="S978" t="s">
        <v>567</v>
      </c>
      <c r="T978" t="s">
        <v>567</v>
      </c>
      <c r="Z978" t="s">
        <v>568</v>
      </c>
      <c r="AA978" t="s">
        <v>568</v>
      </c>
    </row>
    <row r="979" spans="1:27">
      <c r="A979" t="s">
        <v>2613</v>
      </c>
      <c r="B979" t="s">
        <v>562</v>
      </c>
      <c r="C979" t="s">
        <v>562</v>
      </c>
      <c r="D979" t="s">
        <v>2616</v>
      </c>
      <c r="E979" t="s">
        <v>2628</v>
      </c>
      <c r="F979" t="s">
        <v>562</v>
      </c>
      <c r="G979" t="s">
        <v>562</v>
      </c>
      <c r="H979" t="s">
        <v>562</v>
      </c>
      <c r="I979">
        <v>5120</v>
      </c>
      <c r="J979" t="s">
        <v>564</v>
      </c>
      <c r="K979" s="698">
        <v>45957.561805555553</v>
      </c>
      <c r="L979" s="698">
        <v>45957.561805555553</v>
      </c>
      <c r="M979" t="s">
        <v>565</v>
      </c>
      <c r="N979" t="s">
        <v>565</v>
      </c>
      <c r="O979" t="s">
        <v>566</v>
      </c>
      <c r="P979" t="s">
        <v>567</v>
      </c>
      <c r="S979" t="s">
        <v>567</v>
      </c>
      <c r="T979" t="s">
        <v>567</v>
      </c>
      <c r="Z979" t="s">
        <v>568</v>
      </c>
      <c r="AA979" t="s">
        <v>568</v>
      </c>
    </row>
    <row r="980" spans="1:27">
      <c r="A980" t="s">
        <v>2613</v>
      </c>
      <c r="B980" t="s">
        <v>562</v>
      </c>
      <c r="C980" t="s">
        <v>562</v>
      </c>
      <c r="D980" t="s">
        <v>2616</v>
      </c>
      <c r="E980" t="s">
        <v>2629</v>
      </c>
      <c r="F980" t="s">
        <v>562</v>
      </c>
      <c r="G980" t="s">
        <v>562</v>
      </c>
      <c r="H980" t="s">
        <v>562</v>
      </c>
      <c r="I980">
        <v>5168</v>
      </c>
      <c r="J980" t="s">
        <v>564</v>
      </c>
      <c r="K980" s="698">
        <v>45957.563194444447</v>
      </c>
      <c r="L980" s="698">
        <v>45957.563194444447</v>
      </c>
      <c r="M980" t="s">
        <v>565</v>
      </c>
      <c r="N980" t="s">
        <v>565</v>
      </c>
      <c r="O980" t="s">
        <v>566</v>
      </c>
      <c r="P980" t="s">
        <v>567</v>
      </c>
      <c r="S980" t="s">
        <v>567</v>
      </c>
      <c r="T980" t="s">
        <v>567</v>
      </c>
      <c r="Z980" t="s">
        <v>568</v>
      </c>
      <c r="AA980" t="s">
        <v>568</v>
      </c>
    </row>
    <row r="981" spans="1:27">
      <c r="A981" t="s">
        <v>2613</v>
      </c>
      <c r="B981" t="s">
        <v>2630</v>
      </c>
      <c r="C981" t="s">
        <v>2631</v>
      </c>
      <c r="D981" t="s">
        <v>2616</v>
      </c>
      <c r="E981" t="s">
        <v>2632</v>
      </c>
      <c r="F981" t="s">
        <v>562</v>
      </c>
      <c r="G981" t="s">
        <v>562</v>
      </c>
      <c r="H981" t="s">
        <v>562</v>
      </c>
      <c r="I981">
        <v>5178</v>
      </c>
      <c r="J981" t="s">
        <v>564</v>
      </c>
      <c r="K981" s="698">
        <v>45957.563888888886</v>
      </c>
      <c r="L981" s="698">
        <v>45957.563888888886</v>
      </c>
      <c r="M981" t="s">
        <v>565</v>
      </c>
      <c r="N981" t="s">
        <v>565</v>
      </c>
      <c r="O981" t="s">
        <v>566</v>
      </c>
      <c r="P981" t="s">
        <v>567</v>
      </c>
      <c r="S981" t="s">
        <v>567</v>
      </c>
      <c r="T981" t="s">
        <v>567</v>
      </c>
      <c r="Z981" t="s">
        <v>568</v>
      </c>
      <c r="AA981" t="s">
        <v>568</v>
      </c>
    </row>
    <row r="982" spans="1:27">
      <c r="A982" t="s">
        <v>2613</v>
      </c>
      <c r="B982" t="s">
        <v>2633</v>
      </c>
      <c r="C982" t="s">
        <v>2634</v>
      </c>
      <c r="D982" t="s">
        <v>2616</v>
      </c>
      <c r="E982" t="s">
        <v>2635</v>
      </c>
      <c r="F982" t="s">
        <v>562</v>
      </c>
      <c r="G982" t="s">
        <v>562</v>
      </c>
      <c r="H982" t="s">
        <v>562</v>
      </c>
      <c r="I982">
        <v>5185</v>
      </c>
      <c r="J982" t="s">
        <v>564</v>
      </c>
      <c r="K982" s="698">
        <v>45957.563888888886</v>
      </c>
      <c r="L982" s="698">
        <v>45957.563888888886</v>
      </c>
      <c r="M982" t="s">
        <v>565</v>
      </c>
      <c r="N982" t="s">
        <v>565</v>
      </c>
      <c r="O982" t="s">
        <v>566</v>
      </c>
      <c r="P982" t="s">
        <v>567</v>
      </c>
      <c r="S982" t="s">
        <v>567</v>
      </c>
      <c r="T982" t="s">
        <v>567</v>
      </c>
      <c r="Z982" t="s">
        <v>568</v>
      </c>
      <c r="AA982" t="s">
        <v>568</v>
      </c>
    </row>
    <row r="983" spans="1:27">
      <c r="A983" t="s">
        <v>2636</v>
      </c>
      <c r="B983" t="s">
        <v>603</v>
      </c>
      <c r="C983" t="s">
        <v>562</v>
      </c>
      <c r="D983" t="s">
        <v>562</v>
      </c>
      <c r="E983" t="s">
        <v>2637</v>
      </c>
      <c r="F983" t="s">
        <v>562</v>
      </c>
      <c r="G983" t="s">
        <v>562</v>
      </c>
      <c r="H983" t="s">
        <v>562</v>
      </c>
      <c r="I983">
        <v>3660</v>
      </c>
      <c r="J983" t="s">
        <v>564</v>
      </c>
      <c r="K983" s="698">
        <v>45957.426388888889</v>
      </c>
      <c r="L983" s="698">
        <v>45957.426388888889</v>
      </c>
      <c r="M983" t="s">
        <v>565</v>
      </c>
      <c r="N983" t="s">
        <v>565</v>
      </c>
      <c r="O983" t="s">
        <v>566</v>
      </c>
      <c r="P983" t="s">
        <v>567</v>
      </c>
      <c r="S983" t="s">
        <v>567</v>
      </c>
      <c r="T983" t="s">
        <v>567</v>
      </c>
      <c r="Z983" t="s">
        <v>568</v>
      </c>
      <c r="AA983" t="s">
        <v>568</v>
      </c>
    </row>
    <row r="984" spans="1:27">
      <c r="A984" t="s">
        <v>2636</v>
      </c>
      <c r="B984" t="s">
        <v>2614</v>
      </c>
      <c r="C984" t="s">
        <v>2615</v>
      </c>
      <c r="D984" t="s">
        <v>562</v>
      </c>
      <c r="E984" t="s">
        <v>2638</v>
      </c>
      <c r="F984" t="s">
        <v>562</v>
      </c>
      <c r="G984" t="s">
        <v>562</v>
      </c>
      <c r="H984" t="s">
        <v>562</v>
      </c>
      <c r="I984">
        <v>5173</v>
      </c>
      <c r="J984" t="s">
        <v>564</v>
      </c>
      <c r="K984" s="698">
        <v>45957.563194444447</v>
      </c>
      <c r="L984" s="698">
        <v>45957.563194444447</v>
      </c>
      <c r="M984" t="s">
        <v>565</v>
      </c>
      <c r="N984" t="s">
        <v>565</v>
      </c>
      <c r="O984" t="s">
        <v>566</v>
      </c>
      <c r="P984" t="s">
        <v>567</v>
      </c>
      <c r="S984" t="s">
        <v>567</v>
      </c>
      <c r="T984" t="s">
        <v>567</v>
      </c>
      <c r="Z984" t="s">
        <v>568</v>
      </c>
      <c r="AA984" t="s">
        <v>568</v>
      </c>
    </row>
    <row r="985" spans="1:27">
      <c r="A985" t="s">
        <v>2639</v>
      </c>
      <c r="B985" t="s">
        <v>1818</v>
      </c>
      <c r="C985" t="s">
        <v>2640</v>
      </c>
      <c r="D985" t="s">
        <v>2641</v>
      </c>
      <c r="E985" t="s">
        <v>2642</v>
      </c>
      <c r="F985" t="s">
        <v>562</v>
      </c>
      <c r="G985" t="s">
        <v>562</v>
      </c>
      <c r="H985" t="s">
        <v>562</v>
      </c>
      <c r="I985">
        <v>5003</v>
      </c>
      <c r="J985" t="s">
        <v>564</v>
      </c>
      <c r="K985" s="698">
        <v>45957.558333333334</v>
      </c>
      <c r="L985" s="698">
        <v>45957.558333333334</v>
      </c>
      <c r="M985" t="s">
        <v>565</v>
      </c>
      <c r="N985" t="s">
        <v>565</v>
      </c>
      <c r="O985" t="s">
        <v>566</v>
      </c>
      <c r="P985" t="s">
        <v>567</v>
      </c>
      <c r="S985" t="s">
        <v>567</v>
      </c>
      <c r="T985" t="s">
        <v>567</v>
      </c>
      <c r="Z985" t="s">
        <v>568</v>
      </c>
      <c r="AA985" t="s">
        <v>568</v>
      </c>
    </row>
    <row r="986" spans="1:27">
      <c r="A986" t="s">
        <v>2643</v>
      </c>
      <c r="B986" t="s">
        <v>562</v>
      </c>
      <c r="C986" t="s">
        <v>2644</v>
      </c>
      <c r="D986" t="s">
        <v>2645</v>
      </c>
      <c r="E986" t="s">
        <v>562</v>
      </c>
      <c r="F986" t="s">
        <v>562</v>
      </c>
      <c r="G986" t="s">
        <v>562</v>
      </c>
      <c r="H986" t="s">
        <v>562</v>
      </c>
      <c r="I986">
        <v>3535</v>
      </c>
      <c r="J986" t="s">
        <v>564</v>
      </c>
      <c r="K986" s="698">
        <v>45957.412499999999</v>
      </c>
      <c r="L986" s="698">
        <v>45957.412499999999</v>
      </c>
      <c r="M986" t="s">
        <v>565</v>
      </c>
      <c r="N986" t="s">
        <v>565</v>
      </c>
      <c r="O986" t="s">
        <v>566</v>
      </c>
      <c r="P986" t="s">
        <v>567</v>
      </c>
      <c r="S986" t="s">
        <v>567</v>
      </c>
      <c r="T986" t="s">
        <v>567</v>
      </c>
      <c r="Z986" t="s">
        <v>568</v>
      </c>
      <c r="AA986" t="s">
        <v>568</v>
      </c>
    </row>
    <row r="987" spans="1:27">
      <c r="A987" t="s">
        <v>2646</v>
      </c>
      <c r="B987" t="s">
        <v>2552</v>
      </c>
      <c r="C987" t="s">
        <v>2553</v>
      </c>
      <c r="D987" t="s">
        <v>562</v>
      </c>
      <c r="E987" t="s">
        <v>2647</v>
      </c>
      <c r="F987" t="s">
        <v>562</v>
      </c>
      <c r="G987" t="s">
        <v>562</v>
      </c>
      <c r="H987" t="s">
        <v>562</v>
      </c>
      <c r="I987">
        <v>4728</v>
      </c>
      <c r="J987" t="s">
        <v>564</v>
      </c>
      <c r="K987" s="698">
        <v>45957.55</v>
      </c>
      <c r="L987" s="698">
        <v>45957.55</v>
      </c>
      <c r="M987" t="s">
        <v>565</v>
      </c>
      <c r="N987" t="s">
        <v>565</v>
      </c>
      <c r="O987" t="s">
        <v>566</v>
      </c>
      <c r="P987" t="s">
        <v>567</v>
      </c>
      <c r="S987" t="s">
        <v>567</v>
      </c>
      <c r="T987" t="s">
        <v>567</v>
      </c>
      <c r="Z987" t="s">
        <v>568</v>
      </c>
      <c r="AA987" t="s">
        <v>568</v>
      </c>
    </row>
    <row r="988" spans="1:27">
      <c r="A988" t="s">
        <v>2648</v>
      </c>
      <c r="B988" t="s">
        <v>2648</v>
      </c>
      <c r="C988" t="s">
        <v>2649</v>
      </c>
      <c r="D988" t="s">
        <v>562</v>
      </c>
      <c r="E988" t="s">
        <v>2650</v>
      </c>
      <c r="F988" t="s">
        <v>562</v>
      </c>
      <c r="G988" t="s">
        <v>562</v>
      </c>
      <c r="H988" t="s">
        <v>562</v>
      </c>
      <c r="I988">
        <v>4412</v>
      </c>
      <c r="J988" t="s">
        <v>564</v>
      </c>
      <c r="K988" s="698">
        <v>45957.515277777777</v>
      </c>
      <c r="L988" s="698">
        <v>45957.515277777777</v>
      </c>
      <c r="M988" t="s">
        <v>565</v>
      </c>
      <c r="N988" t="s">
        <v>565</v>
      </c>
      <c r="O988" t="s">
        <v>566</v>
      </c>
      <c r="P988" t="s">
        <v>567</v>
      </c>
      <c r="S988" t="s">
        <v>567</v>
      </c>
      <c r="T988" t="s">
        <v>567</v>
      </c>
      <c r="Z988" t="s">
        <v>568</v>
      </c>
      <c r="AA988" t="s">
        <v>568</v>
      </c>
    </row>
    <row r="989" spans="1:27">
      <c r="A989" t="s">
        <v>2651</v>
      </c>
      <c r="B989" t="s">
        <v>562</v>
      </c>
      <c r="C989" t="s">
        <v>562</v>
      </c>
      <c r="D989" t="s">
        <v>2652</v>
      </c>
      <c r="E989" t="s">
        <v>2653</v>
      </c>
      <c r="F989" t="s">
        <v>562</v>
      </c>
      <c r="G989" t="s">
        <v>562</v>
      </c>
      <c r="H989" t="s">
        <v>562</v>
      </c>
      <c r="I989">
        <v>4548</v>
      </c>
      <c r="J989" t="s">
        <v>564</v>
      </c>
      <c r="K989" s="698">
        <v>45957.531944444447</v>
      </c>
      <c r="L989" s="698">
        <v>45957.531944444447</v>
      </c>
      <c r="M989" t="s">
        <v>565</v>
      </c>
      <c r="N989" t="s">
        <v>565</v>
      </c>
      <c r="O989" t="s">
        <v>566</v>
      </c>
      <c r="P989" t="s">
        <v>567</v>
      </c>
      <c r="S989" t="s">
        <v>567</v>
      </c>
      <c r="T989" t="s">
        <v>567</v>
      </c>
      <c r="Z989" t="s">
        <v>568</v>
      </c>
      <c r="AA989" t="s">
        <v>568</v>
      </c>
    </row>
    <row r="990" spans="1:27">
      <c r="A990" t="s">
        <v>2654</v>
      </c>
      <c r="B990" t="s">
        <v>562</v>
      </c>
      <c r="C990" t="s">
        <v>2655</v>
      </c>
      <c r="D990" t="s">
        <v>2656</v>
      </c>
      <c r="E990" t="s">
        <v>562</v>
      </c>
      <c r="F990" t="s">
        <v>562</v>
      </c>
      <c r="G990" t="s">
        <v>562</v>
      </c>
      <c r="H990" t="s">
        <v>562</v>
      </c>
      <c r="I990">
        <v>3536</v>
      </c>
      <c r="J990" t="s">
        <v>564</v>
      </c>
      <c r="K990" s="698">
        <v>45957.412499999999</v>
      </c>
      <c r="L990" s="698">
        <v>45957.412499999999</v>
      </c>
      <c r="M990" t="s">
        <v>565</v>
      </c>
      <c r="N990" t="s">
        <v>565</v>
      </c>
      <c r="O990" t="s">
        <v>566</v>
      </c>
      <c r="P990" t="s">
        <v>567</v>
      </c>
      <c r="S990" t="s">
        <v>567</v>
      </c>
      <c r="T990" t="s">
        <v>567</v>
      </c>
      <c r="Z990" t="s">
        <v>568</v>
      </c>
      <c r="AA990" t="s">
        <v>568</v>
      </c>
    </row>
    <row r="991" spans="1:27">
      <c r="A991" t="s">
        <v>2654</v>
      </c>
      <c r="B991" t="s">
        <v>2657</v>
      </c>
      <c r="C991" t="s">
        <v>2658</v>
      </c>
      <c r="D991" t="s">
        <v>2659</v>
      </c>
      <c r="E991" t="s">
        <v>2660</v>
      </c>
      <c r="F991" t="s">
        <v>562</v>
      </c>
      <c r="G991" t="s">
        <v>562</v>
      </c>
      <c r="H991" t="s">
        <v>562</v>
      </c>
      <c r="I991">
        <v>4690</v>
      </c>
      <c r="J991" t="s">
        <v>564</v>
      </c>
      <c r="K991" s="698">
        <v>45957.548611111109</v>
      </c>
      <c r="L991" s="698">
        <v>45957.548611111109</v>
      </c>
      <c r="M991" t="s">
        <v>565</v>
      </c>
      <c r="N991" t="s">
        <v>565</v>
      </c>
      <c r="O991" t="s">
        <v>566</v>
      </c>
      <c r="P991" t="s">
        <v>567</v>
      </c>
      <c r="S991" t="s">
        <v>567</v>
      </c>
      <c r="T991" t="s">
        <v>567</v>
      </c>
      <c r="Z991" t="s">
        <v>568</v>
      </c>
      <c r="AA991" t="s">
        <v>568</v>
      </c>
    </row>
    <row r="992" spans="1:27">
      <c r="A992" t="s">
        <v>2661</v>
      </c>
      <c r="B992" t="s">
        <v>562</v>
      </c>
      <c r="C992" t="s">
        <v>2662</v>
      </c>
      <c r="D992" t="s">
        <v>2663</v>
      </c>
      <c r="E992" t="s">
        <v>562</v>
      </c>
      <c r="F992" t="s">
        <v>562</v>
      </c>
      <c r="G992" t="s">
        <v>562</v>
      </c>
      <c r="H992" t="s">
        <v>562</v>
      </c>
      <c r="I992">
        <v>3537</v>
      </c>
      <c r="J992" t="s">
        <v>564</v>
      </c>
      <c r="K992" s="698">
        <v>45957.412499999999</v>
      </c>
      <c r="L992" s="698">
        <v>45957.412499999999</v>
      </c>
      <c r="M992" t="s">
        <v>565</v>
      </c>
      <c r="N992" t="s">
        <v>565</v>
      </c>
      <c r="O992" t="s">
        <v>566</v>
      </c>
      <c r="P992" t="s">
        <v>567</v>
      </c>
      <c r="S992" t="s">
        <v>567</v>
      </c>
      <c r="T992" t="s">
        <v>567</v>
      </c>
      <c r="Z992" t="s">
        <v>568</v>
      </c>
      <c r="AA992" t="s">
        <v>568</v>
      </c>
    </row>
    <row r="993" spans="1:27">
      <c r="A993" t="s">
        <v>2661</v>
      </c>
      <c r="B993" t="s">
        <v>562</v>
      </c>
      <c r="C993" t="s">
        <v>562</v>
      </c>
      <c r="D993" t="s">
        <v>2664</v>
      </c>
      <c r="E993" t="s">
        <v>2665</v>
      </c>
      <c r="F993" t="s">
        <v>562</v>
      </c>
      <c r="G993" t="s">
        <v>562</v>
      </c>
      <c r="H993" t="s">
        <v>562</v>
      </c>
      <c r="I993">
        <v>3711</v>
      </c>
      <c r="J993" t="s">
        <v>564</v>
      </c>
      <c r="K993" s="698">
        <v>45957.431944444441</v>
      </c>
      <c r="L993" s="698">
        <v>45957.431944444441</v>
      </c>
      <c r="M993" t="s">
        <v>565</v>
      </c>
      <c r="N993" t="s">
        <v>565</v>
      </c>
      <c r="O993" t="s">
        <v>566</v>
      </c>
      <c r="P993" t="s">
        <v>567</v>
      </c>
      <c r="S993" t="s">
        <v>567</v>
      </c>
      <c r="T993" t="s">
        <v>567</v>
      </c>
      <c r="Z993" t="s">
        <v>568</v>
      </c>
      <c r="AA993" t="s">
        <v>568</v>
      </c>
    </row>
    <row r="994" spans="1:27">
      <c r="A994" t="s">
        <v>2661</v>
      </c>
      <c r="B994" t="s">
        <v>2666</v>
      </c>
      <c r="C994" t="s">
        <v>562</v>
      </c>
      <c r="D994" t="s">
        <v>2664</v>
      </c>
      <c r="E994" t="s">
        <v>2667</v>
      </c>
      <c r="F994" t="s">
        <v>562</v>
      </c>
      <c r="G994" t="s">
        <v>562</v>
      </c>
      <c r="H994" t="s">
        <v>562</v>
      </c>
      <c r="I994">
        <v>3717</v>
      </c>
      <c r="J994" t="s">
        <v>564</v>
      </c>
      <c r="K994" s="698">
        <v>45957.432638888888</v>
      </c>
      <c r="L994" s="698">
        <v>45957.432638888888</v>
      </c>
      <c r="M994" t="s">
        <v>565</v>
      </c>
      <c r="N994" t="s">
        <v>565</v>
      </c>
      <c r="O994" t="s">
        <v>566</v>
      </c>
      <c r="P994" t="s">
        <v>567</v>
      </c>
      <c r="S994" t="s">
        <v>567</v>
      </c>
      <c r="T994" t="s">
        <v>567</v>
      </c>
      <c r="Z994" t="s">
        <v>568</v>
      </c>
      <c r="AA994" t="s">
        <v>568</v>
      </c>
    </row>
    <row r="995" spans="1:27">
      <c r="A995" t="s">
        <v>2661</v>
      </c>
      <c r="B995" t="s">
        <v>942</v>
      </c>
      <c r="C995" t="s">
        <v>2668</v>
      </c>
      <c r="D995" t="s">
        <v>2664</v>
      </c>
      <c r="E995" t="s">
        <v>2669</v>
      </c>
      <c r="F995" t="s">
        <v>562</v>
      </c>
      <c r="G995" t="s">
        <v>562</v>
      </c>
      <c r="H995" t="s">
        <v>562</v>
      </c>
      <c r="I995">
        <v>3937</v>
      </c>
      <c r="J995" t="s">
        <v>564</v>
      </c>
      <c r="K995" s="698">
        <v>45957.456944444442</v>
      </c>
      <c r="L995" s="698">
        <v>45957.456944444442</v>
      </c>
      <c r="M995" t="s">
        <v>565</v>
      </c>
      <c r="N995" t="s">
        <v>565</v>
      </c>
      <c r="O995" t="s">
        <v>566</v>
      </c>
      <c r="P995" t="s">
        <v>567</v>
      </c>
      <c r="S995" t="s">
        <v>567</v>
      </c>
      <c r="T995" t="s">
        <v>567</v>
      </c>
      <c r="Z995" t="s">
        <v>568</v>
      </c>
      <c r="AA995" t="s">
        <v>568</v>
      </c>
    </row>
    <row r="996" spans="1:27">
      <c r="A996" t="s">
        <v>2670</v>
      </c>
      <c r="B996" t="s">
        <v>562</v>
      </c>
      <c r="C996" t="s">
        <v>2671</v>
      </c>
      <c r="D996" t="s">
        <v>2672</v>
      </c>
      <c r="E996" t="s">
        <v>562</v>
      </c>
      <c r="F996" t="s">
        <v>562</v>
      </c>
      <c r="G996" t="s">
        <v>562</v>
      </c>
      <c r="H996" t="s">
        <v>562</v>
      </c>
      <c r="I996">
        <v>3538</v>
      </c>
      <c r="J996" t="s">
        <v>564</v>
      </c>
      <c r="K996" s="698">
        <v>45957.412499999999</v>
      </c>
      <c r="L996" s="698">
        <v>45957.412499999999</v>
      </c>
      <c r="M996" t="s">
        <v>565</v>
      </c>
      <c r="N996" t="s">
        <v>565</v>
      </c>
      <c r="O996" t="s">
        <v>566</v>
      </c>
      <c r="P996" t="s">
        <v>567</v>
      </c>
      <c r="S996" t="s">
        <v>567</v>
      </c>
      <c r="T996" t="s">
        <v>567</v>
      </c>
      <c r="Z996" t="s">
        <v>568</v>
      </c>
      <c r="AA996" t="s">
        <v>568</v>
      </c>
    </row>
    <row r="997" spans="1:27">
      <c r="A997" t="s">
        <v>2673</v>
      </c>
      <c r="B997" t="s">
        <v>2674</v>
      </c>
      <c r="C997" t="s">
        <v>2671</v>
      </c>
      <c r="D997" t="s">
        <v>2672</v>
      </c>
      <c r="E997" t="s">
        <v>2675</v>
      </c>
      <c r="F997" t="s">
        <v>562</v>
      </c>
      <c r="G997" t="s">
        <v>562</v>
      </c>
      <c r="H997" t="s">
        <v>562</v>
      </c>
      <c r="I997">
        <v>3965</v>
      </c>
      <c r="J997" t="s">
        <v>564</v>
      </c>
      <c r="K997" s="698">
        <v>45957.460416666669</v>
      </c>
      <c r="L997" s="698">
        <v>45957.460416666669</v>
      </c>
      <c r="M997" t="s">
        <v>565</v>
      </c>
      <c r="N997" t="s">
        <v>565</v>
      </c>
      <c r="O997" t="s">
        <v>566</v>
      </c>
      <c r="P997" t="s">
        <v>567</v>
      </c>
      <c r="S997" t="s">
        <v>567</v>
      </c>
      <c r="T997" t="s">
        <v>567</v>
      </c>
      <c r="Z997" t="s">
        <v>568</v>
      </c>
      <c r="AA997" t="s">
        <v>568</v>
      </c>
    </row>
    <row r="998" spans="1:27">
      <c r="A998" t="s">
        <v>2673</v>
      </c>
      <c r="B998" t="s">
        <v>2674</v>
      </c>
      <c r="C998" t="s">
        <v>2671</v>
      </c>
      <c r="D998" t="s">
        <v>2672</v>
      </c>
      <c r="E998" t="s">
        <v>2676</v>
      </c>
      <c r="F998" t="s">
        <v>562</v>
      </c>
      <c r="G998" t="s">
        <v>562</v>
      </c>
      <c r="H998" t="s">
        <v>562</v>
      </c>
      <c r="I998">
        <v>4368</v>
      </c>
      <c r="J998" t="s">
        <v>564</v>
      </c>
      <c r="K998" s="698">
        <v>45957.509722222225</v>
      </c>
      <c r="L998" s="698">
        <v>45957.509722222225</v>
      </c>
      <c r="M998" t="s">
        <v>565</v>
      </c>
      <c r="N998" t="s">
        <v>565</v>
      </c>
      <c r="O998" t="s">
        <v>566</v>
      </c>
      <c r="P998" t="s">
        <v>567</v>
      </c>
      <c r="S998" t="s">
        <v>567</v>
      </c>
      <c r="T998" t="s">
        <v>567</v>
      </c>
      <c r="Z998" t="s">
        <v>568</v>
      </c>
      <c r="AA998" t="s">
        <v>568</v>
      </c>
    </row>
    <row r="999" spans="1:27">
      <c r="A999" t="s">
        <v>2673</v>
      </c>
      <c r="B999" t="s">
        <v>562</v>
      </c>
      <c r="C999" t="s">
        <v>2677</v>
      </c>
      <c r="D999" t="s">
        <v>2672</v>
      </c>
      <c r="E999" t="s">
        <v>2678</v>
      </c>
      <c r="F999" t="s">
        <v>562</v>
      </c>
      <c r="G999" t="s">
        <v>562</v>
      </c>
      <c r="H999" t="s">
        <v>562</v>
      </c>
      <c r="I999">
        <v>4551</v>
      </c>
      <c r="J999" t="s">
        <v>564</v>
      </c>
      <c r="K999" s="698">
        <v>45957.532638888886</v>
      </c>
      <c r="L999" s="698">
        <v>45957.532638888886</v>
      </c>
      <c r="M999" t="s">
        <v>565</v>
      </c>
      <c r="N999" t="s">
        <v>565</v>
      </c>
      <c r="O999" t="s">
        <v>566</v>
      </c>
      <c r="P999" t="s">
        <v>567</v>
      </c>
      <c r="S999" t="s">
        <v>567</v>
      </c>
      <c r="T999" t="s">
        <v>567</v>
      </c>
      <c r="Z999" t="s">
        <v>568</v>
      </c>
      <c r="AA999" t="s">
        <v>568</v>
      </c>
    </row>
    <row r="1000" spans="1:27">
      <c r="A1000" t="s">
        <v>2673</v>
      </c>
      <c r="B1000" t="s">
        <v>2670</v>
      </c>
      <c r="C1000" t="s">
        <v>2671</v>
      </c>
      <c r="D1000" t="s">
        <v>2672</v>
      </c>
      <c r="E1000" t="s">
        <v>2679</v>
      </c>
      <c r="F1000" t="s">
        <v>562</v>
      </c>
      <c r="G1000" t="s">
        <v>562</v>
      </c>
      <c r="H1000" t="s">
        <v>562</v>
      </c>
      <c r="I1000">
        <v>4600</v>
      </c>
      <c r="J1000" t="s">
        <v>564</v>
      </c>
      <c r="K1000" s="698">
        <v>45957.538194444445</v>
      </c>
      <c r="L1000" s="698">
        <v>45957.538194444445</v>
      </c>
      <c r="M1000" t="s">
        <v>565</v>
      </c>
      <c r="N1000" t="s">
        <v>565</v>
      </c>
      <c r="O1000" t="s">
        <v>566</v>
      </c>
      <c r="P1000" t="s">
        <v>567</v>
      </c>
      <c r="S1000" t="s">
        <v>567</v>
      </c>
      <c r="T1000" t="s">
        <v>567</v>
      </c>
      <c r="Z1000" t="s">
        <v>568</v>
      </c>
      <c r="AA1000" t="s">
        <v>568</v>
      </c>
    </row>
    <row r="1001" spans="1:27">
      <c r="A1001" t="s">
        <v>2673</v>
      </c>
      <c r="B1001" t="s">
        <v>2673</v>
      </c>
      <c r="C1001" t="s">
        <v>2671</v>
      </c>
      <c r="D1001" t="s">
        <v>2672</v>
      </c>
      <c r="E1001" t="s">
        <v>2680</v>
      </c>
      <c r="F1001" t="s">
        <v>562</v>
      </c>
      <c r="G1001" t="s">
        <v>562</v>
      </c>
      <c r="H1001" t="s">
        <v>562</v>
      </c>
      <c r="I1001">
        <v>4607</v>
      </c>
      <c r="J1001" t="s">
        <v>564</v>
      </c>
      <c r="K1001" s="698">
        <v>45957.539583333331</v>
      </c>
      <c r="L1001" s="698">
        <v>45957.539583333331</v>
      </c>
      <c r="M1001" t="s">
        <v>565</v>
      </c>
      <c r="N1001" t="s">
        <v>565</v>
      </c>
      <c r="O1001" t="s">
        <v>566</v>
      </c>
      <c r="P1001" t="s">
        <v>567</v>
      </c>
      <c r="S1001" t="s">
        <v>567</v>
      </c>
      <c r="T1001" t="s">
        <v>567</v>
      </c>
      <c r="Z1001" t="s">
        <v>568</v>
      </c>
      <c r="AA1001" t="s">
        <v>568</v>
      </c>
    </row>
    <row r="1002" spans="1:27">
      <c r="A1002" t="s">
        <v>2673</v>
      </c>
      <c r="B1002" t="s">
        <v>2674</v>
      </c>
      <c r="C1002" t="s">
        <v>2677</v>
      </c>
      <c r="D1002" t="s">
        <v>2672</v>
      </c>
      <c r="E1002" t="s">
        <v>2681</v>
      </c>
      <c r="F1002" t="s">
        <v>562</v>
      </c>
      <c r="G1002" t="s">
        <v>562</v>
      </c>
      <c r="H1002" t="s">
        <v>562</v>
      </c>
      <c r="I1002">
        <v>4633</v>
      </c>
      <c r="J1002" t="s">
        <v>564</v>
      </c>
      <c r="K1002" s="698">
        <v>45957.543055555558</v>
      </c>
      <c r="L1002" s="698">
        <v>45957.543055555558</v>
      </c>
      <c r="M1002" t="s">
        <v>565</v>
      </c>
      <c r="N1002" t="s">
        <v>565</v>
      </c>
      <c r="O1002" t="s">
        <v>566</v>
      </c>
      <c r="P1002" t="s">
        <v>567</v>
      </c>
      <c r="S1002" t="s">
        <v>567</v>
      </c>
      <c r="T1002" t="s">
        <v>567</v>
      </c>
      <c r="Z1002" t="s">
        <v>568</v>
      </c>
      <c r="AA1002" t="s">
        <v>568</v>
      </c>
    </row>
    <row r="1003" spans="1:27">
      <c r="A1003" t="s">
        <v>2673</v>
      </c>
      <c r="B1003" t="s">
        <v>2670</v>
      </c>
      <c r="C1003" t="s">
        <v>2671</v>
      </c>
      <c r="D1003" t="s">
        <v>2672</v>
      </c>
      <c r="E1003" t="s">
        <v>2682</v>
      </c>
      <c r="F1003" t="s">
        <v>562</v>
      </c>
      <c r="G1003" t="s">
        <v>562</v>
      </c>
      <c r="H1003" t="s">
        <v>562</v>
      </c>
      <c r="I1003">
        <v>4791</v>
      </c>
      <c r="J1003" t="s">
        <v>564</v>
      </c>
      <c r="K1003" s="698">
        <v>45957.552083333336</v>
      </c>
      <c r="L1003" s="698">
        <v>45957.552083333336</v>
      </c>
      <c r="M1003" t="s">
        <v>565</v>
      </c>
      <c r="N1003" t="s">
        <v>565</v>
      </c>
      <c r="O1003" t="s">
        <v>566</v>
      </c>
      <c r="P1003" t="s">
        <v>567</v>
      </c>
      <c r="S1003" t="s">
        <v>567</v>
      </c>
      <c r="T1003" t="s">
        <v>567</v>
      </c>
      <c r="Z1003" t="s">
        <v>568</v>
      </c>
      <c r="AA1003" t="s">
        <v>568</v>
      </c>
    </row>
    <row r="1004" spans="1:27">
      <c r="A1004" t="s">
        <v>2673</v>
      </c>
      <c r="B1004" t="s">
        <v>562</v>
      </c>
      <c r="C1004" t="s">
        <v>562</v>
      </c>
      <c r="D1004" t="s">
        <v>2672</v>
      </c>
      <c r="E1004" t="s">
        <v>2683</v>
      </c>
      <c r="F1004" t="s">
        <v>562</v>
      </c>
      <c r="G1004" t="s">
        <v>562</v>
      </c>
      <c r="H1004" t="s">
        <v>562</v>
      </c>
      <c r="I1004">
        <v>4821</v>
      </c>
      <c r="J1004" t="s">
        <v>564</v>
      </c>
      <c r="K1004" s="698">
        <v>45957.552777777775</v>
      </c>
      <c r="L1004" s="698">
        <v>45957.552777777775</v>
      </c>
      <c r="M1004" t="s">
        <v>565</v>
      </c>
      <c r="N1004" t="s">
        <v>565</v>
      </c>
      <c r="O1004" t="s">
        <v>566</v>
      </c>
      <c r="P1004" t="s">
        <v>567</v>
      </c>
      <c r="S1004" t="s">
        <v>567</v>
      </c>
      <c r="T1004" t="s">
        <v>567</v>
      </c>
      <c r="Z1004" t="s">
        <v>568</v>
      </c>
      <c r="AA1004" t="s">
        <v>568</v>
      </c>
    </row>
    <row r="1005" spans="1:27">
      <c r="A1005" t="s">
        <v>2673</v>
      </c>
      <c r="B1005" t="s">
        <v>2674</v>
      </c>
      <c r="C1005" t="s">
        <v>2671</v>
      </c>
      <c r="D1005" t="s">
        <v>2672</v>
      </c>
      <c r="E1005" t="s">
        <v>2684</v>
      </c>
      <c r="F1005" t="s">
        <v>562</v>
      </c>
      <c r="G1005" t="s">
        <v>562</v>
      </c>
      <c r="H1005" t="s">
        <v>562</v>
      </c>
      <c r="I1005">
        <v>5027</v>
      </c>
      <c r="J1005" t="s">
        <v>564</v>
      </c>
      <c r="K1005" s="698">
        <v>45957.559027777781</v>
      </c>
      <c r="L1005" s="698">
        <v>45957.559027777781</v>
      </c>
      <c r="M1005" t="s">
        <v>565</v>
      </c>
      <c r="N1005" t="s">
        <v>565</v>
      </c>
      <c r="O1005" t="s">
        <v>566</v>
      </c>
      <c r="P1005" t="s">
        <v>567</v>
      </c>
      <c r="S1005" t="s">
        <v>567</v>
      </c>
      <c r="T1005" t="s">
        <v>567</v>
      </c>
      <c r="Z1005" t="s">
        <v>568</v>
      </c>
      <c r="AA1005" t="s">
        <v>568</v>
      </c>
    </row>
    <row r="1006" spans="1:27">
      <c r="A1006" t="s">
        <v>2673</v>
      </c>
      <c r="B1006" t="s">
        <v>2674</v>
      </c>
      <c r="C1006" t="s">
        <v>2671</v>
      </c>
      <c r="D1006" t="s">
        <v>2672</v>
      </c>
      <c r="E1006" t="s">
        <v>2685</v>
      </c>
      <c r="F1006" t="s">
        <v>562</v>
      </c>
      <c r="G1006" t="s">
        <v>562</v>
      </c>
      <c r="H1006" t="s">
        <v>562</v>
      </c>
      <c r="I1006">
        <v>5102</v>
      </c>
      <c r="J1006" t="s">
        <v>564</v>
      </c>
      <c r="K1006" s="698">
        <v>45957.561805555553</v>
      </c>
      <c r="L1006" s="698">
        <v>45957.561805555553</v>
      </c>
      <c r="M1006" t="s">
        <v>565</v>
      </c>
      <c r="N1006" t="s">
        <v>565</v>
      </c>
      <c r="O1006" t="s">
        <v>566</v>
      </c>
      <c r="P1006" t="s">
        <v>567</v>
      </c>
      <c r="S1006" t="s">
        <v>567</v>
      </c>
      <c r="T1006" t="s">
        <v>567</v>
      </c>
      <c r="Z1006" t="s">
        <v>568</v>
      </c>
      <c r="AA1006" t="s">
        <v>568</v>
      </c>
    </row>
    <row r="1007" spans="1:27">
      <c r="A1007" t="s">
        <v>2686</v>
      </c>
      <c r="B1007" t="s">
        <v>1364</v>
      </c>
      <c r="C1007" t="s">
        <v>2687</v>
      </c>
      <c r="D1007" t="s">
        <v>562</v>
      </c>
      <c r="E1007" t="s">
        <v>2688</v>
      </c>
      <c r="F1007" t="s">
        <v>562</v>
      </c>
      <c r="G1007" t="s">
        <v>562</v>
      </c>
      <c r="H1007" t="s">
        <v>562</v>
      </c>
      <c r="I1007">
        <v>4087</v>
      </c>
      <c r="J1007" t="s">
        <v>564</v>
      </c>
      <c r="K1007" s="698">
        <v>45957.474999999999</v>
      </c>
      <c r="L1007" s="698">
        <v>45957.474999999999</v>
      </c>
      <c r="M1007" t="s">
        <v>565</v>
      </c>
      <c r="N1007" t="s">
        <v>565</v>
      </c>
      <c r="O1007" t="s">
        <v>566</v>
      </c>
      <c r="P1007" t="s">
        <v>567</v>
      </c>
      <c r="S1007" t="s">
        <v>567</v>
      </c>
      <c r="T1007" t="s">
        <v>567</v>
      </c>
      <c r="Z1007" t="s">
        <v>568</v>
      </c>
      <c r="AA1007" t="s">
        <v>568</v>
      </c>
    </row>
    <row r="1008" spans="1:27">
      <c r="A1008" t="s">
        <v>2689</v>
      </c>
      <c r="B1008" t="s">
        <v>562</v>
      </c>
      <c r="C1008" t="s">
        <v>562</v>
      </c>
      <c r="D1008" t="s">
        <v>2690</v>
      </c>
      <c r="E1008" t="s">
        <v>2691</v>
      </c>
      <c r="F1008" t="s">
        <v>562</v>
      </c>
      <c r="G1008" t="s">
        <v>562</v>
      </c>
      <c r="H1008" t="s">
        <v>562</v>
      </c>
      <c r="I1008">
        <v>4543</v>
      </c>
      <c r="J1008" t="s">
        <v>564</v>
      </c>
      <c r="K1008" s="698">
        <v>45957.53125</v>
      </c>
      <c r="L1008" s="698">
        <v>45957.53125</v>
      </c>
      <c r="M1008" t="s">
        <v>565</v>
      </c>
      <c r="N1008" t="s">
        <v>565</v>
      </c>
      <c r="O1008" t="s">
        <v>566</v>
      </c>
      <c r="P1008" t="s">
        <v>567</v>
      </c>
      <c r="S1008" t="s">
        <v>567</v>
      </c>
      <c r="T1008" t="s">
        <v>567</v>
      </c>
      <c r="Z1008" t="s">
        <v>568</v>
      </c>
      <c r="AA1008" t="s">
        <v>568</v>
      </c>
    </row>
    <row r="1009" spans="1:27">
      <c r="A1009" t="s">
        <v>2692</v>
      </c>
      <c r="B1009" t="s">
        <v>679</v>
      </c>
      <c r="C1009" t="s">
        <v>680</v>
      </c>
      <c r="D1009" t="s">
        <v>562</v>
      </c>
      <c r="E1009" t="s">
        <v>2693</v>
      </c>
      <c r="F1009" t="s">
        <v>562</v>
      </c>
      <c r="G1009" t="s">
        <v>562</v>
      </c>
      <c r="H1009" t="s">
        <v>562</v>
      </c>
      <c r="I1009">
        <v>4734</v>
      </c>
      <c r="J1009" t="s">
        <v>564</v>
      </c>
      <c r="K1009" s="698">
        <v>45957.55</v>
      </c>
      <c r="L1009" s="698">
        <v>45957.55</v>
      </c>
      <c r="M1009" t="s">
        <v>565</v>
      </c>
      <c r="N1009" t="s">
        <v>565</v>
      </c>
      <c r="O1009" t="s">
        <v>566</v>
      </c>
      <c r="P1009" t="s">
        <v>567</v>
      </c>
      <c r="S1009" t="s">
        <v>567</v>
      </c>
      <c r="T1009" t="s">
        <v>567</v>
      </c>
      <c r="Z1009" t="s">
        <v>568</v>
      </c>
      <c r="AA1009" t="s">
        <v>568</v>
      </c>
    </row>
    <row r="1010" spans="1:27">
      <c r="A1010" t="s">
        <v>2694</v>
      </c>
      <c r="B1010" t="s">
        <v>562</v>
      </c>
      <c r="C1010" t="s">
        <v>2695</v>
      </c>
      <c r="D1010" t="s">
        <v>2696</v>
      </c>
      <c r="E1010" t="s">
        <v>562</v>
      </c>
      <c r="F1010" t="s">
        <v>562</v>
      </c>
      <c r="G1010" t="s">
        <v>562</v>
      </c>
      <c r="H1010" t="s">
        <v>562</v>
      </c>
      <c r="I1010">
        <v>3539</v>
      </c>
      <c r="J1010" t="s">
        <v>564</v>
      </c>
      <c r="K1010" s="698">
        <v>45957.412499999999</v>
      </c>
      <c r="L1010" s="698">
        <v>45957.412499999999</v>
      </c>
      <c r="M1010" t="s">
        <v>565</v>
      </c>
      <c r="N1010" t="s">
        <v>565</v>
      </c>
      <c r="O1010" t="s">
        <v>566</v>
      </c>
      <c r="P1010" t="s">
        <v>567</v>
      </c>
      <c r="S1010" t="s">
        <v>567</v>
      </c>
      <c r="T1010" t="s">
        <v>567</v>
      </c>
      <c r="Z1010" t="s">
        <v>568</v>
      </c>
      <c r="AA1010" t="s">
        <v>568</v>
      </c>
    </row>
    <row r="1011" spans="1:27">
      <c r="A1011" t="s">
        <v>2697</v>
      </c>
      <c r="B1011" t="s">
        <v>2698</v>
      </c>
      <c r="C1011" t="s">
        <v>2699</v>
      </c>
      <c r="D1011" t="s">
        <v>562</v>
      </c>
      <c r="E1011" t="s">
        <v>2700</v>
      </c>
      <c r="F1011" t="s">
        <v>562</v>
      </c>
      <c r="G1011" t="s">
        <v>562</v>
      </c>
      <c r="H1011" t="s">
        <v>562</v>
      </c>
      <c r="I1011">
        <v>4473</v>
      </c>
      <c r="J1011" t="s">
        <v>564</v>
      </c>
      <c r="K1011" s="698">
        <v>45957.522916666669</v>
      </c>
      <c r="L1011" s="698">
        <v>45957.522916666669</v>
      </c>
      <c r="M1011" t="s">
        <v>565</v>
      </c>
      <c r="N1011" t="s">
        <v>565</v>
      </c>
      <c r="O1011" t="s">
        <v>566</v>
      </c>
      <c r="P1011" t="s">
        <v>567</v>
      </c>
      <c r="S1011" t="s">
        <v>567</v>
      </c>
      <c r="T1011" t="s">
        <v>567</v>
      </c>
      <c r="Z1011" t="s">
        <v>568</v>
      </c>
      <c r="AA1011" t="s">
        <v>568</v>
      </c>
    </row>
    <row r="1012" spans="1:27">
      <c r="A1012" t="s">
        <v>2701</v>
      </c>
      <c r="B1012" t="s">
        <v>2702</v>
      </c>
      <c r="C1012" t="s">
        <v>2703</v>
      </c>
      <c r="D1012" t="s">
        <v>2704</v>
      </c>
      <c r="E1012" t="s">
        <v>2705</v>
      </c>
      <c r="F1012" t="s">
        <v>562</v>
      </c>
      <c r="G1012" t="s">
        <v>562</v>
      </c>
      <c r="H1012" t="s">
        <v>562</v>
      </c>
      <c r="I1012">
        <v>3880</v>
      </c>
      <c r="J1012" t="s">
        <v>564</v>
      </c>
      <c r="K1012" s="698">
        <v>45957.450694444444</v>
      </c>
      <c r="L1012" s="698">
        <v>45957.450694444444</v>
      </c>
      <c r="M1012" t="s">
        <v>565</v>
      </c>
      <c r="N1012" t="s">
        <v>565</v>
      </c>
      <c r="O1012" t="s">
        <v>566</v>
      </c>
      <c r="P1012" t="s">
        <v>567</v>
      </c>
      <c r="S1012" t="s">
        <v>567</v>
      </c>
      <c r="T1012" t="s">
        <v>567</v>
      </c>
      <c r="Z1012" t="s">
        <v>568</v>
      </c>
      <c r="AA1012" t="s">
        <v>568</v>
      </c>
    </row>
    <row r="1013" spans="1:27">
      <c r="A1013" t="s">
        <v>2706</v>
      </c>
      <c r="B1013" t="s">
        <v>1556</v>
      </c>
      <c r="C1013" t="s">
        <v>2707</v>
      </c>
      <c r="D1013" t="s">
        <v>562</v>
      </c>
      <c r="E1013" t="s">
        <v>2708</v>
      </c>
      <c r="F1013" t="s">
        <v>562</v>
      </c>
      <c r="G1013" t="s">
        <v>562</v>
      </c>
      <c r="H1013" t="s">
        <v>562</v>
      </c>
      <c r="I1013">
        <v>3739</v>
      </c>
      <c r="J1013" t="s">
        <v>564</v>
      </c>
      <c r="K1013" s="698">
        <v>45957.435416666667</v>
      </c>
      <c r="L1013" s="698">
        <v>45957.435416666667</v>
      </c>
      <c r="M1013" t="s">
        <v>565</v>
      </c>
      <c r="N1013" t="s">
        <v>565</v>
      </c>
      <c r="O1013" t="s">
        <v>566</v>
      </c>
      <c r="P1013" t="s">
        <v>567</v>
      </c>
      <c r="S1013" t="s">
        <v>567</v>
      </c>
      <c r="T1013" t="s">
        <v>567</v>
      </c>
      <c r="Z1013" t="s">
        <v>568</v>
      </c>
      <c r="AA1013" t="s">
        <v>568</v>
      </c>
    </row>
    <row r="1014" spans="1:27">
      <c r="A1014" t="s">
        <v>2706</v>
      </c>
      <c r="B1014" t="s">
        <v>1556</v>
      </c>
      <c r="C1014" t="s">
        <v>2707</v>
      </c>
      <c r="D1014" t="s">
        <v>562</v>
      </c>
      <c r="E1014" t="s">
        <v>2174</v>
      </c>
      <c r="F1014" t="s">
        <v>562</v>
      </c>
      <c r="G1014" t="s">
        <v>562</v>
      </c>
      <c r="H1014" t="s">
        <v>562</v>
      </c>
      <c r="I1014">
        <v>3849</v>
      </c>
      <c r="J1014" t="s">
        <v>564</v>
      </c>
      <c r="K1014" s="698">
        <v>45957.447222222225</v>
      </c>
      <c r="L1014" s="698">
        <v>45957.447222222225</v>
      </c>
      <c r="M1014" t="s">
        <v>565</v>
      </c>
      <c r="N1014" t="s">
        <v>565</v>
      </c>
      <c r="O1014" t="s">
        <v>566</v>
      </c>
      <c r="P1014" t="s">
        <v>567</v>
      </c>
      <c r="S1014" t="s">
        <v>567</v>
      </c>
      <c r="T1014" t="s">
        <v>567</v>
      </c>
      <c r="Z1014" t="s">
        <v>568</v>
      </c>
      <c r="AA1014" t="s">
        <v>568</v>
      </c>
    </row>
    <row r="1015" spans="1:27">
      <c r="A1015" t="s">
        <v>2706</v>
      </c>
      <c r="B1015" t="s">
        <v>1556</v>
      </c>
      <c r="C1015" t="s">
        <v>2707</v>
      </c>
      <c r="D1015" t="s">
        <v>562</v>
      </c>
      <c r="E1015" t="s">
        <v>2709</v>
      </c>
      <c r="F1015" t="s">
        <v>562</v>
      </c>
      <c r="G1015" t="s">
        <v>562</v>
      </c>
      <c r="H1015" t="s">
        <v>562</v>
      </c>
      <c r="I1015">
        <v>3959</v>
      </c>
      <c r="J1015" t="s">
        <v>564</v>
      </c>
      <c r="K1015" s="698">
        <v>45957.459027777775</v>
      </c>
      <c r="L1015" s="698">
        <v>45957.459027777775</v>
      </c>
      <c r="M1015" t="s">
        <v>565</v>
      </c>
      <c r="N1015" t="s">
        <v>565</v>
      </c>
      <c r="O1015" t="s">
        <v>566</v>
      </c>
      <c r="P1015" t="s">
        <v>567</v>
      </c>
      <c r="S1015" t="s">
        <v>567</v>
      </c>
      <c r="T1015" t="s">
        <v>567</v>
      </c>
      <c r="Z1015" t="s">
        <v>568</v>
      </c>
      <c r="AA1015" t="s">
        <v>568</v>
      </c>
    </row>
    <row r="1016" spans="1:27">
      <c r="A1016" t="s">
        <v>2706</v>
      </c>
      <c r="B1016" t="s">
        <v>1556</v>
      </c>
      <c r="C1016" t="s">
        <v>562</v>
      </c>
      <c r="D1016" t="s">
        <v>562</v>
      </c>
      <c r="E1016" t="s">
        <v>2710</v>
      </c>
      <c r="F1016" t="s">
        <v>562</v>
      </c>
      <c r="G1016" t="s">
        <v>562</v>
      </c>
      <c r="H1016" t="s">
        <v>562</v>
      </c>
      <c r="I1016">
        <v>3980</v>
      </c>
      <c r="J1016" t="s">
        <v>564</v>
      </c>
      <c r="K1016" s="698">
        <v>45957.461805555555</v>
      </c>
      <c r="L1016" s="698">
        <v>45957.461805555555</v>
      </c>
      <c r="M1016" t="s">
        <v>565</v>
      </c>
      <c r="N1016" t="s">
        <v>565</v>
      </c>
      <c r="O1016" t="s">
        <v>566</v>
      </c>
      <c r="P1016" t="s">
        <v>567</v>
      </c>
      <c r="S1016" t="s">
        <v>567</v>
      </c>
      <c r="T1016" t="s">
        <v>567</v>
      </c>
      <c r="Z1016" t="s">
        <v>568</v>
      </c>
      <c r="AA1016" t="s">
        <v>568</v>
      </c>
    </row>
    <row r="1017" spans="1:27">
      <c r="A1017" t="s">
        <v>2706</v>
      </c>
      <c r="B1017" t="s">
        <v>1556</v>
      </c>
      <c r="C1017" t="s">
        <v>562</v>
      </c>
      <c r="D1017" t="s">
        <v>562</v>
      </c>
      <c r="E1017" t="s">
        <v>2711</v>
      </c>
      <c r="F1017" t="s">
        <v>562</v>
      </c>
      <c r="G1017" t="s">
        <v>562</v>
      </c>
      <c r="H1017" t="s">
        <v>562</v>
      </c>
      <c r="I1017">
        <v>4029</v>
      </c>
      <c r="J1017" t="s">
        <v>564</v>
      </c>
      <c r="K1017" s="698">
        <v>45957.468055555553</v>
      </c>
      <c r="L1017" s="698">
        <v>45957.468055555553</v>
      </c>
      <c r="M1017" t="s">
        <v>565</v>
      </c>
      <c r="N1017" t="s">
        <v>565</v>
      </c>
      <c r="O1017" t="s">
        <v>566</v>
      </c>
      <c r="P1017" t="s">
        <v>567</v>
      </c>
      <c r="S1017" t="s">
        <v>567</v>
      </c>
      <c r="T1017" t="s">
        <v>567</v>
      </c>
      <c r="Z1017" t="s">
        <v>568</v>
      </c>
      <c r="AA1017" t="s">
        <v>568</v>
      </c>
    </row>
    <row r="1018" spans="1:27">
      <c r="A1018" t="s">
        <v>2706</v>
      </c>
      <c r="B1018" t="s">
        <v>2712</v>
      </c>
      <c r="C1018" t="s">
        <v>2713</v>
      </c>
      <c r="D1018" t="s">
        <v>562</v>
      </c>
      <c r="E1018" t="s">
        <v>2714</v>
      </c>
      <c r="F1018" t="s">
        <v>562</v>
      </c>
      <c r="G1018" t="s">
        <v>562</v>
      </c>
      <c r="H1018" t="s">
        <v>562</v>
      </c>
      <c r="I1018">
        <v>4083</v>
      </c>
      <c r="J1018" t="s">
        <v>564</v>
      </c>
      <c r="K1018" s="698">
        <v>45957.474305555559</v>
      </c>
      <c r="L1018" s="698">
        <v>45957.474305555559</v>
      </c>
      <c r="M1018" t="s">
        <v>565</v>
      </c>
      <c r="N1018" t="s">
        <v>565</v>
      </c>
      <c r="O1018" t="s">
        <v>566</v>
      </c>
      <c r="P1018" t="s">
        <v>567</v>
      </c>
      <c r="S1018" t="s">
        <v>567</v>
      </c>
      <c r="T1018" t="s">
        <v>567</v>
      </c>
      <c r="Z1018" t="s">
        <v>568</v>
      </c>
      <c r="AA1018" t="s">
        <v>568</v>
      </c>
    </row>
    <row r="1019" spans="1:27">
      <c r="A1019" t="s">
        <v>2706</v>
      </c>
      <c r="B1019" t="s">
        <v>1556</v>
      </c>
      <c r="C1019" t="s">
        <v>2707</v>
      </c>
      <c r="D1019" t="s">
        <v>562</v>
      </c>
      <c r="E1019" t="s">
        <v>2715</v>
      </c>
      <c r="F1019" t="s">
        <v>562</v>
      </c>
      <c r="G1019" t="s">
        <v>562</v>
      </c>
      <c r="H1019" t="s">
        <v>562</v>
      </c>
      <c r="I1019">
        <v>4138</v>
      </c>
      <c r="J1019" t="s">
        <v>564</v>
      </c>
      <c r="K1019" s="698">
        <v>45957.481249999997</v>
      </c>
      <c r="L1019" s="698">
        <v>45957.481249999997</v>
      </c>
      <c r="M1019" t="s">
        <v>565</v>
      </c>
      <c r="N1019" t="s">
        <v>565</v>
      </c>
      <c r="O1019" t="s">
        <v>566</v>
      </c>
      <c r="P1019" t="s">
        <v>567</v>
      </c>
      <c r="S1019" t="s">
        <v>567</v>
      </c>
      <c r="T1019" t="s">
        <v>567</v>
      </c>
      <c r="Z1019" t="s">
        <v>568</v>
      </c>
      <c r="AA1019" t="s">
        <v>568</v>
      </c>
    </row>
    <row r="1020" spans="1:27">
      <c r="A1020" t="s">
        <v>2706</v>
      </c>
      <c r="B1020" t="s">
        <v>2712</v>
      </c>
      <c r="C1020" t="s">
        <v>2713</v>
      </c>
      <c r="D1020" t="s">
        <v>562</v>
      </c>
      <c r="E1020" t="s">
        <v>2716</v>
      </c>
      <c r="F1020" t="s">
        <v>562</v>
      </c>
      <c r="G1020" t="s">
        <v>562</v>
      </c>
      <c r="H1020" t="s">
        <v>562</v>
      </c>
      <c r="I1020">
        <v>5026</v>
      </c>
      <c r="J1020" t="s">
        <v>564</v>
      </c>
      <c r="K1020" s="698">
        <v>45957.559027777781</v>
      </c>
      <c r="L1020" s="698">
        <v>45957.559027777781</v>
      </c>
      <c r="M1020" t="s">
        <v>565</v>
      </c>
      <c r="N1020" t="s">
        <v>565</v>
      </c>
      <c r="O1020" t="s">
        <v>566</v>
      </c>
      <c r="P1020" t="s">
        <v>567</v>
      </c>
      <c r="S1020" t="s">
        <v>567</v>
      </c>
      <c r="T1020" t="s">
        <v>567</v>
      </c>
      <c r="Z1020" t="s">
        <v>568</v>
      </c>
      <c r="AA1020" t="s">
        <v>568</v>
      </c>
    </row>
    <row r="1021" spans="1:27">
      <c r="A1021" t="s">
        <v>2706</v>
      </c>
      <c r="B1021" t="s">
        <v>1556</v>
      </c>
      <c r="C1021" t="s">
        <v>2717</v>
      </c>
      <c r="D1021" t="s">
        <v>562</v>
      </c>
      <c r="E1021" t="s">
        <v>2718</v>
      </c>
      <c r="F1021" t="s">
        <v>562</v>
      </c>
      <c r="G1021" t="s">
        <v>562</v>
      </c>
      <c r="H1021" t="s">
        <v>562</v>
      </c>
      <c r="I1021">
        <v>5073</v>
      </c>
      <c r="J1021" t="s">
        <v>564</v>
      </c>
      <c r="K1021" s="698">
        <v>45957.560416666667</v>
      </c>
      <c r="L1021" s="698">
        <v>45957.560416666667</v>
      </c>
      <c r="M1021" t="s">
        <v>565</v>
      </c>
      <c r="N1021" t="s">
        <v>565</v>
      </c>
      <c r="O1021" t="s">
        <v>566</v>
      </c>
      <c r="P1021" t="s">
        <v>567</v>
      </c>
      <c r="S1021" t="s">
        <v>567</v>
      </c>
      <c r="T1021" t="s">
        <v>567</v>
      </c>
      <c r="Z1021" t="s">
        <v>568</v>
      </c>
      <c r="AA1021" t="s">
        <v>568</v>
      </c>
    </row>
    <row r="1022" spans="1:27">
      <c r="A1022" t="s">
        <v>2719</v>
      </c>
      <c r="B1022" t="s">
        <v>2720</v>
      </c>
      <c r="C1022" t="s">
        <v>2721</v>
      </c>
      <c r="D1022" t="s">
        <v>562</v>
      </c>
      <c r="E1022" t="s">
        <v>2722</v>
      </c>
      <c r="F1022" t="s">
        <v>562</v>
      </c>
      <c r="G1022" t="s">
        <v>562</v>
      </c>
      <c r="H1022" t="s">
        <v>562</v>
      </c>
      <c r="I1022">
        <v>3726</v>
      </c>
      <c r="J1022" t="s">
        <v>564</v>
      </c>
      <c r="K1022" s="698">
        <v>45957.434027777781</v>
      </c>
      <c r="L1022" s="698">
        <v>45957.434027777781</v>
      </c>
      <c r="M1022" t="s">
        <v>565</v>
      </c>
      <c r="N1022" t="s">
        <v>565</v>
      </c>
      <c r="O1022" t="s">
        <v>566</v>
      </c>
      <c r="P1022" t="s">
        <v>567</v>
      </c>
      <c r="S1022" t="s">
        <v>567</v>
      </c>
      <c r="T1022" t="s">
        <v>567</v>
      </c>
      <c r="Z1022" t="s">
        <v>568</v>
      </c>
      <c r="AA1022" t="s">
        <v>568</v>
      </c>
    </row>
    <row r="1023" spans="1:27">
      <c r="A1023" t="s">
        <v>2723</v>
      </c>
      <c r="B1023" t="s">
        <v>671</v>
      </c>
      <c r="C1023" t="s">
        <v>672</v>
      </c>
      <c r="D1023" t="s">
        <v>562</v>
      </c>
      <c r="E1023" t="s">
        <v>2724</v>
      </c>
      <c r="F1023" t="s">
        <v>562</v>
      </c>
      <c r="G1023" t="s">
        <v>562</v>
      </c>
      <c r="H1023" t="s">
        <v>562</v>
      </c>
      <c r="I1023">
        <v>5157</v>
      </c>
      <c r="J1023" t="s">
        <v>564</v>
      </c>
      <c r="K1023" s="698">
        <v>45957.563194444447</v>
      </c>
      <c r="L1023" s="698">
        <v>45957.563194444447</v>
      </c>
      <c r="M1023" t="s">
        <v>565</v>
      </c>
      <c r="N1023" t="s">
        <v>565</v>
      </c>
      <c r="O1023" t="s">
        <v>566</v>
      </c>
      <c r="P1023" t="s">
        <v>567</v>
      </c>
      <c r="S1023" t="s">
        <v>567</v>
      </c>
      <c r="T1023" t="s">
        <v>567</v>
      </c>
      <c r="Z1023" t="s">
        <v>568</v>
      </c>
      <c r="AA1023" t="s">
        <v>568</v>
      </c>
    </row>
    <row r="1024" spans="1:27">
      <c r="A1024" t="s">
        <v>2723</v>
      </c>
      <c r="B1024" t="s">
        <v>671</v>
      </c>
      <c r="C1024" t="s">
        <v>672</v>
      </c>
      <c r="D1024" t="s">
        <v>562</v>
      </c>
      <c r="E1024" t="s">
        <v>2725</v>
      </c>
      <c r="F1024" t="s">
        <v>562</v>
      </c>
      <c r="G1024" t="s">
        <v>562</v>
      </c>
      <c r="H1024" t="s">
        <v>562</v>
      </c>
      <c r="I1024">
        <v>5192</v>
      </c>
      <c r="J1024" t="s">
        <v>564</v>
      </c>
      <c r="K1024" s="698">
        <v>45957.563888888886</v>
      </c>
      <c r="L1024" s="698">
        <v>45957.563888888886</v>
      </c>
      <c r="M1024" t="s">
        <v>565</v>
      </c>
      <c r="N1024" t="s">
        <v>565</v>
      </c>
      <c r="O1024" t="s">
        <v>566</v>
      </c>
      <c r="P1024" t="s">
        <v>567</v>
      </c>
      <c r="S1024" t="s">
        <v>567</v>
      </c>
      <c r="T1024" t="s">
        <v>567</v>
      </c>
      <c r="Z1024" t="s">
        <v>568</v>
      </c>
      <c r="AA1024" t="s">
        <v>568</v>
      </c>
    </row>
    <row r="1025" spans="1:27">
      <c r="A1025" t="s">
        <v>2726</v>
      </c>
      <c r="B1025" t="s">
        <v>562</v>
      </c>
      <c r="C1025" t="s">
        <v>2727</v>
      </c>
      <c r="D1025" t="s">
        <v>2728</v>
      </c>
      <c r="E1025" t="s">
        <v>562</v>
      </c>
      <c r="F1025" t="s">
        <v>562</v>
      </c>
      <c r="G1025" t="s">
        <v>562</v>
      </c>
      <c r="H1025" t="s">
        <v>562</v>
      </c>
      <c r="I1025">
        <v>3540</v>
      </c>
      <c r="J1025" t="s">
        <v>564</v>
      </c>
      <c r="K1025" s="698">
        <v>45957.412499999999</v>
      </c>
      <c r="L1025" s="698">
        <v>45957.412499999999</v>
      </c>
      <c r="M1025" t="s">
        <v>565</v>
      </c>
      <c r="N1025" t="s">
        <v>565</v>
      </c>
      <c r="O1025" t="s">
        <v>566</v>
      </c>
      <c r="P1025" t="s">
        <v>567</v>
      </c>
      <c r="S1025" t="s">
        <v>567</v>
      </c>
      <c r="T1025" t="s">
        <v>567</v>
      </c>
      <c r="Z1025" t="s">
        <v>568</v>
      </c>
      <c r="AA1025" t="s">
        <v>568</v>
      </c>
    </row>
    <row r="1026" spans="1:27">
      <c r="A1026" t="s">
        <v>2729</v>
      </c>
      <c r="B1026" t="s">
        <v>2730</v>
      </c>
      <c r="C1026" t="s">
        <v>2731</v>
      </c>
      <c r="D1026" t="s">
        <v>562</v>
      </c>
      <c r="E1026" t="s">
        <v>2732</v>
      </c>
      <c r="F1026" t="s">
        <v>562</v>
      </c>
      <c r="G1026" t="s">
        <v>562</v>
      </c>
      <c r="H1026" t="s">
        <v>562</v>
      </c>
      <c r="I1026">
        <v>3636</v>
      </c>
      <c r="J1026" t="s">
        <v>564</v>
      </c>
      <c r="K1026" s="698">
        <v>45957.423611111109</v>
      </c>
      <c r="L1026" s="698">
        <v>45957.423611111109</v>
      </c>
      <c r="M1026" t="s">
        <v>565</v>
      </c>
      <c r="N1026" t="s">
        <v>565</v>
      </c>
      <c r="O1026" t="s">
        <v>566</v>
      </c>
      <c r="P1026" t="s">
        <v>567</v>
      </c>
      <c r="S1026" t="s">
        <v>567</v>
      </c>
      <c r="T1026" t="s">
        <v>567</v>
      </c>
      <c r="Z1026" t="s">
        <v>568</v>
      </c>
      <c r="AA1026" t="s">
        <v>568</v>
      </c>
    </row>
    <row r="1027" spans="1:27">
      <c r="A1027" t="s">
        <v>2733</v>
      </c>
      <c r="B1027" t="s">
        <v>2734</v>
      </c>
      <c r="C1027" t="s">
        <v>562</v>
      </c>
      <c r="D1027" t="s">
        <v>562</v>
      </c>
      <c r="E1027" t="s">
        <v>2735</v>
      </c>
      <c r="F1027" t="s">
        <v>562</v>
      </c>
      <c r="G1027" t="s">
        <v>562</v>
      </c>
      <c r="H1027" t="s">
        <v>562</v>
      </c>
      <c r="I1027">
        <v>4891</v>
      </c>
      <c r="J1027" t="s">
        <v>564</v>
      </c>
      <c r="K1027" s="698">
        <v>45957.554861111108</v>
      </c>
      <c r="L1027" s="698">
        <v>45957.554861111108</v>
      </c>
      <c r="M1027" t="s">
        <v>565</v>
      </c>
      <c r="N1027" t="s">
        <v>565</v>
      </c>
      <c r="O1027" t="s">
        <v>566</v>
      </c>
      <c r="P1027" t="s">
        <v>567</v>
      </c>
      <c r="S1027" t="s">
        <v>567</v>
      </c>
      <c r="T1027" t="s">
        <v>567</v>
      </c>
      <c r="Z1027" t="s">
        <v>568</v>
      </c>
      <c r="AA1027" t="s">
        <v>568</v>
      </c>
    </row>
    <row r="1028" spans="1:27">
      <c r="A1028" t="s">
        <v>2736</v>
      </c>
      <c r="B1028" t="s">
        <v>2737</v>
      </c>
      <c r="C1028" t="s">
        <v>2738</v>
      </c>
      <c r="D1028" t="s">
        <v>2739</v>
      </c>
      <c r="E1028" t="s">
        <v>2740</v>
      </c>
      <c r="F1028" t="s">
        <v>562</v>
      </c>
      <c r="G1028" t="s">
        <v>562</v>
      </c>
      <c r="H1028" t="s">
        <v>562</v>
      </c>
      <c r="I1028">
        <v>4235</v>
      </c>
      <c r="J1028" t="s">
        <v>564</v>
      </c>
      <c r="K1028" s="698">
        <v>45957.493055555555</v>
      </c>
      <c r="L1028" s="698">
        <v>45957.493055555555</v>
      </c>
      <c r="M1028" t="s">
        <v>565</v>
      </c>
      <c r="N1028" t="s">
        <v>565</v>
      </c>
      <c r="O1028" t="s">
        <v>566</v>
      </c>
      <c r="P1028" t="s">
        <v>567</v>
      </c>
      <c r="S1028" t="s">
        <v>567</v>
      </c>
      <c r="T1028" t="s">
        <v>567</v>
      </c>
      <c r="Z1028" t="s">
        <v>568</v>
      </c>
      <c r="AA1028" t="s">
        <v>568</v>
      </c>
    </row>
    <row r="1029" spans="1:27">
      <c r="A1029" t="s">
        <v>2741</v>
      </c>
      <c r="B1029" t="s">
        <v>2742</v>
      </c>
      <c r="C1029" t="s">
        <v>2743</v>
      </c>
      <c r="D1029" t="s">
        <v>2744</v>
      </c>
      <c r="E1029" t="s">
        <v>2745</v>
      </c>
      <c r="F1029" t="s">
        <v>562</v>
      </c>
      <c r="G1029" t="s">
        <v>562</v>
      </c>
      <c r="H1029" t="s">
        <v>562</v>
      </c>
      <c r="I1029">
        <v>3752</v>
      </c>
      <c r="J1029" t="s">
        <v>564</v>
      </c>
      <c r="K1029" s="698">
        <v>45957.436805555553</v>
      </c>
      <c r="L1029" s="698">
        <v>45957.436805555553</v>
      </c>
      <c r="M1029" t="s">
        <v>565</v>
      </c>
      <c r="N1029" t="s">
        <v>565</v>
      </c>
      <c r="O1029" t="s">
        <v>566</v>
      </c>
      <c r="P1029" t="s">
        <v>567</v>
      </c>
      <c r="S1029" t="s">
        <v>567</v>
      </c>
      <c r="T1029" t="s">
        <v>567</v>
      </c>
      <c r="Z1029" t="s">
        <v>568</v>
      </c>
      <c r="AA1029" t="s">
        <v>568</v>
      </c>
    </row>
    <row r="1030" spans="1:27">
      <c r="A1030" t="s">
        <v>2741</v>
      </c>
      <c r="B1030" t="s">
        <v>562</v>
      </c>
      <c r="C1030" t="s">
        <v>2746</v>
      </c>
      <c r="D1030" t="s">
        <v>2744</v>
      </c>
      <c r="E1030" t="s">
        <v>2747</v>
      </c>
      <c r="F1030" t="s">
        <v>562</v>
      </c>
      <c r="G1030" t="s">
        <v>562</v>
      </c>
      <c r="H1030" t="s">
        <v>562</v>
      </c>
      <c r="I1030">
        <v>3762</v>
      </c>
      <c r="J1030" t="s">
        <v>564</v>
      </c>
      <c r="K1030" s="698">
        <v>45957.4375</v>
      </c>
      <c r="L1030" s="698">
        <v>45957.4375</v>
      </c>
      <c r="M1030" t="s">
        <v>565</v>
      </c>
      <c r="N1030" t="s">
        <v>565</v>
      </c>
      <c r="O1030" t="s">
        <v>566</v>
      </c>
      <c r="P1030" t="s">
        <v>567</v>
      </c>
      <c r="S1030" t="s">
        <v>567</v>
      </c>
      <c r="T1030" t="s">
        <v>567</v>
      </c>
      <c r="Z1030" t="s">
        <v>568</v>
      </c>
      <c r="AA1030" t="s">
        <v>568</v>
      </c>
    </row>
    <row r="1031" spans="1:27">
      <c r="A1031" t="s">
        <v>2741</v>
      </c>
      <c r="B1031" t="s">
        <v>2742</v>
      </c>
      <c r="C1031" t="s">
        <v>2748</v>
      </c>
      <c r="D1031" t="s">
        <v>2744</v>
      </c>
      <c r="E1031" t="s">
        <v>2749</v>
      </c>
      <c r="F1031" t="s">
        <v>562</v>
      </c>
      <c r="G1031" t="s">
        <v>562</v>
      </c>
      <c r="H1031" t="s">
        <v>562</v>
      </c>
      <c r="I1031">
        <v>3975</v>
      </c>
      <c r="J1031" t="s">
        <v>564</v>
      </c>
      <c r="K1031" s="698">
        <v>45957.461111111108</v>
      </c>
      <c r="L1031" s="698">
        <v>45957.461111111108</v>
      </c>
      <c r="M1031" t="s">
        <v>565</v>
      </c>
      <c r="N1031" t="s">
        <v>565</v>
      </c>
      <c r="O1031" t="s">
        <v>566</v>
      </c>
      <c r="P1031" t="s">
        <v>567</v>
      </c>
      <c r="S1031" t="s">
        <v>567</v>
      </c>
      <c r="T1031" t="s">
        <v>567</v>
      </c>
      <c r="Z1031" t="s">
        <v>568</v>
      </c>
      <c r="AA1031" t="s">
        <v>568</v>
      </c>
    </row>
    <row r="1032" spans="1:27">
      <c r="A1032" t="s">
        <v>2741</v>
      </c>
      <c r="B1032" t="s">
        <v>2742</v>
      </c>
      <c r="C1032" t="s">
        <v>2748</v>
      </c>
      <c r="D1032" t="s">
        <v>2744</v>
      </c>
      <c r="E1032" t="s">
        <v>2750</v>
      </c>
      <c r="F1032" t="s">
        <v>562</v>
      </c>
      <c r="G1032" t="s">
        <v>562</v>
      </c>
      <c r="H1032" t="s">
        <v>562</v>
      </c>
      <c r="I1032">
        <v>3981</v>
      </c>
      <c r="J1032" t="s">
        <v>564</v>
      </c>
      <c r="K1032" s="698">
        <v>45957.461805555555</v>
      </c>
      <c r="L1032" s="698">
        <v>45957.461805555555</v>
      </c>
      <c r="M1032" t="s">
        <v>565</v>
      </c>
      <c r="N1032" t="s">
        <v>565</v>
      </c>
      <c r="O1032" t="s">
        <v>566</v>
      </c>
      <c r="P1032" t="s">
        <v>567</v>
      </c>
      <c r="S1032" t="s">
        <v>567</v>
      </c>
      <c r="T1032" t="s">
        <v>567</v>
      </c>
      <c r="Z1032" t="s">
        <v>568</v>
      </c>
      <c r="AA1032" t="s">
        <v>568</v>
      </c>
    </row>
    <row r="1033" spans="1:27">
      <c r="A1033" t="s">
        <v>2741</v>
      </c>
      <c r="B1033" t="s">
        <v>562</v>
      </c>
      <c r="C1033" t="s">
        <v>562</v>
      </c>
      <c r="D1033" t="s">
        <v>2744</v>
      </c>
      <c r="E1033" t="s">
        <v>2751</v>
      </c>
      <c r="F1033" t="s">
        <v>562</v>
      </c>
      <c r="G1033" t="s">
        <v>562</v>
      </c>
      <c r="H1033" t="s">
        <v>562</v>
      </c>
      <c r="I1033">
        <v>4009</v>
      </c>
      <c r="J1033" t="s">
        <v>564</v>
      </c>
      <c r="K1033" s="698">
        <v>45957.465277777781</v>
      </c>
      <c r="L1033" s="698">
        <v>45957.465277777781</v>
      </c>
      <c r="M1033" t="s">
        <v>565</v>
      </c>
      <c r="N1033" t="s">
        <v>565</v>
      </c>
      <c r="O1033" t="s">
        <v>566</v>
      </c>
      <c r="P1033" t="s">
        <v>567</v>
      </c>
      <c r="S1033" t="s">
        <v>567</v>
      </c>
      <c r="T1033" t="s">
        <v>567</v>
      </c>
      <c r="Z1033" t="s">
        <v>568</v>
      </c>
      <c r="AA1033" t="s">
        <v>568</v>
      </c>
    </row>
    <row r="1034" spans="1:27">
      <c r="A1034" t="s">
        <v>2741</v>
      </c>
      <c r="B1034" t="s">
        <v>2752</v>
      </c>
      <c r="C1034" t="s">
        <v>2753</v>
      </c>
      <c r="D1034" t="s">
        <v>2744</v>
      </c>
      <c r="E1034" t="s">
        <v>2754</v>
      </c>
      <c r="F1034" t="s">
        <v>562</v>
      </c>
      <c r="G1034" t="s">
        <v>562</v>
      </c>
      <c r="H1034" t="s">
        <v>562</v>
      </c>
      <c r="I1034">
        <v>4156</v>
      </c>
      <c r="J1034" t="s">
        <v>564</v>
      </c>
      <c r="K1034" s="698">
        <v>45957.48333333333</v>
      </c>
      <c r="L1034" s="698">
        <v>45957.48333333333</v>
      </c>
      <c r="M1034" t="s">
        <v>565</v>
      </c>
      <c r="N1034" t="s">
        <v>565</v>
      </c>
      <c r="O1034" t="s">
        <v>566</v>
      </c>
      <c r="P1034" t="s">
        <v>567</v>
      </c>
      <c r="S1034" t="s">
        <v>567</v>
      </c>
      <c r="T1034" t="s">
        <v>567</v>
      </c>
      <c r="Z1034" t="s">
        <v>568</v>
      </c>
      <c r="AA1034" t="s">
        <v>568</v>
      </c>
    </row>
    <row r="1035" spans="1:27">
      <c r="A1035" t="s">
        <v>2741</v>
      </c>
      <c r="B1035" t="s">
        <v>562</v>
      </c>
      <c r="C1035" t="s">
        <v>562</v>
      </c>
      <c r="D1035" t="s">
        <v>2744</v>
      </c>
      <c r="E1035" t="s">
        <v>2755</v>
      </c>
      <c r="F1035" t="s">
        <v>562</v>
      </c>
      <c r="G1035" t="s">
        <v>562</v>
      </c>
      <c r="H1035" t="s">
        <v>562</v>
      </c>
      <c r="I1035">
        <v>4186</v>
      </c>
      <c r="J1035" t="s">
        <v>564</v>
      </c>
      <c r="K1035" s="698">
        <v>45957.486805555556</v>
      </c>
      <c r="L1035" s="698">
        <v>45957.486805555556</v>
      </c>
      <c r="M1035" t="s">
        <v>565</v>
      </c>
      <c r="N1035" t="s">
        <v>565</v>
      </c>
      <c r="O1035" t="s">
        <v>566</v>
      </c>
      <c r="P1035" t="s">
        <v>567</v>
      </c>
      <c r="S1035" t="s">
        <v>567</v>
      </c>
      <c r="T1035" t="s">
        <v>567</v>
      </c>
      <c r="Z1035" t="s">
        <v>568</v>
      </c>
      <c r="AA1035" t="s">
        <v>568</v>
      </c>
    </row>
    <row r="1036" spans="1:27">
      <c r="A1036" t="s">
        <v>2741</v>
      </c>
      <c r="B1036" t="s">
        <v>2756</v>
      </c>
      <c r="C1036" t="s">
        <v>2757</v>
      </c>
      <c r="D1036" t="s">
        <v>2744</v>
      </c>
      <c r="E1036" t="s">
        <v>2758</v>
      </c>
      <c r="F1036" t="s">
        <v>562</v>
      </c>
      <c r="G1036" t="s">
        <v>562</v>
      </c>
      <c r="H1036" t="s">
        <v>562</v>
      </c>
      <c r="I1036">
        <v>4256</v>
      </c>
      <c r="J1036" t="s">
        <v>564</v>
      </c>
      <c r="K1036" s="698">
        <v>45957.495833333334</v>
      </c>
      <c r="L1036" s="698">
        <v>45957.495833333334</v>
      </c>
      <c r="M1036" t="s">
        <v>565</v>
      </c>
      <c r="N1036" t="s">
        <v>565</v>
      </c>
      <c r="O1036" t="s">
        <v>566</v>
      </c>
      <c r="P1036" t="s">
        <v>567</v>
      </c>
      <c r="S1036" t="s">
        <v>567</v>
      </c>
      <c r="T1036" t="s">
        <v>567</v>
      </c>
      <c r="Z1036" t="s">
        <v>568</v>
      </c>
      <c r="AA1036" t="s">
        <v>568</v>
      </c>
    </row>
    <row r="1037" spans="1:27">
      <c r="A1037" t="s">
        <v>2741</v>
      </c>
      <c r="B1037" t="s">
        <v>924</v>
      </c>
      <c r="C1037" t="s">
        <v>2759</v>
      </c>
      <c r="D1037" t="s">
        <v>2744</v>
      </c>
      <c r="E1037" t="s">
        <v>2760</v>
      </c>
      <c r="F1037" t="s">
        <v>562</v>
      </c>
      <c r="G1037" t="s">
        <v>562</v>
      </c>
      <c r="H1037" t="s">
        <v>562</v>
      </c>
      <c r="I1037">
        <v>4482</v>
      </c>
      <c r="J1037" t="s">
        <v>564</v>
      </c>
      <c r="K1037" s="698">
        <v>45957.524305555555</v>
      </c>
      <c r="L1037" s="698">
        <v>45957.524305555555</v>
      </c>
      <c r="M1037" t="s">
        <v>565</v>
      </c>
      <c r="N1037" t="s">
        <v>565</v>
      </c>
      <c r="O1037" t="s">
        <v>566</v>
      </c>
      <c r="P1037" t="s">
        <v>567</v>
      </c>
      <c r="S1037" t="s">
        <v>567</v>
      </c>
      <c r="T1037" t="s">
        <v>567</v>
      </c>
      <c r="Z1037" t="s">
        <v>568</v>
      </c>
      <c r="AA1037" t="s">
        <v>568</v>
      </c>
    </row>
    <row r="1038" spans="1:27">
      <c r="A1038" t="s">
        <v>2741</v>
      </c>
      <c r="B1038" t="s">
        <v>2756</v>
      </c>
      <c r="C1038" t="s">
        <v>2761</v>
      </c>
      <c r="D1038" t="s">
        <v>562</v>
      </c>
      <c r="E1038" t="s">
        <v>2762</v>
      </c>
      <c r="F1038" t="s">
        <v>562</v>
      </c>
      <c r="G1038" t="s">
        <v>562</v>
      </c>
      <c r="H1038" t="s">
        <v>562</v>
      </c>
      <c r="I1038">
        <v>4886</v>
      </c>
      <c r="J1038" t="s">
        <v>564</v>
      </c>
      <c r="K1038" s="698">
        <v>45957.554861111108</v>
      </c>
      <c r="L1038" s="698">
        <v>45957.554861111108</v>
      </c>
      <c r="M1038" t="s">
        <v>565</v>
      </c>
      <c r="N1038" t="s">
        <v>565</v>
      </c>
      <c r="O1038" t="s">
        <v>566</v>
      </c>
      <c r="P1038" t="s">
        <v>567</v>
      </c>
      <c r="S1038" t="s">
        <v>567</v>
      </c>
      <c r="T1038" t="s">
        <v>567</v>
      </c>
      <c r="Z1038" t="s">
        <v>568</v>
      </c>
      <c r="AA1038" t="s">
        <v>568</v>
      </c>
    </row>
    <row r="1039" spans="1:27">
      <c r="A1039" t="s">
        <v>2763</v>
      </c>
      <c r="B1039" t="s">
        <v>2764</v>
      </c>
      <c r="C1039" t="s">
        <v>2765</v>
      </c>
      <c r="D1039" t="s">
        <v>562</v>
      </c>
      <c r="E1039" t="s">
        <v>2766</v>
      </c>
      <c r="F1039" t="s">
        <v>562</v>
      </c>
      <c r="G1039" t="s">
        <v>562</v>
      </c>
      <c r="H1039" t="s">
        <v>562</v>
      </c>
      <c r="I1039">
        <v>3746</v>
      </c>
      <c r="J1039" t="s">
        <v>564</v>
      </c>
      <c r="K1039" s="698">
        <v>45957.436111111114</v>
      </c>
      <c r="L1039" s="698">
        <v>45957.436111111114</v>
      </c>
      <c r="M1039" t="s">
        <v>565</v>
      </c>
      <c r="N1039" t="s">
        <v>565</v>
      </c>
      <c r="O1039" t="s">
        <v>566</v>
      </c>
      <c r="P1039" t="s">
        <v>567</v>
      </c>
      <c r="S1039" t="s">
        <v>567</v>
      </c>
      <c r="T1039" t="s">
        <v>567</v>
      </c>
      <c r="Z1039" t="s">
        <v>568</v>
      </c>
      <c r="AA1039" t="s">
        <v>568</v>
      </c>
    </row>
    <row r="1040" spans="1:27">
      <c r="A1040" t="s">
        <v>2763</v>
      </c>
      <c r="B1040" t="s">
        <v>2767</v>
      </c>
      <c r="C1040" t="s">
        <v>2768</v>
      </c>
      <c r="D1040" t="s">
        <v>562</v>
      </c>
      <c r="E1040" t="s">
        <v>2769</v>
      </c>
      <c r="F1040" t="s">
        <v>562</v>
      </c>
      <c r="G1040" t="s">
        <v>562</v>
      </c>
      <c r="H1040" t="s">
        <v>562</v>
      </c>
      <c r="I1040">
        <v>3782</v>
      </c>
      <c r="J1040" t="s">
        <v>564</v>
      </c>
      <c r="K1040" s="698">
        <v>45957.439583333333</v>
      </c>
      <c r="L1040" s="698">
        <v>45957.439583333333</v>
      </c>
      <c r="M1040" t="s">
        <v>565</v>
      </c>
      <c r="N1040" t="s">
        <v>565</v>
      </c>
      <c r="O1040" t="s">
        <v>566</v>
      </c>
      <c r="P1040" t="s">
        <v>567</v>
      </c>
      <c r="S1040" t="s">
        <v>567</v>
      </c>
      <c r="T1040" t="s">
        <v>567</v>
      </c>
      <c r="Z1040" t="s">
        <v>568</v>
      </c>
      <c r="AA1040" t="s">
        <v>568</v>
      </c>
    </row>
    <row r="1041" spans="1:27">
      <c r="A1041" t="s">
        <v>2770</v>
      </c>
      <c r="B1041" t="s">
        <v>562</v>
      </c>
      <c r="C1041" t="s">
        <v>562</v>
      </c>
      <c r="D1041" t="s">
        <v>835</v>
      </c>
      <c r="E1041" t="s">
        <v>2771</v>
      </c>
      <c r="F1041" t="s">
        <v>562</v>
      </c>
      <c r="G1041" t="s">
        <v>562</v>
      </c>
      <c r="H1041" t="s">
        <v>562</v>
      </c>
      <c r="I1041">
        <v>3611</v>
      </c>
      <c r="J1041" t="s">
        <v>564</v>
      </c>
      <c r="K1041" s="698">
        <v>45957.421527777777</v>
      </c>
      <c r="L1041" s="698">
        <v>45957.421527777777</v>
      </c>
      <c r="M1041" t="s">
        <v>565</v>
      </c>
      <c r="N1041" t="s">
        <v>565</v>
      </c>
      <c r="O1041" t="s">
        <v>566</v>
      </c>
      <c r="P1041" t="s">
        <v>567</v>
      </c>
      <c r="S1041" t="s">
        <v>567</v>
      </c>
      <c r="T1041" t="s">
        <v>567</v>
      </c>
      <c r="Z1041" t="s">
        <v>568</v>
      </c>
      <c r="AA1041" t="s">
        <v>568</v>
      </c>
    </row>
    <row r="1042" spans="1:27">
      <c r="A1042" t="s">
        <v>2770</v>
      </c>
      <c r="B1042" t="s">
        <v>562</v>
      </c>
      <c r="C1042" t="s">
        <v>562</v>
      </c>
      <c r="D1042" t="s">
        <v>835</v>
      </c>
      <c r="E1042" t="s">
        <v>2772</v>
      </c>
      <c r="F1042" t="s">
        <v>562</v>
      </c>
      <c r="G1042" t="s">
        <v>562</v>
      </c>
      <c r="H1042" t="s">
        <v>562</v>
      </c>
      <c r="I1042">
        <v>3618</v>
      </c>
      <c r="J1042" t="s">
        <v>564</v>
      </c>
      <c r="K1042" s="698">
        <v>45957.422222222223</v>
      </c>
      <c r="L1042" s="698">
        <v>45957.422222222223</v>
      </c>
      <c r="M1042" t="s">
        <v>565</v>
      </c>
      <c r="N1042" t="s">
        <v>565</v>
      </c>
      <c r="O1042" t="s">
        <v>566</v>
      </c>
      <c r="P1042" t="s">
        <v>567</v>
      </c>
      <c r="S1042" t="s">
        <v>567</v>
      </c>
      <c r="T1042" t="s">
        <v>567</v>
      </c>
      <c r="Z1042" t="s">
        <v>568</v>
      </c>
      <c r="AA1042" t="s">
        <v>568</v>
      </c>
    </row>
    <row r="1043" spans="1:27">
      <c r="A1043" t="s">
        <v>2770</v>
      </c>
      <c r="B1043" t="s">
        <v>562</v>
      </c>
      <c r="C1043" t="s">
        <v>562</v>
      </c>
      <c r="D1043" t="s">
        <v>835</v>
      </c>
      <c r="E1043" t="s">
        <v>2773</v>
      </c>
      <c r="F1043" t="s">
        <v>562</v>
      </c>
      <c r="G1043" t="s">
        <v>562</v>
      </c>
      <c r="H1043" t="s">
        <v>562</v>
      </c>
      <c r="I1043">
        <v>3626</v>
      </c>
      <c r="J1043" t="s">
        <v>564</v>
      </c>
      <c r="K1043" s="698">
        <v>45957.42291666667</v>
      </c>
      <c r="L1043" s="698">
        <v>45957.42291666667</v>
      </c>
      <c r="M1043" t="s">
        <v>565</v>
      </c>
      <c r="N1043" t="s">
        <v>565</v>
      </c>
      <c r="O1043" t="s">
        <v>566</v>
      </c>
      <c r="P1043" t="s">
        <v>567</v>
      </c>
      <c r="S1043" t="s">
        <v>567</v>
      </c>
      <c r="T1043" t="s">
        <v>567</v>
      </c>
      <c r="Z1043" t="s">
        <v>568</v>
      </c>
      <c r="AA1043" t="s">
        <v>568</v>
      </c>
    </row>
    <row r="1044" spans="1:27">
      <c r="A1044" t="s">
        <v>2770</v>
      </c>
      <c r="B1044" t="s">
        <v>562</v>
      </c>
      <c r="C1044" t="s">
        <v>562</v>
      </c>
      <c r="D1044" t="s">
        <v>835</v>
      </c>
      <c r="E1044" t="s">
        <v>2774</v>
      </c>
      <c r="F1044" t="s">
        <v>562</v>
      </c>
      <c r="G1044" t="s">
        <v>562</v>
      </c>
      <c r="H1044" t="s">
        <v>562</v>
      </c>
      <c r="I1044">
        <v>3627</v>
      </c>
      <c r="J1044" t="s">
        <v>564</v>
      </c>
      <c r="K1044" s="698">
        <v>45957.42291666667</v>
      </c>
      <c r="L1044" s="698">
        <v>45957.42291666667</v>
      </c>
      <c r="M1044" t="s">
        <v>565</v>
      </c>
      <c r="N1044" t="s">
        <v>565</v>
      </c>
      <c r="O1044" t="s">
        <v>566</v>
      </c>
      <c r="P1044" t="s">
        <v>567</v>
      </c>
      <c r="S1044" t="s">
        <v>567</v>
      </c>
      <c r="T1044" t="s">
        <v>567</v>
      </c>
      <c r="Z1044" t="s">
        <v>568</v>
      </c>
      <c r="AA1044" t="s">
        <v>568</v>
      </c>
    </row>
    <row r="1045" spans="1:27">
      <c r="A1045" t="s">
        <v>2770</v>
      </c>
      <c r="B1045" t="s">
        <v>562</v>
      </c>
      <c r="C1045" t="s">
        <v>562</v>
      </c>
      <c r="D1045" t="s">
        <v>835</v>
      </c>
      <c r="E1045" t="s">
        <v>2775</v>
      </c>
      <c r="F1045" t="s">
        <v>562</v>
      </c>
      <c r="G1045" t="s">
        <v>562</v>
      </c>
      <c r="H1045" t="s">
        <v>562</v>
      </c>
      <c r="I1045">
        <v>3628</v>
      </c>
      <c r="J1045" t="s">
        <v>564</v>
      </c>
      <c r="K1045" s="698">
        <v>45957.42291666667</v>
      </c>
      <c r="L1045" s="698">
        <v>45957.42291666667</v>
      </c>
      <c r="M1045" t="s">
        <v>565</v>
      </c>
      <c r="N1045" t="s">
        <v>565</v>
      </c>
      <c r="O1045" t="s">
        <v>566</v>
      </c>
      <c r="P1045" t="s">
        <v>567</v>
      </c>
      <c r="S1045" t="s">
        <v>567</v>
      </c>
      <c r="T1045" t="s">
        <v>567</v>
      </c>
      <c r="Z1045" t="s">
        <v>568</v>
      </c>
      <c r="AA1045" t="s">
        <v>568</v>
      </c>
    </row>
    <row r="1046" spans="1:27">
      <c r="A1046" t="s">
        <v>2770</v>
      </c>
      <c r="B1046" t="s">
        <v>683</v>
      </c>
      <c r="C1046" t="s">
        <v>562</v>
      </c>
      <c r="D1046" t="s">
        <v>835</v>
      </c>
      <c r="E1046" t="s">
        <v>2776</v>
      </c>
      <c r="F1046" t="s">
        <v>562</v>
      </c>
      <c r="G1046" t="s">
        <v>562</v>
      </c>
      <c r="H1046" t="s">
        <v>562</v>
      </c>
      <c r="I1046">
        <v>4504</v>
      </c>
      <c r="J1046" t="s">
        <v>564</v>
      </c>
      <c r="K1046" s="698">
        <v>45957.526388888888</v>
      </c>
      <c r="L1046" s="698">
        <v>45957.526388888888</v>
      </c>
      <c r="M1046" t="s">
        <v>565</v>
      </c>
      <c r="N1046" t="s">
        <v>565</v>
      </c>
      <c r="O1046" t="s">
        <v>566</v>
      </c>
      <c r="P1046" t="s">
        <v>567</v>
      </c>
      <c r="S1046" t="s">
        <v>567</v>
      </c>
      <c r="T1046" t="s">
        <v>567</v>
      </c>
      <c r="Z1046" t="s">
        <v>568</v>
      </c>
      <c r="AA1046" t="s">
        <v>568</v>
      </c>
    </row>
    <row r="1047" spans="1:27">
      <c r="A1047" t="s">
        <v>2770</v>
      </c>
      <c r="B1047" t="s">
        <v>562</v>
      </c>
      <c r="C1047" t="s">
        <v>562</v>
      </c>
      <c r="D1047" t="s">
        <v>835</v>
      </c>
      <c r="E1047" t="s">
        <v>2777</v>
      </c>
      <c r="F1047" t="s">
        <v>562</v>
      </c>
      <c r="G1047" t="s">
        <v>562</v>
      </c>
      <c r="H1047" t="s">
        <v>562</v>
      </c>
      <c r="I1047">
        <v>4517</v>
      </c>
      <c r="J1047" t="s">
        <v>564</v>
      </c>
      <c r="K1047" s="698">
        <v>45957.527777777781</v>
      </c>
      <c r="L1047" s="698">
        <v>45957.527777777781</v>
      </c>
      <c r="M1047" t="s">
        <v>565</v>
      </c>
      <c r="N1047" t="s">
        <v>565</v>
      </c>
      <c r="O1047" t="s">
        <v>566</v>
      </c>
      <c r="P1047" t="s">
        <v>567</v>
      </c>
      <c r="S1047" t="s">
        <v>567</v>
      </c>
      <c r="T1047" t="s">
        <v>567</v>
      </c>
      <c r="Z1047" t="s">
        <v>568</v>
      </c>
      <c r="AA1047" t="s">
        <v>568</v>
      </c>
    </row>
    <row r="1048" spans="1:27">
      <c r="A1048" t="s">
        <v>2770</v>
      </c>
      <c r="B1048" t="s">
        <v>562</v>
      </c>
      <c r="C1048" t="s">
        <v>562</v>
      </c>
      <c r="D1048" t="s">
        <v>835</v>
      </c>
      <c r="E1048" t="s">
        <v>2778</v>
      </c>
      <c r="F1048" t="s">
        <v>562</v>
      </c>
      <c r="G1048" t="s">
        <v>562</v>
      </c>
      <c r="H1048" t="s">
        <v>562</v>
      </c>
      <c r="I1048">
        <v>4525</v>
      </c>
      <c r="J1048" t="s">
        <v>564</v>
      </c>
      <c r="K1048" s="698">
        <v>45957.529166666667</v>
      </c>
      <c r="L1048" s="698">
        <v>45957.529166666667</v>
      </c>
      <c r="M1048" t="s">
        <v>565</v>
      </c>
      <c r="N1048" t="s">
        <v>565</v>
      </c>
      <c r="O1048" t="s">
        <v>566</v>
      </c>
      <c r="P1048" t="s">
        <v>567</v>
      </c>
      <c r="S1048" t="s">
        <v>567</v>
      </c>
      <c r="T1048" t="s">
        <v>567</v>
      </c>
      <c r="Z1048" t="s">
        <v>568</v>
      </c>
      <c r="AA1048" t="s">
        <v>568</v>
      </c>
    </row>
    <row r="1049" spans="1:27">
      <c r="A1049" t="s">
        <v>2770</v>
      </c>
      <c r="B1049" t="s">
        <v>562</v>
      </c>
      <c r="C1049" t="s">
        <v>562</v>
      </c>
      <c r="D1049" t="s">
        <v>835</v>
      </c>
      <c r="E1049" t="s">
        <v>2779</v>
      </c>
      <c r="F1049" t="s">
        <v>562</v>
      </c>
      <c r="G1049" t="s">
        <v>562</v>
      </c>
      <c r="H1049" t="s">
        <v>562</v>
      </c>
      <c r="I1049">
        <v>4526</v>
      </c>
      <c r="J1049" t="s">
        <v>564</v>
      </c>
      <c r="K1049" s="698">
        <v>45957.529166666667</v>
      </c>
      <c r="L1049" s="698">
        <v>45957.529166666667</v>
      </c>
      <c r="M1049" t="s">
        <v>565</v>
      </c>
      <c r="N1049" t="s">
        <v>565</v>
      </c>
      <c r="O1049" t="s">
        <v>566</v>
      </c>
      <c r="P1049" t="s">
        <v>567</v>
      </c>
      <c r="S1049" t="s">
        <v>567</v>
      </c>
      <c r="T1049" t="s">
        <v>567</v>
      </c>
      <c r="Z1049" t="s">
        <v>568</v>
      </c>
      <c r="AA1049" t="s">
        <v>568</v>
      </c>
    </row>
    <row r="1050" spans="1:27">
      <c r="A1050" t="s">
        <v>2770</v>
      </c>
      <c r="B1050" t="s">
        <v>562</v>
      </c>
      <c r="C1050" t="s">
        <v>562</v>
      </c>
      <c r="D1050" t="s">
        <v>835</v>
      </c>
      <c r="E1050" t="s">
        <v>2780</v>
      </c>
      <c r="F1050" t="s">
        <v>562</v>
      </c>
      <c r="G1050" t="s">
        <v>562</v>
      </c>
      <c r="H1050" t="s">
        <v>562</v>
      </c>
      <c r="I1050">
        <v>4620</v>
      </c>
      <c r="J1050" t="s">
        <v>564</v>
      </c>
      <c r="K1050" s="698">
        <v>45957.540972222225</v>
      </c>
      <c r="L1050" s="698">
        <v>45957.540972222225</v>
      </c>
      <c r="M1050" t="s">
        <v>565</v>
      </c>
      <c r="N1050" t="s">
        <v>565</v>
      </c>
      <c r="O1050" t="s">
        <v>566</v>
      </c>
      <c r="P1050" t="s">
        <v>567</v>
      </c>
      <c r="S1050" t="s">
        <v>567</v>
      </c>
      <c r="T1050" t="s">
        <v>567</v>
      </c>
      <c r="Z1050" t="s">
        <v>568</v>
      </c>
      <c r="AA1050" t="s">
        <v>568</v>
      </c>
    </row>
    <row r="1051" spans="1:27">
      <c r="A1051" t="s">
        <v>2770</v>
      </c>
      <c r="B1051" t="s">
        <v>870</v>
      </c>
      <c r="C1051" t="s">
        <v>871</v>
      </c>
      <c r="D1051" t="s">
        <v>835</v>
      </c>
      <c r="E1051" t="s">
        <v>2781</v>
      </c>
      <c r="F1051" t="s">
        <v>562</v>
      </c>
      <c r="G1051" t="s">
        <v>562</v>
      </c>
      <c r="H1051" t="s">
        <v>562</v>
      </c>
      <c r="I1051">
        <v>4686</v>
      </c>
      <c r="J1051" t="s">
        <v>564</v>
      </c>
      <c r="K1051" s="698">
        <v>45957.548611111109</v>
      </c>
      <c r="L1051" s="698">
        <v>45957.548611111109</v>
      </c>
      <c r="M1051" t="s">
        <v>565</v>
      </c>
      <c r="N1051" t="s">
        <v>565</v>
      </c>
      <c r="O1051" t="s">
        <v>566</v>
      </c>
      <c r="P1051" t="s">
        <v>567</v>
      </c>
      <c r="S1051" t="s">
        <v>567</v>
      </c>
      <c r="T1051" t="s">
        <v>567</v>
      </c>
      <c r="Z1051" t="s">
        <v>568</v>
      </c>
      <c r="AA1051" t="s">
        <v>568</v>
      </c>
    </row>
    <row r="1052" spans="1:27">
      <c r="A1052" t="s">
        <v>2770</v>
      </c>
      <c r="B1052" t="s">
        <v>847</v>
      </c>
      <c r="C1052" t="s">
        <v>834</v>
      </c>
      <c r="D1052" t="s">
        <v>835</v>
      </c>
      <c r="E1052" t="s">
        <v>2782</v>
      </c>
      <c r="F1052" t="s">
        <v>562</v>
      </c>
      <c r="G1052" t="s">
        <v>562</v>
      </c>
      <c r="H1052" t="s">
        <v>562</v>
      </c>
      <c r="I1052">
        <v>4746</v>
      </c>
      <c r="J1052" t="s">
        <v>564</v>
      </c>
      <c r="K1052" s="698">
        <v>45957.550694444442</v>
      </c>
      <c r="L1052" s="698">
        <v>45957.550694444442</v>
      </c>
      <c r="M1052" t="s">
        <v>565</v>
      </c>
      <c r="N1052" t="s">
        <v>565</v>
      </c>
      <c r="O1052" t="s">
        <v>566</v>
      </c>
      <c r="P1052" t="s">
        <v>567</v>
      </c>
      <c r="S1052" t="s">
        <v>567</v>
      </c>
      <c r="T1052" t="s">
        <v>567</v>
      </c>
      <c r="Z1052" t="s">
        <v>568</v>
      </c>
      <c r="AA1052" t="s">
        <v>568</v>
      </c>
    </row>
    <row r="1053" spans="1:27">
      <c r="A1053" t="s">
        <v>2770</v>
      </c>
      <c r="B1053" t="s">
        <v>2177</v>
      </c>
      <c r="C1053" t="s">
        <v>2178</v>
      </c>
      <c r="D1053" t="s">
        <v>562</v>
      </c>
      <c r="E1053" t="s">
        <v>770</v>
      </c>
      <c r="F1053" t="s">
        <v>562</v>
      </c>
      <c r="G1053" t="s">
        <v>562</v>
      </c>
      <c r="H1053" t="s">
        <v>562</v>
      </c>
      <c r="I1053">
        <v>4795</v>
      </c>
      <c r="J1053" t="s">
        <v>564</v>
      </c>
      <c r="K1053" s="698">
        <v>45957.552083333336</v>
      </c>
      <c r="L1053" s="698">
        <v>45957.552083333336</v>
      </c>
      <c r="M1053" t="s">
        <v>565</v>
      </c>
      <c r="N1053" t="s">
        <v>565</v>
      </c>
      <c r="O1053" t="s">
        <v>566</v>
      </c>
      <c r="P1053" t="s">
        <v>567</v>
      </c>
      <c r="S1053" t="s">
        <v>567</v>
      </c>
      <c r="T1053" t="s">
        <v>567</v>
      </c>
      <c r="Z1053" t="s">
        <v>568</v>
      </c>
      <c r="AA1053" t="s">
        <v>568</v>
      </c>
    </row>
    <row r="1054" spans="1:27">
      <c r="A1054" t="s">
        <v>2770</v>
      </c>
      <c r="B1054" t="s">
        <v>562</v>
      </c>
      <c r="C1054" t="s">
        <v>562</v>
      </c>
      <c r="D1054" t="s">
        <v>835</v>
      </c>
      <c r="E1054" t="s">
        <v>2783</v>
      </c>
      <c r="F1054" t="s">
        <v>562</v>
      </c>
      <c r="G1054" t="s">
        <v>562</v>
      </c>
      <c r="H1054" t="s">
        <v>562</v>
      </c>
      <c r="I1054">
        <v>4807</v>
      </c>
      <c r="J1054" t="s">
        <v>564</v>
      </c>
      <c r="K1054" s="698">
        <v>45957.552777777775</v>
      </c>
      <c r="L1054" s="698">
        <v>45957.552777777775</v>
      </c>
      <c r="M1054" t="s">
        <v>565</v>
      </c>
      <c r="N1054" t="s">
        <v>565</v>
      </c>
      <c r="O1054" t="s">
        <v>566</v>
      </c>
      <c r="P1054" t="s">
        <v>567</v>
      </c>
      <c r="S1054" t="s">
        <v>567</v>
      </c>
      <c r="T1054" t="s">
        <v>567</v>
      </c>
      <c r="Z1054" t="s">
        <v>568</v>
      </c>
      <c r="AA1054" t="s">
        <v>568</v>
      </c>
    </row>
    <row r="1055" spans="1:27">
      <c r="A1055" t="s">
        <v>2770</v>
      </c>
      <c r="B1055" t="s">
        <v>2784</v>
      </c>
      <c r="C1055" t="s">
        <v>871</v>
      </c>
      <c r="D1055" t="s">
        <v>835</v>
      </c>
      <c r="E1055" t="s">
        <v>2785</v>
      </c>
      <c r="F1055" t="s">
        <v>562</v>
      </c>
      <c r="G1055" t="s">
        <v>562</v>
      </c>
      <c r="H1055" t="s">
        <v>562</v>
      </c>
      <c r="I1055">
        <v>4813</v>
      </c>
      <c r="J1055" t="s">
        <v>564</v>
      </c>
      <c r="K1055" s="698">
        <v>45957.552777777775</v>
      </c>
      <c r="L1055" s="698">
        <v>45957.552777777775</v>
      </c>
      <c r="M1055" t="s">
        <v>565</v>
      </c>
      <c r="N1055" t="s">
        <v>565</v>
      </c>
      <c r="O1055" t="s">
        <v>566</v>
      </c>
      <c r="P1055" t="s">
        <v>567</v>
      </c>
      <c r="S1055" t="s">
        <v>567</v>
      </c>
      <c r="T1055" t="s">
        <v>567</v>
      </c>
      <c r="Z1055" t="s">
        <v>568</v>
      </c>
      <c r="AA1055" t="s">
        <v>568</v>
      </c>
    </row>
    <row r="1056" spans="1:27">
      <c r="A1056" t="s">
        <v>2770</v>
      </c>
      <c r="B1056" t="s">
        <v>2786</v>
      </c>
      <c r="C1056" t="s">
        <v>2787</v>
      </c>
      <c r="D1056" t="s">
        <v>562</v>
      </c>
      <c r="E1056" t="s">
        <v>2788</v>
      </c>
      <c r="F1056" t="s">
        <v>562</v>
      </c>
      <c r="G1056" t="s">
        <v>562</v>
      </c>
      <c r="H1056" t="s">
        <v>562</v>
      </c>
      <c r="I1056">
        <v>5105</v>
      </c>
      <c r="J1056" t="s">
        <v>564</v>
      </c>
      <c r="K1056" s="698">
        <v>45957.561805555553</v>
      </c>
      <c r="L1056" s="698">
        <v>45957.561805555553</v>
      </c>
      <c r="M1056" t="s">
        <v>565</v>
      </c>
      <c r="N1056" t="s">
        <v>565</v>
      </c>
      <c r="O1056" t="s">
        <v>566</v>
      </c>
      <c r="P1056" t="s">
        <v>567</v>
      </c>
      <c r="S1056" t="s">
        <v>567</v>
      </c>
      <c r="T1056" t="s">
        <v>567</v>
      </c>
      <c r="Z1056" t="s">
        <v>568</v>
      </c>
      <c r="AA1056" t="s">
        <v>568</v>
      </c>
    </row>
    <row r="1057" spans="1:27">
      <c r="A1057" t="s">
        <v>2770</v>
      </c>
      <c r="B1057" t="s">
        <v>562</v>
      </c>
      <c r="C1057" t="s">
        <v>562</v>
      </c>
      <c r="D1057" t="s">
        <v>835</v>
      </c>
      <c r="E1057" t="s">
        <v>2789</v>
      </c>
      <c r="F1057" t="s">
        <v>562</v>
      </c>
      <c r="G1057" t="s">
        <v>562</v>
      </c>
      <c r="H1057" t="s">
        <v>562</v>
      </c>
      <c r="I1057">
        <v>5107</v>
      </c>
      <c r="J1057" t="s">
        <v>564</v>
      </c>
      <c r="K1057" s="698">
        <v>45957.561805555553</v>
      </c>
      <c r="L1057" s="698">
        <v>45957.561805555553</v>
      </c>
      <c r="M1057" t="s">
        <v>565</v>
      </c>
      <c r="N1057" t="s">
        <v>565</v>
      </c>
      <c r="O1057" t="s">
        <v>566</v>
      </c>
      <c r="P1057" t="s">
        <v>567</v>
      </c>
      <c r="S1057" t="s">
        <v>567</v>
      </c>
      <c r="T1057" t="s">
        <v>567</v>
      </c>
      <c r="Z1057" t="s">
        <v>568</v>
      </c>
      <c r="AA1057" t="s">
        <v>568</v>
      </c>
    </row>
    <row r="1058" spans="1:27">
      <c r="A1058" t="s">
        <v>2790</v>
      </c>
      <c r="B1058" t="s">
        <v>2791</v>
      </c>
      <c r="C1058" t="s">
        <v>562</v>
      </c>
      <c r="D1058" t="s">
        <v>2792</v>
      </c>
      <c r="E1058" t="s">
        <v>2793</v>
      </c>
      <c r="F1058" t="s">
        <v>562</v>
      </c>
      <c r="G1058" t="s">
        <v>562</v>
      </c>
      <c r="H1058" t="s">
        <v>562</v>
      </c>
      <c r="I1058">
        <v>3700</v>
      </c>
      <c r="J1058" t="s">
        <v>564</v>
      </c>
      <c r="K1058" s="698">
        <v>45957.431250000001</v>
      </c>
      <c r="L1058" s="698">
        <v>45957.431250000001</v>
      </c>
      <c r="M1058" t="s">
        <v>565</v>
      </c>
      <c r="N1058" t="s">
        <v>565</v>
      </c>
      <c r="O1058" t="s">
        <v>566</v>
      </c>
      <c r="P1058" t="s">
        <v>567</v>
      </c>
      <c r="S1058" t="s">
        <v>567</v>
      </c>
      <c r="T1058" t="s">
        <v>567</v>
      </c>
      <c r="Z1058" t="s">
        <v>568</v>
      </c>
      <c r="AA1058" t="s">
        <v>568</v>
      </c>
    </row>
    <row r="1059" spans="1:27">
      <c r="A1059" t="s">
        <v>2790</v>
      </c>
      <c r="B1059" t="s">
        <v>2794</v>
      </c>
      <c r="C1059" t="s">
        <v>562</v>
      </c>
      <c r="D1059" t="s">
        <v>2792</v>
      </c>
      <c r="E1059" t="s">
        <v>770</v>
      </c>
      <c r="F1059" t="s">
        <v>562</v>
      </c>
      <c r="G1059" t="s">
        <v>562</v>
      </c>
      <c r="H1059" t="s">
        <v>562</v>
      </c>
      <c r="I1059">
        <v>4858</v>
      </c>
      <c r="J1059" t="s">
        <v>564</v>
      </c>
      <c r="K1059" s="698">
        <v>45957.554166666669</v>
      </c>
      <c r="L1059" s="698">
        <v>45957.554166666669</v>
      </c>
      <c r="M1059" t="s">
        <v>565</v>
      </c>
      <c r="N1059" t="s">
        <v>565</v>
      </c>
      <c r="O1059" t="s">
        <v>566</v>
      </c>
      <c r="P1059" t="s">
        <v>567</v>
      </c>
      <c r="S1059" t="s">
        <v>567</v>
      </c>
      <c r="T1059" t="s">
        <v>567</v>
      </c>
      <c r="Z1059" t="s">
        <v>568</v>
      </c>
      <c r="AA1059" t="s">
        <v>568</v>
      </c>
    </row>
    <row r="1060" spans="1:27">
      <c r="A1060" t="s">
        <v>2790</v>
      </c>
      <c r="B1060" t="s">
        <v>562</v>
      </c>
      <c r="C1060" t="s">
        <v>562</v>
      </c>
      <c r="D1060" t="s">
        <v>2792</v>
      </c>
      <c r="E1060" t="s">
        <v>2795</v>
      </c>
      <c r="F1060" t="s">
        <v>562</v>
      </c>
      <c r="G1060" t="s">
        <v>562</v>
      </c>
      <c r="H1060" t="s">
        <v>562</v>
      </c>
      <c r="I1060">
        <v>4938</v>
      </c>
      <c r="J1060" t="s">
        <v>564</v>
      </c>
      <c r="K1060" s="698">
        <v>45957.556250000001</v>
      </c>
      <c r="L1060" s="698">
        <v>45957.556250000001</v>
      </c>
      <c r="M1060" t="s">
        <v>565</v>
      </c>
      <c r="N1060" t="s">
        <v>565</v>
      </c>
      <c r="O1060" t="s">
        <v>566</v>
      </c>
      <c r="P1060" t="s">
        <v>567</v>
      </c>
      <c r="S1060" t="s">
        <v>567</v>
      </c>
      <c r="T1060" t="s">
        <v>567</v>
      </c>
      <c r="Z1060" t="s">
        <v>568</v>
      </c>
      <c r="AA1060" t="s">
        <v>568</v>
      </c>
    </row>
    <row r="1061" spans="1:27">
      <c r="A1061" t="s">
        <v>2796</v>
      </c>
      <c r="B1061" t="s">
        <v>2797</v>
      </c>
      <c r="C1061" t="s">
        <v>2798</v>
      </c>
      <c r="D1061" t="s">
        <v>2799</v>
      </c>
      <c r="E1061" t="s">
        <v>2800</v>
      </c>
      <c r="F1061" t="s">
        <v>562</v>
      </c>
      <c r="G1061" t="s">
        <v>562</v>
      </c>
      <c r="H1061" t="s">
        <v>562</v>
      </c>
      <c r="I1061">
        <v>3973</v>
      </c>
      <c r="J1061" t="s">
        <v>564</v>
      </c>
      <c r="K1061" s="698">
        <v>45957.461111111108</v>
      </c>
      <c r="L1061" s="698">
        <v>45957.461111111108</v>
      </c>
      <c r="M1061" t="s">
        <v>565</v>
      </c>
      <c r="N1061" t="s">
        <v>565</v>
      </c>
      <c r="O1061" t="s">
        <v>566</v>
      </c>
      <c r="P1061" t="s">
        <v>567</v>
      </c>
      <c r="S1061" t="s">
        <v>567</v>
      </c>
      <c r="T1061" t="s">
        <v>567</v>
      </c>
      <c r="Z1061" t="s">
        <v>568</v>
      </c>
      <c r="AA1061" t="s">
        <v>568</v>
      </c>
    </row>
    <row r="1062" spans="1:27">
      <c r="A1062" t="s">
        <v>2796</v>
      </c>
      <c r="B1062" t="s">
        <v>2801</v>
      </c>
      <c r="C1062" t="s">
        <v>2802</v>
      </c>
      <c r="D1062" t="s">
        <v>2799</v>
      </c>
      <c r="E1062" t="s">
        <v>2803</v>
      </c>
      <c r="F1062" t="s">
        <v>562</v>
      </c>
      <c r="G1062" t="s">
        <v>562</v>
      </c>
      <c r="H1062" t="s">
        <v>562</v>
      </c>
      <c r="I1062">
        <v>4729</v>
      </c>
      <c r="J1062" t="s">
        <v>564</v>
      </c>
      <c r="K1062" s="698">
        <v>45957.55</v>
      </c>
      <c r="L1062" s="698">
        <v>45957.55</v>
      </c>
      <c r="M1062" t="s">
        <v>565</v>
      </c>
      <c r="N1062" t="s">
        <v>565</v>
      </c>
      <c r="O1062" t="s">
        <v>566</v>
      </c>
      <c r="P1062" t="s">
        <v>567</v>
      </c>
      <c r="S1062" t="s">
        <v>567</v>
      </c>
      <c r="T1062" t="s">
        <v>567</v>
      </c>
      <c r="Z1062" t="s">
        <v>568</v>
      </c>
      <c r="AA1062" t="s">
        <v>568</v>
      </c>
    </row>
    <row r="1063" spans="1:27">
      <c r="A1063" t="s">
        <v>2796</v>
      </c>
      <c r="B1063" t="s">
        <v>562</v>
      </c>
      <c r="C1063" t="s">
        <v>562</v>
      </c>
      <c r="D1063" t="s">
        <v>2799</v>
      </c>
      <c r="E1063" t="s">
        <v>2804</v>
      </c>
      <c r="F1063" t="s">
        <v>562</v>
      </c>
      <c r="G1063" t="s">
        <v>562</v>
      </c>
      <c r="H1063" t="s">
        <v>562</v>
      </c>
      <c r="I1063">
        <v>4846</v>
      </c>
      <c r="J1063" t="s">
        <v>564</v>
      </c>
      <c r="K1063" s="698">
        <v>45957.553472222222</v>
      </c>
      <c r="L1063" s="698">
        <v>45957.553472222222</v>
      </c>
      <c r="M1063" t="s">
        <v>565</v>
      </c>
      <c r="N1063" t="s">
        <v>565</v>
      </c>
      <c r="O1063" t="s">
        <v>566</v>
      </c>
      <c r="P1063" t="s">
        <v>567</v>
      </c>
      <c r="S1063" t="s">
        <v>567</v>
      </c>
      <c r="T1063" t="s">
        <v>567</v>
      </c>
      <c r="Z1063" t="s">
        <v>568</v>
      </c>
      <c r="AA1063" t="s">
        <v>568</v>
      </c>
    </row>
    <row r="1064" spans="1:27">
      <c r="A1064" t="s">
        <v>2796</v>
      </c>
      <c r="B1064" t="s">
        <v>562</v>
      </c>
      <c r="C1064" t="s">
        <v>562</v>
      </c>
      <c r="D1064" t="s">
        <v>2799</v>
      </c>
      <c r="E1064" t="s">
        <v>2805</v>
      </c>
      <c r="F1064" t="s">
        <v>562</v>
      </c>
      <c r="G1064" t="s">
        <v>562</v>
      </c>
      <c r="H1064" t="s">
        <v>562</v>
      </c>
      <c r="I1064">
        <v>5060</v>
      </c>
      <c r="J1064" t="s">
        <v>564</v>
      </c>
      <c r="K1064" s="698">
        <v>45957.560416666667</v>
      </c>
      <c r="L1064" s="698">
        <v>45957.560416666667</v>
      </c>
      <c r="M1064" t="s">
        <v>565</v>
      </c>
      <c r="N1064" t="s">
        <v>565</v>
      </c>
      <c r="O1064" t="s">
        <v>566</v>
      </c>
      <c r="P1064" t="s">
        <v>567</v>
      </c>
      <c r="S1064" t="s">
        <v>567</v>
      </c>
      <c r="T1064" t="s">
        <v>567</v>
      </c>
      <c r="Z1064" t="s">
        <v>568</v>
      </c>
      <c r="AA1064" t="s">
        <v>568</v>
      </c>
    </row>
    <row r="1065" spans="1:27">
      <c r="A1065" t="s">
        <v>2806</v>
      </c>
      <c r="B1065" t="s">
        <v>2807</v>
      </c>
      <c r="C1065" t="s">
        <v>562</v>
      </c>
      <c r="D1065" t="s">
        <v>562</v>
      </c>
      <c r="E1065" t="s">
        <v>2808</v>
      </c>
      <c r="F1065" t="s">
        <v>562</v>
      </c>
      <c r="G1065" t="s">
        <v>562</v>
      </c>
      <c r="H1065" t="s">
        <v>562</v>
      </c>
      <c r="I1065">
        <v>3821</v>
      </c>
      <c r="J1065" t="s">
        <v>564</v>
      </c>
      <c r="K1065" s="698">
        <v>45957.444444444445</v>
      </c>
      <c r="L1065" s="698">
        <v>45957.444444444445</v>
      </c>
      <c r="M1065" t="s">
        <v>565</v>
      </c>
      <c r="N1065" t="s">
        <v>565</v>
      </c>
      <c r="O1065" t="s">
        <v>566</v>
      </c>
      <c r="P1065" t="s">
        <v>567</v>
      </c>
      <c r="S1065" t="s">
        <v>567</v>
      </c>
      <c r="T1065" t="s">
        <v>567</v>
      </c>
      <c r="Z1065" t="s">
        <v>568</v>
      </c>
      <c r="AA1065" t="s">
        <v>568</v>
      </c>
    </row>
    <row r="1066" spans="1:27">
      <c r="A1066" t="s">
        <v>2809</v>
      </c>
      <c r="B1066" t="s">
        <v>2810</v>
      </c>
      <c r="C1066" t="s">
        <v>562</v>
      </c>
      <c r="D1066" t="s">
        <v>562</v>
      </c>
      <c r="E1066" t="s">
        <v>2811</v>
      </c>
      <c r="F1066" t="s">
        <v>562</v>
      </c>
      <c r="G1066" t="s">
        <v>562</v>
      </c>
      <c r="H1066" t="s">
        <v>562</v>
      </c>
      <c r="I1066">
        <v>4843</v>
      </c>
      <c r="J1066" t="s">
        <v>564</v>
      </c>
      <c r="K1066" s="698">
        <v>45957.553472222222</v>
      </c>
      <c r="L1066" s="698">
        <v>45957.553472222222</v>
      </c>
      <c r="M1066" t="s">
        <v>565</v>
      </c>
      <c r="N1066" t="s">
        <v>565</v>
      </c>
      <c r="O1066" t="s">
        <v>566</v>
      </c>
      <c r="P1066" t="s">
        <v>567</v>
      </c>
      <c r="S1066" t="s">
        <v>567</v>
      </c>
      <c r="T1066" t="s">
        <v>567</v>
      </c>
      <c r="Z1066" t="s">
        <v>568</v>
      </c>
      <c r="AA1066" t="s">
        <v>568</v>
      </c>
    </row>
    <row r="1067" spans="1:27">
      <c r="A1067" t="s">
        <v>2812</v>
      </c>
      <c r="B1067" t="s">
        <v>2813</v>
      </c>
      <c r="C1067" t="s">
        <v>562</v>
      </c>
      <c r="D1067" t="s">
        <v>562</v>
      </c>
      <c r="E1067" t="s">
        <v>2814</v>
      </c>
      <c r="F1067" t="s">
        <v>562</v>
      </c>
      <c r="G1067" t="s">
        <v>562</v>
      </c>
      <c r="H1067" t="s">
        <v>562</v>
      </c>
      <c r="I1067">
        <v>4369</v>
      </c>
      <c r="J1067" t="s">
        <v>564</v>
      </c>
      <c r="K1067" s="698">
        <v>45957.510416666664</v>
      </c>
      <c r="L1067" s="698">
        <v>45957.510416666664</v>
      </c>
      <c r="M1067" t="s">
        <v>565</v>
      </c>
      <c r="N1067" t="s">
        <v>565</v>
      </c>
      <c r="O1067" t="s">
        <v>566</v>
      </c>
      <c r="P1067" t="s">
        <v>567</v>
      </c>
      <c r="S1067" t="s">
        <v>567</v>
      </c>
      <c r="T1067" t="s">
        <v>567</v>
      </c>
      <c r="Z1067" t="s">
        <v>568</v>
      </c>
      <c r="AA1067" t="s">
        <v>568</v>
      </c>
    </row>
    <row r="1068" spans="1:27">
      <c r="A1068" t="s">
        <v>2815</v>
      </c>
      <c r="B1068" t="s">
        <v>603</v>
      </c>
      <c r="C1068" t="s">
        <v>562</v>
      </c>
      <c r="D1068" t="s">
        <v>562</v>
      </c>
      <c r="E1068" t="s">
        <v>2176</v>
      </c>
      <c r="F1068" t="s">
        <v>562</v>
      </c>
      <c r="G1068" t="s">
        <v>562</v>
      </c>
      <c r="H1068" t="s">
        <v>562</v>
      </c>
      <c r="I1068">
        <v>3706</v>
      </c>
      <c r="J1068" t="s">
        <v>564</v>
      </c>
      <c r="K1068" s="698">
        <v>45957.431944444441</v>
      </c>
      <c r="L1068" s="698">
        <v>45957.431944444441</v>
      </c>
      <c r="M1068" t="s">
        <v>565</v>
      </c>
      <c r="N1068" t="s">
        <v>565</v>
      </c>
      <c r="O1068" t="s">
        <v>566</v>
      </c>
      <c r="P1068" t="s">
        <v>567</v>
      </c>
      <c r="S1068" t="s">
        <v>567</v>
      </c>
      <c r="T1068" t="s">
        <v>567</v>
      </c>
      <c r="Z1068" t="s">
        <v>568</v>
      </c>
      <c r="AA1068" t="s">
        <v>568</v>
      </c>
    </row>
    <row r="1069" spans="1:27">
      <c r="A1069" t="s">
        <v>2815</v>
      </c>
      <c r="B1069" t="s">
        <v>2816</v>
      </c>
      <c r="C1069" t="s">
        <v>2817</v>
      </c>
      <c r="D1069" t="s">
        <v>562</v>
      </c>
      <c r="E1069" t="s">
        <v>2818</v>
      </c>
      <c r="F1069" t="s">
        <v>562</v>
      </c>
      <c r="G1069" t="s">
        <v>562</v>
      </c>
      <c r="H1069" t="s">
        <v>562</v>
      </c>
      <c r="I1069">
        <v>4514</v>
      </c>
      <c r="J1069" t="s">
        <v>564</v>
      </c>
      <c r="K1069" s="698">
        <v>45957.527777777781</v>
      </c>
      <c r="L1069" s="698">
        <v>45957.527777777781</v>
      </c>
      <c r="M1069" t="s">
        <v>565</v>
      </c>
      <c r="N1069" t="s">
        <v>565</v>
      </c>
      <c r="O1069" t="s">
        <v>566</v>
      </c>
      <c r="P1069" t="s">
        <v>567</v>
      </c>
      <c r="S1069" t="s">
        <v>567</v>
      </c>
      <c r="T1069" t="s">
        <v>567</v>
      </c>
      <c r="Z1069" t="s">
        <v>568</v>
      </c>
      <c r="AA1069" t="s">
        <v>568</v>
      </c>
    </row>
    <row r="1070" spans="1:27">
      <c r="A1070" t="s">
        <v>2819</v>
      </c>
      <c r="B1070" t="s">
        <v>2820</v>
      </c>
      <c r="C1070" t="s">
        <v>562</v>
      </c>
      <c r="D1070" t="s">
        <v>2792</v>
      </c>
      <c r="E1070" t="s">
        <v>2821</v>
      </c>
      <c r="F1070" t="s">
        <v>562</v>
      </c>
      <c r="G1070" t="s">
        <v>562</v>
      </c>
      <c r="H1070" t="s">
        <v>562</v>
      </c>
      <c r="I1070">
        <v>3699</v>
      </c>
      <c r="J1070" t="s">
        <v>564</v>
      </c>
      <c r="K1070" s="698">
        <v>45957.430555555555</v>
      </c>
      <c r="L1070" s="698">
        <v>45957.430555555555</v>
      </c>
      <c r="M1070" t="s">
        <v>565</v>
      </c>
      <c r="N1070" t="s">
        <v>565</v>
      </c>
      <c r="O1070" t="s">
        <v>566</v>
      </c>
      <c r="P1070" t="s">
        <v>567</v>
      </c>
      <c r="S1070" t="s">
        <v>567</v>
      </c>
      <c r="T1070" t="s">
        <v>567</v>
      </c>
      <c r="Z1070" t="s">
        <v>568</v>
      </c>
      <c r="AA1070" t="s">
        <v>568</v>
      </c>
    </row>
    <row r="1071" spans="1:27">
      <c r="A1071" t="s">
        <v>2819</v>
      </c>
      <c r="B1071" t="s">
        <v>562</v>
      </c>
      <c r="C1071" t="s">
        <v>562</v>
      </c>
      <c r="D1071" t="s">
        <v>2792</v>
      </c>
      <c r="E1071" t="s">
        <v>2822</v>
      </c>
      <c r="F1071" t="s">
        <v>562</v>
      </c>
      <c r="G1071" t="s">
        <v>562</v>
      </c>
      <c r="H1071" t="s">
        <v>562</v>
      </c>
      <c r="I1071">
        <v>3997</v>
      </c>
      <c r="J1071" t="s">
        <v>564</v>
      </c>
      <c r="K1071" s="698">
        <v>45957.463888888888</v>
      </c>
      <c r="L1071" s="698">
        <v>45957.463888888888</v>
      </c>
      <c r="M1071" t="s">
        <v>565</v>
      </c>
      <c r="N1071" t="s">
        <v>565</v>
      </c>
      <c r="O1071" t="s">
        <v>566</v>
      </c>
      <c r="P1071" t="s">
        <v>567</v>
      </c>
      <c r="S1071" t="s">
        <v>567</v>
      </c>
      <c r="T1071" t="s">
        <v>567</v>
      </c>
      <c r="Z1071" t="s">
        <v>568</v>
      </c>
      <c r="AA1071" t="s">
        <v>568</v>
      </c>
    </row>
    <row r="1072" spans="1:27">
      <c r="A1072" t="s">
        <v>2823</v>
      </c>
      <c r="B1072" t="s">
        <v>2824</v>
      </c>
      <c r="C1072" t="s">
        <v>562</v>
      </c>
      <c r="D1072" t="s">
        <v>562</v>
      </c>
      <c r="E1072" t="s">
        <v>2825</v>
      </c>
      <c r="F1072" t="s">
        <v>562</v>
      </c>
      <c r="G1072" t="s">
        <v>562</v>
      </c>
      <c r="H1072" t="s">
        <v>562</v>
      </c>
      <c r="I1072">
        <v>4814</v>
      </c>
      <c r="J1072" t="s">
        <v>564</v>
      </c>
      <c r="K1072" s="698">
        <v>45957.552777777775</v>
      </c>
      <c r="L1072" s="698">
        <v>45957.552777777775</v>
      </c>
      <c r="M1072" t="s">
        <v>565</v>
      </c>
      <c r="N1072" t="s">
        <v>565</v>
      </c>
      <c r="O1072" t="s">
        <v>566</v>
      </c>
      <c r="P1072" t="s">
        <v>567</v>
      </c>
      <c r="S1072" t="s">
        <v>567</v>
      </c>
      <c r="T1072" t="s">
        <v>567</v>
      </c>
      <c r="Z1072" t="s">
        <v>568</v>
      </c>
      <c r="AA1072" t="s">
        <v>568</v>
      </c>
    </row>
    <row r="1073" spans="1:27">
      <c r="A1073" t="s">
        <v>2826</v>
      </c>
      <c r="B1073" t="s">
        <v>2472</v>
      </c>
      <c r="C1073" t="s">
        <v>2473</v>
      </c>
      <c r="D1073" t="s">
        <v>562</v>
      </c>
      <c r="E1073" t="s">
        <v>2827</v>
      </c>
      <c r="F1073" t="s">
        <v>562</v>
      </c>
      <c r="G1073" t="s">
        <v>562</v>
      </c>
      <c r="H1073" t="s">
        <v>562</v>
      </c>
      <c r="I1073">
        <v>5161</v>
      </c>
      <c r="J1073" t="s">
        <v>564</v>
      </c>
      <c r="K1073" s="698">
        <v>45957.563194444447</v>
      </c>
      <c r="L1073" s="698">
        <v>45957.563194444447</v>
      </c>
      <c r="M1073" t="s">
        <v>565</v>
      </c>
      <c r="N1073" t="s">
        <v>565</v>
      </c>
      <c r="O1073" t="s">
        <v>566</v>
      </c>
      <c r="P1073" t="s">
        <v>567</v>
      </c>
      <c r="S1073" t="s">
        <v>567</v>
      </c>
      <c r="T1073" t="s">
        <v>567</v>
      </c>
      <c r="Z1073" t="s">
        <v>568</v>
      </c>
      <c r="AA1073" t="s">
        <v>568</v>
      </c>
    </row>
    <row r="1074" spans="1:27">
      <c r="A1074" t="s">
        <v>2828</v>
      </c>
      <c r="B1074" t="s">
        <v>562</v>
      </c>
      <c r="C1074" t="s">
        <v>562</v>
      </c>
      <c r="D1074" t="s">
        <v>2829</v>
      </c>
      <c r="E1074" t="s">
        <v>1116</v>
      </c>
      <c r="F1074" t="s">
        <v>562</v>
      </c>
      <c r="G1074" t="s">
        <v>562</v>
      </c>
      <c r="H1074" t="s">
        <v>562</v>
      </c>
      <c r="I1074">
        <v>4280</v>
      </c>
      <c r="J1074" t="s">
        <v>564</v>
      </c>
      <c r="K1074" s="698">
        <v>45957.498611111114</v>
      </c>
      <c r="L1074" s="698">
        <v>45957.498611111114</v>
      </c>
      <c r="M1074" t="s">
        <v>565</v>
      </c>
      <c r="N1074" t="s">
        <v>565</v>
      </c>
      <c r="O1074" t="s">
        <v>566</v>
      </c>
      <c r="P1074" t="s">
        <v>567</v>
      </c>
      <c r="S1074" t="s">
        <v>567</v>
      </c>
      <c r="T1074" t="s">
        <v>567</v>
      </c>
      <c r="Z1074" t="s">
        <v>568</v>
      </c>
      <c r="AA1074" t="s">
        <v>568</v>
      </c>
    </row>
    <row r="1075" spans="1:27">
      <c r="A1075" t="s">
        <v>2830</v>
      </c>
      <c r="B1075" t="s">
        <v>637</v>
      </c>
      <c r="C1075" t="s">
        <v>2831</v>
      </c>
      <c r="D1075" t="s">
        <v>562</v>
      </c>
      <c r="E1075" t="s">
        <v>2832</v>
      </c>
      <c r="F1075" t="s">
        <v>562</v>
      </c>
      <c r="G1075" t="s">
        <v>562</v>
      </c>
      <c r="H1075" t="s">
        <v>562</v>
      </c>
      <c r="I1075">
        <v>5050</v>
      </c>
      <c r="J1075" t="s">
        <v>564</v>
      </c>
      <c r="K1075" s="698">
        <v>45957.55972222222</v>
      </c>
      <c r="L1075" s="698">
        <v>45957.55972222222</v>
      </c>
      <c r="M1075" t="s">
        <v>565</v>
      </c>
      <c r="N1075" t="s">
        <v>565</v>
      </c>
      <c r="O1075" t="s">
        <v>566</v>
      </c>
      <c r="P1075" t="s">
        <v>567</v>
      </c>
      <c r="S1075" t="s">
        <v>567</v>
      </c>
      <c r="T1075" t="s">
        <v>567</v>
      </c>
      <c r="Z1075" t="s">
        <v>568</v>
      </c>
      <c r="AA1075" t="s">
        <v>568</v>
      </c>
    </row>
    <row r="1076" spans="1:27">
      <c r="A1076" t="s">
        <v>2833</v>
      </c>
      <c r="B1076" t="s">
        <v>2834</v>
      </c>
      <c r="C1076" t="s">
        <v>2835</v>
      </c>
      <c r="D1076" t="s">
        <v>562</v>
      </c>
      <c r="E1076" t="s">
        <v>2836</v>
      </c>
      <c r="F1076" t="s">
        <v>562</v>
      </c>
      <c r="G1076" t="s">
        <v>562</v>
      </c>
      <c r="H1076" t="s">
        <v>562</v>
      </c>
      <c r="I1076">
        <v>4126</v>
      </c>
      <c r="J1076" t="s">
        <v>564</v>
      </c>
      <c r="K1076" s="698">
        <v>45957.479861111111</v>
      </c>
      <c r="L1076" s="698">
        <v>45957.479861111111</v>
      </c>
      <c r="M1076" t="s">
        <v>565</v>
      </c>
      <c r="N1076" t="s">
        <v>565</v>
      </c>
      <c r="O1076" t="s">
        <v>566</v>
      </c>
      <c r="P1076" t="s">
        <v>567</v>
      </c>
      <c r="S1076" t="s">
        <v>567</v>
      </c>
      <c r="T1076" t="s">
        <v>567</v>
      </c>
      <c r="Z1076" t="s">
        <v>568</v>
      </c>
      <c r="AA1076" t="s">
        <v>568</v>
      </c>
    </row>
    <row r="1077" spans="1:27">
      <c r="A1077" t="s">
        <v>2833</v>
      </c>
      <c r="B1077" t="s">
        <v>2834</v>
      </c>
      <c r="C1077" t="s">
        <v>2835</v>
      </c>
      <c r="D1077" t="s">
        <v>562</v>
      </c>
      <c r="E1077" t="s">
        <v>2837</v>
      </c>
      <c r="F1077" t="s">
        <v>562</v>
      </c>
      <c r="G1077" t="s">
        <v>562</v>
      </c>
      <c r="H1077" t="s">
        <v>562</v>
      </c>
      <c r="I1077">
        <v>4331</v>
      </c>
      <c r="J1077" t="s">
        <v>564</v>
      </c>
      <c r="K1077" s="698">
        <v>45957.505555555559</v>
      </c>
      <c r="L1077" s="698">
        <v>45957.505555555559</v>
      </c>
      <c r="M1077" t="s">
        <v>565</v>
      </c>
      <c r="N1077" t="s">
        <v>565</v>
      </c>
      <c r="O1077" t="s">
        <v>566</v>
      </c>
      <c r="P1077" t="s">
        <v>567</v>
      </c>
      <c r="S1077" t="s">
        <v>567</v>
      </c>
      <c r="T1077" t="s">
        <v>567</v>
      </c>
      <c r="Z1077" t="s">
        <v>568</v>
      </c>
      <c r="AA1077" t="s">
        <v>568</v>
      </c>
    </row>
    <row r="1078" spans="1:27">
      <c r="A1078" t="s">
        <v>2833</v>
      </c>
      <c r="B1078" t="s">
        <v>2838</v>
      </c>
      <c r="C1078" t="s">
        <v>2839</v>
      </c>
      <c r="D1078" t="s">
        <v>562</v>
      </c>
      <c r="E1078" t="s">
        <v>2840</v>
      </c>
      <c r="F1078" t="s">
        <v>562</v>
      </c>
      <c r="G1078" t="s">
        <v>562</v>
      </c>
      <c r="H1078" t="s">
        <v>562</v>
      </c>
      <c r="I1078">
        <v>4997</v>
      </c>
      <c r="J1078" t="s">
        <v>564</v>
      </c>
      <c r="K1078" s="698">
        <v>45957.558333333334</v>
      </c>
      <c r="L1078" s="698">
        <v>45957.558333333334</v>
      </c>
      <c r="M1078" t="s">
        <v>565</v>
      </c>
      <c r="N1078" t="s">
        <v>565</v>
      </c>
      <c r="O1078" t="s">
        <v>566</v>
      </c>
      <c r="P1078" t="s">
        <v>567</v>
      </c>
      <c r="S1078" t="s">
        <v>567</v>
      </c>
      <c r="T1078" t="s">
        <v>567</v>
      </c>
      <c r="Z1078" t="s">
        <v>568</v>
      </c>
      <c r="AA1078" t="s">
        <v>568</v>
      </c>
    </row>
    <row r="1079" spans="1:27">
      <c r="A1079" t="s">
        <v>2841</v>
      </c>
      <c r="B1079" t="s">
        <v>2842</v>
      </c>
      <c r="C1079" t="s">
        <v>562</v>
      </c>
      <c r="D1079" t="s">
        <v>562</v>
      </c>
      <c r="E1079" t="s">
        <v>2843</v>
      </c>
      <c r="F1079" t="s">
        <v>562</v>
      </c>
      <c r="G1079" t="s">
        <v>562</v>
      </c>
      <c r="H1079" t="s">
        <v>562</v>
      </c>
      <c r="I1079">
        <v>4065</v>
      </c>
      <c r="J1079" t="s">
        <v>564</v>
      </c>
      <c r="K1079" s="698">
        <v>45957.472222222219</v>
      </c>
      <c r="L1079" s="698">
        <v>45957.472222222219</v>
      </c>
      <c r="M1079" t="s">
        <v>565</v>
      </c>
      <c r="N1079" t="s">
        <v>565</v>
      </c>
      <c r="O1079" t="s">
        <v>566</v>
      </c>
      <c r="P1079" t="s">
        <v>567</v>
      </c>
      <c r="S1079" t="s">
        <v>567</v>
      </c>
      <c r="T1079" t="s">
        <v>567</v>
      </c>
      <c r="Z1079" t="s">
        <v>568</v>
      </c>
      <c r="AA1079" t="s">
        <v>568</v>
      </c>
    </row>
    <row r="1080" spans="1:27">
      <c r="A1080" t="s">
        <v>2844</v>
      </c>
      <c r="B1080" t="s">
        <v>2845</v>
      </c>
      <c r="C1080" t="s">
        <v>2846</v>
      </c>
      <c r="D1080" t="s">
        <v>2847</v>
      </c>
      <c r="E1080" t="s">
        <v>2848</v>
      </c>
      <c r="F1080" t="s">
        <v>562</v>
      </c>
      <c r="G1080" t="s">
        <v>562</v>
      </c>
      <c r="H1080" t="s">
        <v>562</v>
      </c>
      <c r="I1080">
        <v>4216</v>
      </c>
      <c r="J1080" t="s">
        <v>564</v>
      </c>
      <c r="K1080" s="698">
        <v>45957.490972222222</v>
      </c>
      <c r="L1080" s="698">
        <v>45957.490972222222</v>
      </c>
      <c r="M1080" t="s">
        <v>565</v>
      </c>
      <c r="N1080" t="s">
        <v>565</v>
      </c>
      <c r="O1080" t="s">
        <v>566</v>
      </c>
      <c r="P1080" t="s">
        <v>567</v>
      </c>
      <c r="S1080" t="s">
        <v>567</v>
      </c>
      <c r="T1080" t="s">
        <v>567</v>
      </c>
      <c r="Z1080" t="s">
        <v>568</v>
      </c>
      <c r="AA1080" t="s">
        <v>568</v>
      </c>
    </row>
    <row r="1081" spans="1:27">
      <c r="A1081" t="s">
        <v>2849</v>
      </c>
      <c r="B1081" t="s">
        <v>2850</v>
      </c>
      <c r="C1081" t="s">
        <v>2851</v>
      </c>
      <c r="D1081" t="s">
        <v>2852</v>
      </c>
      <c r="E1081" t="s">
        <v>2853</v>
      </c>
      <c r="F1081" t="s">
        <v>562</v>
      </c>
      <c r="G1081" t="s">
        <v>562</v>
      </c>
      <c r="H1081" t="s">
        <v>562</v>
      </c>
      <c r="I1081">
        <v>3885</v>
      </c>
      <c r="J1081" t="s">
        <v>564</v>
      </c>
      <c r="K1081" s="698">
        <v>45957.451388888891</v>
      </c>
      <c r="L1081" s="698">
        <v>45957.451388888891</v>
      </c>
      <c r="M1081" t="s">
        <v>565</v>
      </c>
      <c r="N1081" t="s">
        <v>565</v>
      </c>
      <c r="O1081" t="s">
        <v>566</v>
      </c>
      <c r="P1081" t="s">
        <v>567</v>
      </c>
      <c r="S1081" t="s">
        <v>567</v>
      </c>
      <c r="T1081" t="s">
        <v>567</v>
      </c>
      <c r="Z1081" t="s">
        <v>568</v>
      </c>
      <c r="AA1081" t="s">
        <v>568</v>
      </c>
    </row>
    <row r="1082" spans="1:27">
      <c r="A1082" t="s">
        <v>2854</v>
      </c>
      <c r="B1082" t="s">
        <v>2854</v>
      </c>
      <c r="C1082" t="s">
        <v>2855</v>
      </c>
      <c r="D1082" t="s">
        <v>562</v>
      </c>
      <c r="E1082" t="s">
        <v>2856</v>
      </c>
      <c r="F1082" t="s">
        <v>562</v>
      </c>
      <c r="G1082" t="s">
        <v>562</v>
      </c>
      <c r="H1082" t="s">
        <v>562</v>
      </c>
      <c r="I1082">
        <v>5023</v>
      </c>
      <c r="J1082" t="s">
        <v>564</v>
      </c>
      <c r="K1082" s="698">
        <v>45957.559027777781</v>
      </c>
      <c r="L1082" s="698">
        <v>45957.559027777781</v>
      </c>
      <c r="M1082" t="s">
        <v>565</v>
      </c>
      <c r="N1082" t="s">
        <v>565</v>
      </c>
      <c r="O1082" t="s">
        <v>566</v>
      </c>
      <c r="P1082" t="s">
        <v>567</v>
      </c>
      <c r="S1082" t="s">
        <v>567</v>
      </c>
      <c r="T1082" t="s">
        <v>567</v>
      </c>
      <c r="Z1082" t="s">
        <v>568</v>
      </c>
      <c r="AA1082" t="s">
        <v>568</v>
      </c>
    </row>
    <row r="1083" spans="1:27">
      <c r="A1083" t="s">
        <v>2857</v>
      </c>
      <c r="B1083" t="s">
        <v>2858</v>
      </c>
      <c r="C1083" t="s">
        <v>2859</v>
      </c>
      <c r="D1083" t="s">
        <v>2860</v>
      </c>
      <c r="E1083" t="s">
        <v>2861</v>
      </c>
      <c r="F1083" t="s">
        <v>562</v>
      </c>
      <c r="G1083" t="s">
        <v>562</v>
      </c>
      <c r="H1083" t="s">
        <v>562</v>
      </c>
      <c r="I1083">
        <v>3756</v>
      </c>
      <c r="J1083" t="s">
        <v>564</v>
      </c>
      <c r="K1083" s="698">
        <v>45957.436805555553</v>
      </c>
      <c r="L1083" s="698">
        <v>45957.436805555553</v>
      </c>
      <c r="M1083" t="s">
        <v>565</v>
      </c>
      <c r="N1083" t="s">
        <v>565</v>
      </c>
      <c r="O1083" t="s">
        <v>566</v>
      </c>
      <c r="P1083" t="s">
        <v>567</v>
      </c>
      <c r="S1083" t="s">
        <v>567</v>
      </c>
      <c r="T1083" t="s">
        <v>567</v>
      </c>
      <c r="Z1083" t="s">
        <v>568</v>
      </c>
      <c r="AA1083" t="s">
        <v>568</v>
      </c>
    </row>
    <row r="1084" spans="1:27">
      <c r="A1084" t="s">
        <v>2862</v>
      </c>
      <c r="B1084" t="s">
        <v>2863</v>
      </c>
      <c r="C1084" t="s">
        <v>2864</v>
      </c>
      <c r="D1084" t="s">
        <v>562</v>
      </c>
      <c r="E1084" t="s">
        <v>1988</v>
      </c>
      <c r="F1084" t="s">
        <v>562</v>
      </c>
      <c r="G1084" t="s">
        <v>562</v>
      </c>
      <c r="H1084" t="s">
        <v>562</v>
      </c>
      <c r="I1084">
        <v>4250</v>
      </c>
      <c r="J1084" t="s">
        <v>564</v>
      </c>
      <c r="K1084" s="698">
        <v>45957.495138888888</v>
      </c>
      <c r="L1084" s="698">
        <v>45957.495138888888</v>
      </c>
      <c r="M1084" t="s">
        <v>565</v>
      </c>
      <c r="N1084" t="s">
        <v>565</v>
      </c>
      <c r="O1084" t="s">
        <v>566</v>
      </c>
      <c r="P1084" t="s">
        <v>567</v>
      </c>
      <c r="S1084" t="s">
        <v>567</v>
      </c>
      <c r="T1084" t="s">
        <v>567</v>
      </c>
      <c r="Z1084" t="s">
        <v>568</v>
      </c>
      <c r="AA1084" t="s">
        <v>568</v>
      </c>
    </row>
    <row r="1085" spans="1:27">
      <c r="A1085" t="s">
        <v>2865</v>
      </c>
      <c r="B1085" t="s">
        <v>2865</v>
      </c>
      <c r="C1085" t="s">
        <v>2866</v>
      </c>
      <c r="D1085" t="s">
        <v>562</v>
      </c>
      <c r="E1085" t="s">
        <v>2867</v>
      </c>
      <c r="F1085" t="s">
        <v>562</v>
      </c>
      <c r="G1085" t="s">
        <v>562</v>
      </c>
      <c r="H1085" t="s">
        <v>562</v>
      </c>
      <c r="I1085">
        <v>4883</v>
      </c>
      <c r="J1085" t="s">
        <v>564</v>
      </c>
      <c r="K1085" s="698">
        <v>45957.554861111108</v>
      </c>
      <c r="L1085" s="698">
        <v>45957.554861111108</v>
      </c>
      <c r="M1085" t="s">
        <v>565</v>
      </c>
      <c r="N1085" t="s">
        <v>565</v>
      </c>
      <c r="O1085" t="s">
        <v>566</v>
      </c>
      <c r="P1085" t="s">
        <v>567</v>
      </c>
      <c r="S1085" t="s">
        <v>567</v>
      </c>
      <c r="T1085" t="s">
        <v>567</v>
      </c>
      <c r="Z1085" t="s">
        <v>568</v>
      </c>
      <c r="AA1085" t="s">
        <v>568</v>
      </c>
    </row>
    <row r="1086" spans="1:27">
      <c r="A1086" t="s">
        <v>2868</v>
      </c>
      <c r="B1086" t="s">
        <v>2868</v>
      </c>
      <c r="C1086" t="s">
        <v>2869</v>
      </c>
      <c r="D1086" t="s">
        <v>562</v>
      </c>
      <c r="E1086" t="s">
        <v>2870</v>
      </c>
      <c r="F1086" t="s">
        <v>562</v>
      </c>
      <c r="G1086" t="s">
        <v>562</v>
      </c>
      <c r="H1086" t="s">
        <v>562</v>
      </c>
      <c r="I1086">
        <v>4679</v>
      </c>
      <c r="J1086" t="s">
        <v>564</v>
      </c>
      <c r="K1086" s="698">
        <v>45957.548611111109</v>
      </c>
      <c r="L1086" s="698">
        <v>45957.548611111109</v>
      </c>
      <c r="M1086" t="s">
        <v>565</v>
      </c>
      <c r="N1086" t="s">
        <v>565</v>
      </c>
      <c r="O1086" t="s">
        <v>566</v>
      </c>
      <c r="P1086" t="s">
        <v>567</v>
      </c>
      <c r="S1086" t="s">
        <v>567</v>
      </c>
      <c r="T1086" t="s">
        <v>567</v>
      </c>
      <c r="Z1086" t="s">
        <v>568</v>
      </c>
      <c r="AA1086" t="s">
        <v>568</v>
      </c>
    </row>
    <row r="1087" spans="1:27">
      <c r="A1087" t="s">
        <v>2871</v>
      </c>
      <c r="B1087" t="s">
        <v>2872</v>
      </c>
      <c r="C1087" t="s">
        <v>2873</v>
      </c>
      <c r="D1087" t="s">
        <v>2874</v>
      </c>
      <c r="E1087" t="s">
        <v>1012</v>
      </c>
      <c r="F1087" t="s">
        <v>562</v>
      </c>
      <c r="G1087" t="s">
        <v>562</v>
      </c>
      <c r="H1087" t="s">
        <v>562</v>
      </c>
      <c r="I1087">
        <v>4244</v>
      </c>
      <c r="J1087" t="s">
        <v>564</v>
      </c>
      <c r="K1087" s="698">
        <v>45957.494444444441</v>
      </c>
      <c r="L1087" s="698">
        <v>45957.494444444441</v>
      </c>
      <c r="M1087" t="s">
        <v>565</v>
      </c>
      <c r="N1087" t="s">
        <v>565</v>
      </c>
      <c r="O1087" t="s">
        <v>566</v>
      </c>
      <c r="P1087" t="s">
        <v>567</v>
      </c>
      <c r="S1087" t="s">
        <v>567</v>
      </c>
      <c r="T1087" t="s">
        <v>567</v>
      </c>
      <c r="Z1087" t="s">
        <v>568</v>
      </c>
      <c r="AA1087" t="s">
        <v>568</v>
      </c>
    </row>
    <row r="1088" spans="1:27">
      <c r="A1088" t="s">
        <v>2871</v>
      </c>
      <c r="B1088" t="s">
        <v>562</v>
      </c>
      <c r="C1088" t="s">
        <v>562</v>
      </c>
      <c r="D1088" t="s">
        <v>2874</v>
      </c>
      <c r="E1088" t="s">
        <v>1116</v>
      </c>
      <c r="F1088" t="s">
        <v>562</v>
      </c>
      <c r="G1088" t="s">
        <v>562</v>
      </c>
      <c r="H1088" t="s">
        <v>562</v>
      </c>
      <c r="I1088">
        <v>5077</v>
      </c>
      <c r="J1088" t="s">
        <v>564</v>
      </c>
      <c r="K1088" s="698">
        <v>45957.560416666667</v>
      </c>
      <c r="L1088" s="698">
        <v>45957.560416666667</v>
      </c>
      <c r="M1088" t="s">
        <v>565</v>
      </c>
      <c r="N1088" t="s">
        <v>565</v>
      </c>
      <c r="O1088" t="s">
        <v>566</v>
      </c>
      <c r="P1088" t="s">
        <v>567</v>
      </c>
      <c r="S1088" t="s">
        <v>567</v>
      </c>
      <c r="T1088" t="s">
        <v>567</v>
      </c>
      <c r="Z1088" t="s">
        <v>568</v>
      </c>
      <c r="AA1088" t="s">
        <v>568</v>
      </c>
    </row>
    <row r="1089" spans="1:27">
      <c r="A1089" t="s">
        <v>2875</v>
      </c>
      <c r="B1089" t="s">
        <v>2876</v>
      </c>
      <c r="C1089" t="s">
        <v>562</v>
      </c>
      <c r="D1089" t="s">
        <v>562</v>
      </c>
      <c r="E1089" t="s">
        <v>2877</v>
      </c>
      <c r="F1089" t="s">
        <v>562</v>
      </c>
      <c r="G1089" t="s">
        <v>562</v>
      </c>
      <c r="H1089" t="s">
        <v>562</v>
      </c>
      <c r="I1089">
        <v>3705</v>
      </c>
      <c r="J1089" t="s">
        <v>564</v>
      </c>
      <c r="K1089" s="698">
        <v>45957.431250000001</v>
      </c>
      <c r="L1089" s="698">
        <v>45957.431250000001</v>
      </c>
      <c r="M1089" t="s">
        <v>565</v>
      </c>
      <c r="N1089" t="s">
        <v>565</v>
      </c>
      <c r="O1089" t="s">
        <v>566</v>
      </c>
      <c r="P1089" t="s">
        <v>567</v>
      </c>
      <c r="S1089" t="s">
        <v>567</v>
      </c>
      <c r="T1089" t="s">
        <v>567</v>
      </c>
      <c r="Z1089" t="s">
        <v>568</v>
      </c>
      <c r="AA1089" t="s">
        <v>568</v>
      </c>
    </row>
    <row r="1090" spans="1:27">
      <c r="A1090" t="s">
        <v>2875</v>
      </c>
      <c r="B1090" t="s">
        <v>783</v>
      </c>
      <c r="C1090" t="s">
        <v>2878</v>
      </c>
      <c r="D1090" t="s">
        <v>562</v>
      </c>
      <c r="E1090" t="s">
        <v>2879</v>
      </c>
      <c r="F1090" t="s">
        <v>562</v>
      </c>
      <c r="G1090" t="s">
        <v>562</v>
      </c>
      <c r="H1090" t="s">
        <v>562</v>
      </c>
      <c r="I1090">
        <v>4356</v>
      </c>
      <c r="J1090" t="s">
        <v>564</v>
      </c>
      <c r="K1090" s="698">
        <v>45957.508333333331</v>
      </c>
      <c r="L1090" s="698">
        <v>45957.508333333331</v>
      </c>
      <c r="M1090" t="s">
        <v>565</v>
      </c>
      <c r="N1090" t="s">
        <v>565</v>
      </c>
      <c r="O1090" t="s">
        <v>566</v>
      </c>
      <c r="P1090" t="s">
        <v>567</v>
      </c>
      <c r="S1090" t="s">
        <v>567</v>
      </c>
      <c r="T1090" t="s">
        <v>567</v>
      </c>
      <c r="Z1090" t="s">
        <v>568</v>
      </c>
      <c r="AA1090" t="s">
        <v>568</v>
      </c>
    </row>
    <row r="1091" spans="1:27">
      <c r="A1091" t="s">
        <v>2875</v>
      </c>
      <c r="B1091" t="s">
        <v>783</v>
      </c>
      <c r="C1091" t="s">
        <v>2878</v>
      </c>
      <c r="D1091" t="s">
        <v>562</v>
      </c>
      <c r="E1091" t="s">
        <v>2880</v>
      </c>
      <c r="F1091" t="s">
        <v>562</v>
      </c>
      <c r="G1091" t="s">
        <v>562</v>
      </c>
      <c r="H1091" t="s">
        <v>562</v>
      </c>
      <c r="I1091">
        <v>4971</v>
      </c>
      <c r="J1091" t="s">
        <v>564</v>
      </c>
      <c r="K1091" s="698">
        <v>45957.557638888888</v>
      </c>
      <c r="L1091" s="698">
        <v>45957.557638888888</v>
      </c>
      <c r="M1091" t="s">
        <v>565</v>
      </c>
      <c r="N1091" t="s">
        <v>565</v>
      </c>
      <c r="O1091" t="s">
        <v>566</v>
      </c>
      <c r="P1091" t="s">
        <v>567</v>
      </c>
      <c r="S1091" t="s">
        <v>567</v>
      </c>
      <c r="T1091" t="s">
        <v>567</v>
      </c>
      <c r="Z1091" t="s">
        <v>568</v>
      </c>
      <c r="AA1091" t="s">
        <v>568</v>
      </c>
    </row>
    <row r="1092" spans="1:27">
      <c r="A1092" t="s">
        <v>2875</v>
      </c>
      <c r="B1092" t="s">
        <v>2420</v>
      </c>
      <c r="C1092" t="s">
        <v>2421</v>
      </c>
      <c r="D1092" t="s">
        <v>562</v>
      </c>
      <c r="E1092" t="s">
        <v>2881</v>
      </c>
      <c r="F1092" t="s">
        <v>562</v>
      </c>
      <c r="G1092" t="s">
        <v>562</v>
      </c>
      <c r="H1092" t="s">
        <v>562</v>
      </c>
      <c r="I1092">
        <v>5149</v>
      </c>
      <c r="J1092" t="s">
        <v>564</v>
      </c>
      <c r="K1092" s="698">
        <v>45957.5625</v>
      </c>
      <c r="L1092" s="698">
        <v>45957.5625</v>
      </c>
      <c r="M1092" t="s">
        <v>565</v>
      </c>
      <c r="N1092" t="s">
        <v>565</v>
      </c>
      <c r="O1092" t="s">
        <v>566</v>
      </c>
      <c r="P1092" t="s">
        <v>567</v>
      </c>
      <c r="S1092" t="s">
        <v>567</v>
      </c>
      <c r="T1092" t="s">
        <v>567</v>
      </c>
      <c r="Z1092" t="s">
        <v>568</v>
      </c>
      <c r="AA1092" t="s">
        <v>568</v>
      </c>
    </row>
    <row r="1093" spans="1:27">
      <c r="A1093" t="s">
        <v>2882</v>
      </c>
      <c r="B1093" t="s">
        <v>2883</v>
      </c>
      <c r="C1093" t="s">
        <v>2884</v>
      </c>
      <c r="D1093" t="s">
        <v>2885</v>
      </c>
      <c r="E1093" t="s">
        <v>2886</v>
      </c>
      <c r="F1093" t="s">
        <v>562</v>
      </c>
      <c r="G1093" t="s">
        <v>562</v>
      </c>
      <c r="H1093" t="s">
        <v>562</v>
      </c>
      <c r="I1093">
        <v>4196</v>
      </c>
      <c r="J1093" t="s">
        <v>564</v>
      </c>
      <c r="K1093" s="698">
        <v>45957.488194444442</v>
      </c>
      <c r="L1093" s="698">
        <v>45957.488194444442</v>
      </c>
      <c r="M1093" t="s">
        <v>565</v>
      </c>
      <c r="N1093" t="s">
        <v>565</v>
      </c>
      <c r="O1093" t="s">
        <v>566</v>
      </c>
      <c r="P1093" t="s">
        <v>567</v>
      </c>
      <c r="S1093" t="s">
        <v>567</v>
      </c>
      <c r="T1093" t="s">
        <v>567</v>
      </c>
      <c r="Z1093" t="s">
        <v>568</v>
      </c>
      <c r="AA1093" t="s">
        <v>568</v>
      </c>
    </row>
    <row r="1094" spans="1:27">
      <c r="A1094" t="s">
        <v>2887</v>
      </c>
      <c r="B1094" t="s">
        <v>2888</v>
      </c>
      <c r="C1094" t="s">
        <v>2889</v>
      </c>
      <c r="D1094" t="s">
        <v>562</v>
      </c>
      <c r="E1094" t="s">
        <v>2890</v>
      </c>
      <c r="F1094" t="s">
        <v>562</v>
      </c>
      <c r="G1094" t="s">
        <v>562</v>
      </c>
      <c r="H1094" t="s">
        <v>562</v>
      </c>
      <c r="I1094">
        <v>3951</v>
      </c>
      <c r="J1094" t="s">
        <v>564</v>
      </c>
      <c r="K1094" s="698">
        <v>45957.458333333336</v>
      </c>
      <c r="L1094" s="698">
        <v>45957.458333333336</v>
      </c>
      <c r="M1094" t="s">
        <v>565</v>
      </c>
      <c r="N1094" t="s">
        <v>565</v>
      </c>
      <c r="O1094" t="s">
        <v>566</v>
      </c>
      <c r="P1094" t="s">
        <v>567</v>
      </c>
      <c r="S1094" t="s">
        <v>567</v>
      </c>
      <c r="T1094" t="s">
        <v>567</v>
      </c>
      <c r="Z1094" t="s">
        <v>568</v>
      </c>
      <c r="AA1094" t="s">
        <v>568</v>
      </c>
    </row>
    <row r="1095" spans="1:27">
      <c r="A1095" t="s">
        <v>2891</v>
      </c>
      <c r="B1095" t="s">
        <v>562</v>
      </c>
      <c r="C1095" t="s">
        <v>562</v>
      </c>
      <c r="D1095" t="s">
        <v>2892</v>
      </c>
      <c r="E1095" t="s">
        <v>2893</v>
      </c>
      <c r="F1095" t="s">
        <v>562</v>
      </c>
      <c r="G1095" t="s">
        <v>562</v>
      </c>
      <c r="H1095" t="s">
        <v>562</v>
      </c>
      <c r="I1095">
        <v>4329</v>
      </c>
      <c r="J1095" t="s">
        <v>564</v>
      </c>
      <c r="K1095" s="698">
        <v>45957.504861111112</v>
      </c>
      <c r="L1095" s="698">
        <v>45957.504861111112</v>
      </c>
      <c r="M1095" t="s">
        <v>565</v>
      </c>
      <c r="N1095" t="s">
        <v>565</v>
      </c>
      <c r="O1095" t="s">
        <v>566</v>
      </c>
      <c r="P1095" t="s">
        <v>567</v>
      </c>
      <c r="S1095" t="s">
        <v>567</v>
      </c>
      <c r="T1095" t="s">
        <v>567</v>
      </c>
      <c r="Z1095" t="s">
        <v>568</v>
      </c>
      <c r="AA1095" t="s">
        <v>568</v>
      </c>
    </row>
    <row r="1096" spans="1:27">
      <c r="A1096" t="s">
        <v>2894</v>
      </c>
      <c r="B1096" t="s">
        <v>562</v>
      </c>
      <c r="C1096" t="s">
        <v>2895</v>
      </c>
      <c r="D1096" t="s">
        <v>2896</v>
      </c>
      <c r="E1096" t="s">
        <v>562</v>
      </c>
      <c r="F1096" t="s">
        <v>562</v>
      </c>
      <c r="G1096" t="s">
        <v>562</v>
      </c>
      <c r="H1096" t="s">
        <v>562</v>
      </c>
      <c r="I1096">
        <v>3541</v>
      </c>
      <c r="J1096" t="s">
        <v>564</v>
      </c>
      <c r="K1096" s="698">
        <v>45957.412499999999</v>
      </c>
      <c r="L1096" s="698">
        <v>45957.412499999999</v>
      </c>
      <c r="M1096" t="s">
        <v>565</v>
      </c>
      <c r="N1096" t="s">
        <v>565</v>
      </c>
      <c r="O1096" t="s">
        <v>566</v>
      </c>
      <c r="P1096" t="s">
        <v>567</v>
      </c>
      <c r="S1096" t="s">
        <v>567</v>
      </c>
      <c r="T1096" t="s">
        <v>567</v>
      </c>
      <c r="Z1096" t="s">
        <v>568</v>
      </c>
      <c r="AA1096" t="s">
        <v>568</v>
      </c>
    </row>
    <row r="1097" spans="1:27">
      <c r="A1097" t="s">
        <v>2897</v>
      </c>
      <c r="B1097" t="s">
        <v>2898</v>
      </c>
      <c r="C1097" t="s">
        <v>2899</v>
      </c>
      <c r="D1097" t="s">
        <v>562</v>
      </c>
      <c r="E1097" t="s">
        <v>2900</v>
      </c>
      <c r="F1097" t="s">
        <v>562</v>
      </c>
      <c r="G1097" t="s">
        <v>562</v>
      </c>
      <c r="H1097" t="s">
        <v>562</v>
      </c>
      <c r="I1097">
        <v>3733</v>
      </c>
      <c r="J1097" t="s">
        <v>564</v>
      </c>
      <c r="K1097" s="698">
        <v>45957.43472222222</v>
      </c>
      <c r="L1097" s="698">
        <v>45957.43472222222</v>
      </c>
      <c r="M1097" t="s">
        <v>565</v>
      </c>
      <c r="N1097" t="s">
        <v>565</v>
      </c>
      <c r="O1097" t="s">
        <v>566</v>
      </c>
      <c r="P1097" t="s">
        <v>567</v>
      </c>
      <c r="S1097" t="s">
        <v>567</v>
      </c>
      <c r="T1097" t="s">
        <v>567</v>
      </c>
      <c r="Z1097" t="s">
        <v>568</v>
      </c>
      <c r="AA1097" t="s">
        <v>568</v>
      </c>
    </row>
    <row r="1098" spans="1:27">
      <c r="A1098" t="s">
        <v>2901</v>
      </c>
      <c r="B1098" t="s">
        <v>2902</v>
      </c>
      <c r="C1098" t="s">
        <v>2903</v>
      </c>
      <c r="D1098" t="s">
        <v>562</v>
      </c>
      <c r="E1098" t="s">
        <v>2904</v>
      </c>
      <c r="F1098" t="s">
        <v>562</v>
      </c>
      <c r="G1098" t="s">
        <v>562</v>
      </c>
      <c r="H1098" t="s">
        <v>562</v>
      </c>
      <c r="I1098">
        <v>4717</v>
      </c>
      <c r="J1098" t="s">
        <v>564</v>
      </c>
      <c r="K1098" s="698">
        <v>45957.55</v>
      </c>
      <c r="L1098" s="698">
        <v>45957.55</v>
      </c>
      <c r="M1098" t="s">
        <v>565</v>
      </c>
      <c r="N1098" t="s">
        <v>565</v>
      </c>
      <c r="O1098" t="s">
        <v>566</v>
      </c>
      <c r="P1098" t="s">
        <v>567</v>
      </c>
      <c r="S1098" t="s">
        <v>567</v>
      </c>
      <c r="T1098" t="s">
        <v>567</v>
      </c>
      <c r="Z1098" t="s">
        <v>568</v>
      </c>
      <c r="AA1098" t="s">
        <v>568</v>
      </c>
    </row>
    <row r="1099" spans="1:27">
      <c r="A1099" t="s">
        <v>2901</v>
      </c>
      <c r="B1099" t="s">
        <v>2905</v>
      </c>
      <c r="C1099" t="s">
        <v>2903</v>
      </c>
      <c r="D1099" t="s">
        <v>562</v>
      </c>
      <c r="E1099" t="s">
        <v>2906</v>
      </c>
      <c r="F1099" t="s">
        <v>562</v>
      </c>
      <c r="G1099" t="s">
        <v>562</v>
      </c>
      <c r="H1099" t="s">
        <v>562</v>
      </c>
      <c r="I1099">
        <v>4735</v>
      </c>
      <c r="J1099" t="s">
        <v>564</v>
      </c>
      <c r="K1099" s="698">
        <v>45957.55</v>
      </c>
      <c r="L1099" s="698">
        <v>45957.55</v>
      </c>
      <c r="M1099" t="s">
        <v>565</v>
      </c>
      <c r="N1099" t="s">
        <v>565</v>
      </c>
      <c r="O1099" t="s">
        <v>566</v>
      </c>
      <c r="P1099" t="s">
        <v>567</v>
      </c>
      <c r="S1099" t="s">
        <v>567</v>
      </c>
      <c r="T1099" t="s">
        <v>567</v>
      </c>
      <c r="Z1099" t="s">
        <v>568</v>
      </c>
      <c r="AA1099" t="s">
        <v>568</v>
      </c>
    </row>
    <row r="1100" spans="1:27">
      <c r="A1100" t="s">
        <v>2907</v>
      </c>
      <c r="B1100" t="s">
        <v>2908</v>
      </c>
      <c r="C1100" t="s">
        <v>2909</v>
      </c>
      <c r="D1100" t="s">
        <v>2910</v>
      </c>
      <c r="E1100" t="s">
        <v>2911</v>
      </c>
      <c r="F1100" t="s">
        <v>562</v>
      </c>
      <c r="G1100" t="s">
        <v>562</v>
      </c>
      <c r="H1100" t="s">
        <v>562</v>
      </c>
      <c r="I1100">
        <v>3723</v>
      </c>
      <c r="J1100" t="s">
        <v>564</v>
      </c>
      <c r="K1100" s="698">
        <v>45957.433333333334</v>
      </c>
      <c r="L1100" s="698">
        <v>45957.433333333334</v>
      </c>
      <c r="M1100" t="s">
        <v>565</v>
      </c>
      <c r="N1100" t="s">
        <v>565</v>
      </c>
      <c r="O1100" t="s">
        <v>566</v>
      </c>
      <c r="P1100" t="s">
        <v>567</v>
      </c>
      <c r="S1100" t="s">
        <v>567</v>
      </c>
      <c r="T1100" t="s">
        <v>567</v>
      </c>
      <c r="Z1100" t="s">
        <v>568</v>
      </c>
      <c r="AA1100" t="s">
        <v>568</v>
      </c>
    </row>
    <row r="1101" spans="1:27">
      <c r="A1101" t="s">
        <v>2907</v>
      </c>
      <c r="B1101" t="s">
        <v>562</v>
      </c>
      <c r="C1101" t="s">
        <v>562</v>
      </c>
      <c r="D1101" t="s">
        <v>2910</v>
      </c>
      <c r="E1101" t="s">
        <v>2912</v>
      </c>
      <c r="F1101" t="s">
        <v>562</v>
      </c>
      <c r="G1101" t="s">
        <v>562</v>
      </c>
      <c r="H1101" t="s">
        <v>562</v>
      </c>
      <c r="I1101">
        <v>5127</v>
      </c>
      <c r="J1101" t="s">
        <v>564</v>
      </c>
      <c r="K1101" s="698">
        <v>45957.5625</v>
      </c>
      <c r="L1101" s="698">
        <v>45957.5625</v>
      </c>
      <c r="M1101" t="s">
        <v>565</v>
      </c>
      <c r="N1101" t="s">
        <v>565</v>
      </c>
      <c r="O1101" t="s">
        <v>566</v>
      </c>
      <c r="P1101" t="s">
        <v>567</v>
      </c>
      <c r="S1101" t="s">
        <v>567</v>
      </c>
      <c r="T1101" t="s">
        <v>567</v>
      </c>
      <c r="Z1101" t="s">
        <v>568</v>
      </c>
      <c r="AA1101" t="s">
        <v>568</v>
      </c>
    </row>
    <row r="1102" spans="1:27">
      <c r="A1102" t="s">
        <v>2913</v>
      </c>
      <c r="B1102" t="s">
        <v>2914</v>
      </c>
      <c r="C1102" t="s">
        <v>2915</v>
      </c>
      <c r="D1102" t="s">
        <v>2916</v>
      </c>
      <c r="E1102" t="s">
        <v>2917</v>
      </c>
      <c r="F1102" t="s">
        <v>562</v>
      </c>
      <c r="G1102" t="s">
        <v>562</v>
      </c>
      <c r="H1102" t="s">
        <v>562</v>
      </c>
      <c r="I1102">
        <v>3971</v>
      </c>
      <c r="J1102" t="s">
        <v>564</v>
      </c>
      <c r="K1102" s="698">
        <v>45957.461111111108</v>
      </c>
      <c r="L1102" s="698">
        <v>45957.461111111108</v>
      </c>
      <c r="M1102" t="s">
        <v>565</v>
      </c>
      <c r="N1102" t="s">
        <v>565</v>
      </c>
      <c r="O1102" t="s">
        <v>566</v>
      </c>
      <c r="P1102" t="s">
        <v>567</v>
      </c>
      <c r="S1102" t="s">
        <v>567</v>
      </c>
      <c r="T1102" t="s">
        <v>567</v>
      </c>
      <c r="Z1102" t="s">
        <v>568</v>
      </c>
      <c r="AA1102" t="s">
        <v>568</v>
      </c>
    </row>
    <row r="1103" spans="1:27">
      <c r="A1103" t="s">
        <v>2913</v>
      </c>
      <c r="B1103" t="s">
        <v>2914</v>
      </c>
      <c r="C1103" t="s">
        <v>2915</v>
      </c>
      <c r="D1103" t="s">
        <v>2916</v>
      </c>
      <c r="E1103" t="s">
        <v>2918</v>
      </c>
      <c r="F1103" t="s">
        <v>562</v>
      </c>
      <c r="G1103" t="s">
        <v>562</v>
      </c>
      <c r="H1103" t="s">
        <v>562</v>
      </c>
      <c r="I1103">
        <v>3974</v>
      </c>
      <c r="J1103" t="s">
        <v>564</v>
      </c>
      <c r="K1103" s="698">
        <v>45957.461111111108</v>
      </c>
      <c r="L1103" s="698">
        <v>45957.461111111108</v>
      </c>
      <c r="M1103" t="s">
        <v>565</v>
      </c>
      <c r="N1103" t="s">
        <v>565</v>
      </c>
      <c r="O1103" t="s">
        <v>566</v>
      </c>
      <c r="P1103" t="s">
        <v>567</v>
      </c>
      <c r="S1103" t="s">
        <v>567</v>
      </c>
      <c r="T1103" t="s">
        <v>567</v>
      </c>
      <c r="Z1103" t="s">
        <v>568</v>
      </c>
      <c r="AA1103" t="s">
        <v>568</v>
      </c>
    </row>
    <row r="1104" spans="1:27">
      <c r="A1104" t="s">
        <v>2913</v>
      </c>
      <c r="B1104" t="s">
        <v>2919</v>
      </c>
      <c r="C1104" t="s">
        <v>2920</v>
      </c>
      <c r="D1104" t="s">
        <v>2916</v>
      </c>
      <c r="E1104" t="s">
        <v>2921</v>
      </c>
      <c r="F1104" t="s">
        <v>562</v>
      </c>
      <c r="G1104" t="s">
        <v>562</v>
      </c>
      <c r="H1104" t="s">
        <v>562</v>
      </c>
      <c r="I1104">
        <v>4530</v>
      </c>
      <c r="J1104" t="s">
        <v>564</v>
      </c>
      <c r="K1104" s="698">
        <v>45957.529861111114</v>
      </c>
      <c r="L1104" s="698">
        <v>45957.529861111114</v>
      </c>
      <c r="M1104" t="s">
        <v>565</v>
      </c>
      <c r="N1104" t="s">
        <v>565</v>
      </c>
      <c r="O1104" t="s">
        <v>566</v>
      </c>
      <c r="P1104" t="s">
        <v>567</v>
      </c>
      <c r="S1104" t="s">
        <v>567</v>
      </c>
      <c r="T1104" t="s">
        <v>567</v>
      </c>
      <c r="Z1104" t="s">
        <v>568</v>
      </c>
      <c r="AA1104" t="s">
        <v>568</v>
      </c>
    </row>
    <row r="1105" spans="1:27">
      <c r="A1105" t="s">
        <v>2913</v>
      </c>
      <c r="B1105" t="s">
        <v>2914</v>
      </c>
      <c r="C1105" t="s">
        <v>2915</v>
      </c>
      <c r="D1105" t="s">
        <v>2916</v>
      </c>
      <c r="E1105" t="s">
        <v>2922</v>
      </c>
      <c r="F1105" t="s">
        <v>562</v>
      </c>
      <c r="G1105" t="s">
        <v>562</v>
      </c>
      <c r="H1105" t="s">
        <v>562</v>
      </c>
      <c r="I1105">
        <v>4570</v>
      </c>
      <c r="J1105" t="s">
        <v>564</v>
      </c>
      <c r="K1105" s="698">
        <v>45957.534722222219</v>
      </c>
      <c r="L1105" s="698">
        <v>45957.534722222219</v>
      </c>
      <c r="M1105" t="s">
        <v>565</v>
      </c>
      <c r="N1105" t="s">
        <v>565</v>
      </c>
      <c r="O1105" t="s">
        <v>566</v>
      </c>
      <c r="P1105" t="s">
        <v>567</v>
      </c>
      <c r="S1105" t="s">
        <v>567</v>
      </c>
      <c r="T1105" t="s">
        <v>567</v>
      </c>
      <c r="Z1105" t="s">
        <v>568</v>
      </c>
      <c r="AA1105" t="s">
        <v>568</v>
      </c>
    </row>
    <row r="1106" spans="1:27">
      <c r="A1106" t="s">
        <v>2923</v>
      </c>
      <c r="B1106" t="s">
        <v>562</v>
      </c>
      <c r="C1106" t="s">
        <v>2924</v>
      </c>
      <c r="D1106" t="s">
        <v>2925</v>
      </c>
      <c r="E1106" t="s">
        <v>562</v>
      </c>
      <c r="F1106" t="s">
        <v>562</v>
      </c>
      <c r="G1106" t="s">
        <v>562</v>
      </c>
      <c r="H1106" t="s">
        <v>562</v>
      </c>
      <c r="I1106">
        <v>3542</v>
      </c>
      <c r="J1106" t="s">
        <v>564</v>
      </c>
      <c r="K1106" s="698">
        <v>45957.412499999999</v>
      </c>
      <c r="L1106" s="698">
        <v>45957.412499999999</v>
      </c>
      <c r="M1106" t="s">
        <v>565</v>
      </c>
      <c r="N1106" t="s">
        <v>565</v>
      </c>
      <c r="O1106" t="s">
        <v>566</v>
      </c>
      <c r="P1106" t="s">
        <v>567</v>
      </c>
      <c r="S1106" t="s">
        <v>567</v>
      </c>
      <c r="T1106" t="s">
        <v>567</v>
      </c>
      <c r="Z1106" t="s">
        <v>568</v>
      </c>
      <c r="AA1106" t="s">
        <v>568</v>
      </c>
    </row>
    <row r="1107" spans="1:27">
      <c r="A1107" t="s">
        <v>2926</v>
      </c>
      <c r="B1107" t="s">
        <v>2927</v>
      </c>
      <c r="C1107" t="s">
        <v>2928</v>
      </c>
      <c r="D1107" t="s">
        <v>562</v>
      </c>
      <c r="E1107" t="s">
        <v>2929</v>
      </c>
      <c r="F1107" t="s">
        <v>562</v>
      </c>
      <c r="G1107" t="s">
        <v>562</v>
      </c>
      <c r="H1107" t="s">
        <v>562</v>
      </c>
      <c r="I1107">
        <v>4748</v>
      </c>
      <c r="J1107" t="s">
        <v>564</v>
      </c>
      <c r="K1107" s="698">
        <v>45957.550694444442</v>
      </c>
      <c r="L1107" s="698">
        <v>45957.550694444442</v>
      </c>
      <c r="M1107" t="s">
        <v>565</v>
      </c>
      <c r="N1107" t="s">
        <v>565</v>
      </c>
      <c r="O1107" t="s">
        <v>566</v>
      </c>
      <c r="P1107" t="s">
        <v>567</v>
      </c>
      <c r="S1107" t="s">
        <v>567</v>
      </c>
      <c r="T1107" t="s">
        <v>567</v>
      </c>
      <c r="Z1107" t="s">
        <v>568</v>
      </c>
      <c r="AA1107" t="s">
        <v>568</v>
      </c>
    </row>
    <row r="1108" spans="1:27">
      <c r="A1108" t="s">
        <v>2930</v>
      </c>
      <c r="B1108" t="s">
        <v>562</v>
      </c>
      <c r="C1108" t="s">
        <v>562</v>
      </c>
      <c r="D1108" t="s">
        <v>2931</v>
      </c>
      <c r="E1108" t="s">
        <v>2932</v>
      </c>
      <c r="F1108" t="s">
        <v>562</v>
      </c>
      <c r="G1108" t="s">
        <v>562</v>
      </c>
      <c r="H1108" t="s">
        <v>562</v>
      </c>
      <c r="I1108">
        <v>4155</v>
      </c>
      <c r="J1108" t="s">
        <v>564</v>
      </c>
      <c r="K1108" s="698">
        <v>45957.48333333333</v>
      </c>
      <c r="L1108" s="698">
        <v>45957.48333333333</v>
      </c>
      <c r="M1108" t="s">
        <v>565</v>
      </c>
      <c r="N1108" t="s">
        <v>565</v>
      </c>
      <c r="O1108" t="s">
        <v>566</v>
      </c>
      <c r="P1108" t="s">
        <v>567</v>
      </c>
      <c r="S1108" t="s">
        <v>567</v>
      </c>
      <c r="T1108" t="s">
        <v>567</v>
      </c>
      <c r="Z1108" t="s">
        <v>568</v>
      </c>
      <c r="AA1108" t="s">
        <v>568</v>
      </c>
    </row>
    <row r="1109" spans="1:27">
      <c r="A1109" t="s">
        <v>2933</v>
      </c>
      <c r="B1109" t="s">
        <v>2933</v>
      </c>
      <c r="C1109" t="s">
        <v>2934</v>
      </c>
      <c r="D1109" t="s">
        <v>562</v>
      </c>
      <c r="E1109" t="s">
        <v>2935</v>
      </c>
      <c r="F1109" t="s">
        <v>562</v>
      </c>
      <c r="G1109" t="s">
        <v>562</v>
      </c>
      <c r="H1109" t="s">
        <v>562</v>
      </c>
      <c r="I1109">
        <v>4847</v>
      </c>
      <c r="J1109" t="s">
        <v>564</v>
      </c>
      <c r="K1109" s="698">
        <v>45957.553472222222</v>
      </c>
      <c r="L1109" s="698">
        <v>45957.553472222222</v>
      </c>
      <c r="M1109" t="s">
        <v>565</v>
      </c>
      <c r="N1109" t="s">
        <v>565</v>
      </c>
      <c r="O1109" t="s">
        <v>566</v>
      </c>
      <c r="P1109" t="s">
        <v>567</v>
      </c>
      <c r="S1109" t="s">
        <v>567</v>
      </c>
      <c r="T1109" t="s">
        <v>567</v>
      </c>
      <c r="Z1109" t="s">
        <v>568</v>
      </c>
      <c r="AA1109" t="s">
        <v>568</v>
      </c>
    </row>
    <row r="1110" spans="1:27">
      <c r="A1110" t="s">
        <v>2936</v>
      </c>
      <c r="B1110" t="s">
        <v>2936</v>
      </c>
      <c r="C1110" t="s">
        <v>2937</v>
      </c>
      <c r="D1110" t="s">
        <v>562</v>
      </c>
      <c r="E1110" t="s">
        <v>760</v>
      </c>
      <c r="F1110" t="s">
        <v>562</v>
      </c>
      <c r="G1110" t="s">
        <v>562</v>
      </c>
      <c r="H1110" t="s">
        <v>562</v>
      </c>
      <c r="I1110">
        <v>3681</v>
      </c>
      <c r="J1110" t="s">
        <v>564</v>
      </c>
      <c r="K1110" s="698">
        <v>45957.429166666669</v>
      </c>
      <c r="L1110" s="698">
        <v>45957.429166666669</v>
      </c>
      <c r="M1110" t="s">
        <v>565</v>
      </c>
      <c r="N1110" t="s">
        <v>565</v>
      </c>
      <c r="O1110" t="s">
        <v>566</v>
      </c>
      <c r="P1110" t="s">
        <v>567</v>
      </c>
      <c r="S1110" t="s">
        <v>567</v>
      </c>
      <c r="T1110" t="s">
        <v>567</v>
      </c>
      <c r="Z1110" t="s">
        <v>568</v>
      </c>
      <c r="AA1110" t="s">
        <v>568</v>
      </c>
    </row>
    <row r="1111" spans="1:27">
      <c r="A1111" t="s">
        <v>2938</v>
      </c>
      <c r="B1111" t="s">
        <v>2939</v>
      </c>
      <c r="C1111" t="s">
        <v>2940</v>
      </c>
      <c r="D1111" t="s">
        <v>562</v>
      </c>
      <c r="E1111" t="s">
        <v>2941</v>
      </c>
      <c r="F1111" t="s">
        <v>562</v>
      </c>
      <c r="G1111" t="s">
        <v>562</v>
      </c>
      <c r="H1111" t="s">
        <v>562</v>
      </c>
      <c r="I1111">
        <v>3986</v>
      </c>
      <c r="J1111" t="s">
        <v>564</v>
      </c>
      <c r="K1111" s="698">
        <v>45957.462500000001</v>
      </c>
      <c r="L1111" s="698">
        <v>45957.462500000001</v>
      </c>
      <c r="M1111" t="s">
        <v>565</v>
      </c>
      <c r="N1111" t="s">
        <v>565</v>
      </c>
      <c r="O1111" t="s">
        <v>566</v>
      </c>
      <c r="P1111" t="s">
        <v>567</v>
      </c>
      <c r="S1111" t="s">
        <v>567</v>
      </c>
      <c r="T1111" t="s">
        <v>567</v>
      </c>
      <c r="Z1111" t="s">
        <v>568</v>
      </c>
      <c r="AA1111" t="s">
        <v>568</v>
      </c>
    </row>
    <row r="1112" spans="1:27">
      <c r="A1112" t="s">
        <v>2942</v>
      </c>
      <c r="B1112" t="s">
        <v>2943</v>
      </c>
      <c r="C1112" t="s">
        <v>2944</v>
      </c>
      <c r="D1112" t="s">
        <v>2945</v>
      </c>
      <c r="E1112" t="s">
        <v>2946</v>
      </c>
      <c r="F1112" t="s">
        <v>562</v>
      </c>
      <c r="G1112" t="s">
        <v>562</v>
      </c>
      <c r="H1112" t="s">
        <v>562</v>
      </c>
      <c r="I1112">
        <v>4194</v>
      </c>
      <c r="J1112" t="s">
        <v>564</v>
      </c>
      <c r="K1112" s="698">
        <v>45957.488194444442</v>
      </c>
      <c r="L1112" s="698">
        <v>45957.488194444442</v>
      </c>
      <c r="M1112" t="s">
        <v>565</v>
      </c>
      <c r="N1112" t="s">
        <v>565</v>
      </c>
      <c r="O1112" t="s">
        <v>566</v>
      </c>
      <c r="P1112" t="s">
        <v>567</v>
      </c>
      <c r="S1112" t="s">
        <v>567</v>
      </c>
      <c r="T1112" t="s">
        <v>567</v>
      </c>
      <c r="Z1112" t="s">
        <v>568</v>
      </c>
      <c r="AA1112" t="s">
        <v>568</v>
      </c>
    </row>
    <row r="1113" spans="1:27">
      <c r="A1113" t="s">
        <v>2942</v>
      </c>
      <c r="B1113" t="s">
        <v>562</v>
      </c>
      <c r="C1113" t="s">
        <v>562</v>
      </c>
      <c r="D1113" t="s">
        <v>2945</v>
      </c>
      <c r="E1113" t="s">
        <v>2947</v>
      </c>
      <c r="F1113" t="s">
        <v>562</v>
      </c>
      <c r="G1113" t="s">
        <v>562</v>
      </c>
      <c r="H1113" t="s">
        <v>562</v>
      </c>
      <c r="I1113">
        <v>4207</v>
      </c>
      <c r="J1113" t="s">
        <v>564</v>
      </c>
      <c r="K1113" s="698">
        <v>45957.489583333336</v>
      </c>
      <c r="L1113" s="698">
        <v>45957.489583333336</v>
      </c>
      <c r="M1113" t="s">
        <v>565</v>
      </c>
      <c r="N1113" t="s">
        <v>565</v>
      </c>
      <c r="O1113" t="s">
        <v>566</v>
      </c>
      <c r="P1113" t="s">
        <v>567</v>
      </c>
      <c r="S1113" t="s">
        <v>567</v>
      </c>
      <c r="T1113" t="s">
        <v>567</v>
      </c>
      <c r="Z1113" t="s">
        <v>568</v>
      </c>
      <c r="AA1113" t="s">
        <v>568</v>
      </c>
    </row>
    <row r="1114" spans="1:27">
      <c r="A1114" t="s">
        <v>2948</v>
      </c>
      <c r="B1114" t="s">
        <v>2949</v>
      </c>
      <c r="C1114" t="s">
        <v>2950</v>
      </c>
      <c r="D1114" t="s">
        <v>562</v>
      </c>
      <c r="E1114" t="s">
        <v>2951</v>
      </c>
      <c r="F1114" t="s">
        <v>562</v>
      </c>
      <c r="G1114" t="s">
        <v>562</v>
      </c>
      <c r="H1114" t="s">
        <v>562</v>
      </c>
      <c r="I1114">
        <v>4137</v>
      </c>
      <c r="J1114" t="s">
        <v>564</v>
      </c>
      <c r="K1114" s="698">
        <v>45957.480555555558</v>
      </c>
      <c r="L1114" s="698">
        <v>45957.480555555558</v>
      </c>
      <c r="M1114" t="s">
        <v>565</v>
      </c>
      <c r="N1114" t="s">
        <v>565</v>
      </c>
      <c r="O1114" t="s">
        <v>566</v>
      </c>
      <c r="P1114" t="s">
        <v>567</v>
      </c>
      <c r="S1114" t="s">
        <v>567</v>
      </c>
      <c r="T1114" t="s">
        <v>567</v>
      </c>
      <c r="Z1114" t="s">
        <v>568</v>
      </c>
      <c r="AA1114" t="s">
        <v>568</v>
      </c>
    </row>
    <row r="1115" spans="1:27">
      <c r="A1115" t="s">
        <v>2952</v>
      </c>
      <c r="B1115" t="s">
        <v>562</v>
      </c>
      <c r="C1115" t="s">
        <v>2953</v>
      </c>
      <c r="D1115" t="s">
        <v>2954</v>
      </c>
      <c r="E1115" t="s">
        <v>562</v>
      </c>
      <c r="F1115" t="s">
        <v>562</v>
      </c>
      <c r="G1115" t="s">
        <v>562</v>
      </c>
      <c r="H1115" t="s">
        <v>562</v>
      </c>
      <c r="I1115">
        <v>3543</v>
      </c>
      <c r="J1115" t="s">
        <v>564</v>
      </c>
      <c r="K1115" s="698">
        <v>45957.413888888892</v>
      </c>
      <c r="L1115" s="698">
        <v>45957.413888888892</v>
      </c>
      <c r="M1115" t="s">
        <v>565</v>
      </c>
      <c r="N1115" t="s">
        <v>565</v>
      </c>
      <c r="O1115" t="s">
        <v>566</v>
      </c>
      <c r="P1115" t="s">
        <v>567</v>
      </c>
      <c r="S1115" t="s">
        <v>567</v>
      </c>
      <c r="T1115" t="s">
        <v>567</v>
      </c>
      <c r="Z1115" t="s">
        <v>568</v>
      </c>
      <c r="AA1115" t="s">
        <v>568</v>
      </c>
    </row>
    <row r="1116" spans="1:27">
      <c r="A1116" t="s">
        <v>2955</v>
      </c>
      <c r="B1116" t="s">
        <v>2956</v>
      </c>
      <c r="C1116" t="s">
        <v>2957</v>
      </c>
      <c r="D1116" t="s">
        <v>562</v>
      </c>
      <c r="E1116" t="s">
        <v>2958</v>
      </c>
      <c r="F1116" t="s">
        <v>562</v>
      </c>
      <c r="G1116" t="s">
        <v>562</v>
      </c>
      <c r="H1116" t="s">
        <v>562</v>
      </c>
      <c r="I1116">
        <v>4871</v>
      </c>
      <c r="J1116" t="s">
        <v>564</v>
      </c>
      <c r="K1116" s="698">
        <v>45957.554166666669</v>
      </c>
      <c r="L1116" s="698">
        <v>45957.554166666669</v>
      </c>
      <c r="M1116" t="s">
        <v>565</v>
      </c>
      <c r="N1116" t="s">
        <v>565</v>
      </c>
      <c r="O1116" t="s">
        <v>566</v>
      </c>
      <c r="P1116" t="s">
        <v>567</v>
      </c>
      <c r="S1116" t="s">
        <v>567</v>
      </c>
      <c r="T1116" t="s">
        <v>567</v>
      </c>
      <c r="Z1116" t="s">
        <v>568</v>
      </c>
      <c r="AA1116" t="s">
        <v>568</v>
      </c>
    </row>
    <row r="1117" spans="1:27">
      <c r="A1117" t="s">
        <v>2959</v>
      </c>
      <c r="B1117" t="s">
        <v>2960</v>
      </c>
      <c r="C1117" t="s">
        <v>562</v>
      </c>
      <c r="D1117" t="s">
        <v>2961</v>
      </c>
      <c r="E1117" t="s">
        <v>2962</v>
      </c>
      <c r="F1117" t="s">
        <v>562</v>
      </c>
      <c r="G1117" t="s">
        <v>562</v>
      </c>
      <c r="H1117" t="s">
        <v>562</v>
      </c>
      <c r="I1117">
        <v>4996</v>
      </c>
      <c r="J1117" t="s">
        <v>564</v>
      </c>
      <c r="K1117" s="698">
        <v>45957.558333333334</v>
      </c>
      <c r="L1117" s="698">
        <v>45957.558333333334</v>
      </c>
      <c r="M1117" t="s">
        <v>565</v>
      </c>
      <c r="N1117" t="s">
        <v>565</v>
      </c>
      <c r="O1117" t="s">
        <v>566</v>
      </c>
      <c r="P1117" t="s">
        <v>567</v>
      </c>
      <c r="S1117" t="s">
        <v>567</v>
      </c>
      <c r="T1117" t="s">
        <v>567</v>
      </c>
      <c r="Z1117" t="s">
        <v>568</v>
      </c>
      <c r="AA1117" t="s">
        <v>568</v>
      </c>
    </row>
    <row r="1118" spans="1:27">
      <c r="A1118" t="s">
        <v>2963</v>
      </c>
      <c r="B1118" t="s">
        <v>732</v>
      </c>
      <c r="C1118" t="s">
        <v>2964</v>
      </c>
      <c r="D1118" t="s">
        <v>562</v>
      </c>
      <c r="E1118" t="s">
        <v>2965</v>
      </c>
      <c r="F1118" t="s">
        <v>562</v>
      </c>
      <c r="G1118" t="s">
        <v>562</v>
      </c>
      <c r="H1118" t="s">
        <v>562</v>
      </c>
      <c r="I1118">
        <v>4013</v>
      </c>
      <c r="J1118" t="s">
        <v>564</v>
      </c>
      <c r="K1118" s="698">
        <v>45957.46597222222</v>
      </c>
      <c r="L1118" s="698">
        <v>45957.46597222222</v>
      </c>
      <c r="M1118" t="s">
        <v>565</v>
      </c>
      <c r="N1118" t="s">
        <v>565</v>
      </c>
      <c r="O1118" t="s">
        <v>566</v>
      </c>
      <c r="P1118" t="s">
        <v>567</v>
      </c>
      <c r="S1118" t="s">
        <v>567</v>
      </c>
      <c r="T1118" t="s">
        <v>567</v>
      </c>
      <c r="Z1118" t="s">
        <v>568</v>
      </c>
      <c r="AA1118" t="s">
        <v>568</v>
      </c>
    </row>
    <row r="1119" spans="1:27">
      <c r="A1119" t="s">
        <v>2966</v>
      </c>
      <c r="B1119" t="s">
        <v>2967</v>
      </c>
      <c r="C1119" t="s">
        <v>562</v>
      </c>
      <c r="D1119" t="s">
        <v>562</v>
      </c>
      <c r="E1119" t="s">
        <v>2968</v>
      </c>
      <c r="F1119" t="s">
        <v>562</v>
      </c>
      <c r="G1119" t="s">
        <v>562</v>
      </c>
      <c r="H1119" t="s">
        <v>562</v>
      </c>
      <c r="I1119">
        <v>3725</v>
      </c>
      <c r="J1119" t="s">
        <v>564</v>
      </c>
      <c r="K1119" s="698">
        <v>45957.434027777781</v>
      </c>
      <c r="L1119" s="698">
        <v>45957.434027777781</v>
      </c>
      <c r="M1119" t="s">
        <v>565</v>
      </c>
      <c r="N1119" t="s">
        <v>565</v>
      </c>
      <c r="O1119" t="s">
        <v>566</v>
      </c>
      <c r="P1119" t="s">
        <v>567</v>
      </c>
      <c r="S1119" t="s">
        <v>567</v>
      </c>
      <c r="T1119" t="s">
        <v>567</v>
      </c>
      <c r="Z1119" t="s">
        <v>568</v>
      </c>
      <c r="AA1119" t="s">
        <v>568</v>
      </c>
    </row>
    <row r="1120" spans="1:27">
      <c r="A1120" t="s">
        <v>2966</v>
      </c>
      <c r="B1120" t="s">
        <v>2967</v>
      </c>
      <c r="C1120" t="s">
        <v>562</v>
      </c>
      <c r="D1120" t="s">
        <v>562</v>
      </c>
      <c r="E1120" t="s">
        <v>2969</v>
      </c>
      <c r="F1120" t="s">
        <v>562</v>
      </c>
      <c r="G1120" t="s">
        <v>562</v>
      </c>
      <c r="H1120" t="s">
        <v>562</v>
      </c>
      <c r="I1120">
        <v>4707</v>
      </c>
      <c r="J1120" t="s">
        <v>564</v>
      </c>
      <c r="K1120" s="698">
        <v>45957.549305555556</v>
      </c>
      <c r="L1120" s="698">
        <v>45957.549305555556</v>
      </c>
      <c r="M1120" t="s">
        <v>565</v>
      </c>
      <c r="N1120" t="s">
        <v>565</v>
      </c>
      <c r="O1120" t="s">
        <v>566</v>
      </c>
      <c r="P1120" t="s">
        <v>567</v>
      </c>
      <c r="S1120" t="s">
        <v>567</v>
      </c>
      <c r="T1120" t="s">
        <v>567</v>
      </c>
      <c r="Z1120" t="s">
        <v>568</v>
      </c>
      <c r="AA1120" t="s">
        <v>568</v>
      </c>
    </row>
    <row r="1121" spans="1:27">
      <c r="A1121" t="s">
        <v>2970</v>
      </c>
      <c r="B1121" t="s">
        <v>562</v>
      </c>
      <c r="C1121" t="s">
        <v>2971</v>
      </c>
      <c r="D1121" t="s">
        <v>2972</v>
      </c>
      <c r="E1121" t="s">
        <v>562</v>
      </c>
      <c r="F1121" t="s">
        <v>562</v>
      </c>
      <c r="G1121" t="s">
        <v>562</v>
      </c>
      <c r="H1121" t="s">
        <v>562</v>
      </c>
      <c r="I1121">
        <v>3544</v>
      </c>
      <c r="J1121" t="s">
        <v>564</v>
      </c>
      <c r="K1121" s="698">
        <v>45957.413888888892</v>
      </c>
      <c r="L1121" s="698">
        <v>45957.413888888892</v>
      </c>
      <c r="M1121" t="s">
        <v>565</v>
      </c>
      <c r="N1121" t="s">
        <v>565</v>
      </c>
      <c r="O1121" t="s">
        <v>566</v>
      </c>
      <c r="P1121" t="s">
        <v>567</v>
      </c>
      <c r="S1121" t="s">
        <v>567</v>
      </c>
      <c r="T1121" t="s">
        <v>567</v>
      </c>
      <c r="Z1121" t="s">
        <v>568</v>
      </c>
      <c r="AA1121" t="s">
        <v>568</v>
      </c>
    </row>
    <row r="1122" spans="1:27">
      <c r="A1122" t="s">
        <v>2973</v>
      </c>
      <c r="B1122" t="s">
        <v>562</v>
      </c>
      <c r="C1122" t="s">
        <v>562</v>
      </c>
      <c r="D1122" t="s">
        <v>2974</v>
      </c>
      <c r="E1122" t="s">
        <v>2975</v>
      </c>
      <c r="F1122" t="s">
        <v>562</v>
      </c>
      <c r="G1122" t="s">
        <v>562</v>
      </c>
      <c r="H1122" t="s">
        <v>562</v>
      </c>
      <c r="I1122">
        <v>4350</v>
      </c>
      <c r="J1122" t="s">
        <v>564</v>
      </c>
      <c r="K1122" s="698">
        <v>45957.508333333331</v>
      </c>
      <c r="L1122" s="698">
        <v>45957.508333333331</v>
      </c>
      <c r="M1122" t="s">
        <v>565</v>
      </c>
      <c r="N1122" t="s">
        <v>565</v>
      </c>
      <c r="O1122" t="s">
        <v>566</v>
      </c>
      <c r="P1122" t="s">
        <v>567</v>
      </c>
      <c r="S1122" t="s">
        <v>567</v>
      </c>
      <c r="T1122" t="s">
        <v>567</v>
      </c>
      <c r="Z1122" t="s">
        <v>568</v>
      </c>
      <c r="AA1122" t="s">
        <v>568</v>
      </c>
    </row>
    <row r="1123" spans="1:27">
      <c r="A1123" t="s">
        <v>2976</v>
      </c>
      <c r="B1123" t="s">
        <v>2977</v>
      </c>
      <c r="C1123" t="s">
        <v>2978</v>
      </c>
      <c r="D1123" t="s">
        <v>2979</v>
      </c>
      <c r="E1123" t="s">
        <v>2980</v>
      </c>
      <c r="F1123" t="s">
        <v>562</v>
      </c>
      <c r="G1123" t="s">
        <v>562</v>
      </c>
      <c r="H1123" t="s">
        <v>562</v>
      </c>
      <c r="I1123">
        <v>3844</v>
      </c>
      <c r="J1123" t="s">
        <v>564</v>
      </c>
      <c r="K1123" s="698">
        <v>45957.446527777778</v>
      </c>
      <c r="L1123" s="698">
        <v>45957.446527777778</v>
      </c>
      <c r="M1123" t="s">
        <v>565</v>
      </c>
      <c r="N1123" t="s">
        <v>565</v>
      </c>
      <c r="O1123" t="s">
        <v>566</v>
      </c>
      <c r="P1123" t="s">
        <v>567</v>
      </c>
      <c r="S1123" t="s">
        <v>567</v>
      </c>
      <c r="T1123" t="s">
        <v>567</v>
      </c>
      <c r="Z1123" t="s">
        <v>568</v>
      </c>
      <c r="AA1123" t="s">
        <v>568</v>
      </c>
    </row>
    <row r="1124" spans="1:27">
      <c r="A1124" t="s">
        <v>2981</v>
      </c>
      <c r="B1124" t="s">
        <v>2982</v>
      </c>
      <c r="C1124" t="s">
        <v>2983</v>
      </c>
      <c r="D1124" t="s">
        <v>2984</v>
      </c>
      <c r="E1124" t="s">
        <v>2985</v>
      </c>
      <c r="F1124" t="s">
        <v>562</v>
      </c>
      <c r="G1124" t="s">
        <v>562</v>
      </c>
      <c r="H1124" t="s">
        <v>562</v>
      </c>
      <c r="I1124">
        <v>4205</v>
      </c>
      <c r="J1124" t="s">
        <v>564</v>
      </c>
      <c r="K1124" s="698">
        <v>45957.488888888889</v>
      </c>
      <c r="L1124" s="698">
        <v>45957.488888888889</v>
      </c>
      <c r="M1124" t="s">
        <v>565</v>
      </c>
      <c r="N1124" t="s">
        <v>565</v>
      </c>
      <c r="O1124" t="s">
        <v>566</v>
      </c>
      <c r="P1124" t="s">
        <v>567</v>
      </c>
      <c r="S1124" t="s">
        <v>567</v>
      </c>
      <c r="T1124" t="s">
        <v>567</v>
      </c>
      <c r="Z1124" t="s">
        <v>568</v>
      </c>
      <c r="AA1124" t="s">
        <v>568</v>
      </c>
    </row>
    <row r="1125" spans="1:27">
      <c r="A1125" t="s">
        <v>2986</v>
      </c>
      <c r="B1125" t="s">
        <v>2894</v>
      </c>
      <c r="C1125" t="s">
        <v>2895</v>
      </c>
      <c r="D1125" t="s">
        <v>2896</v>
      </c>
      <c r="E1125" t="s">
        <v>2987</v>
      </c>
      <c r="F1125" t="s">
        <v>562</v>
      </c>
      <c r="G1125" t="s">
        <v>562</v>
      </c>
      <c r="H1125" t="s">
        <v>562</v>
      </c>
      <c r="I1125">
        <v>4741</v>
      </c>
      <c r="J1125" t="s">
        <v>564</v>
      </c>
      <c r="K1125" s="698">
        <v>45957.550694444442</v>
      </c>
      <c r="L1125" s="698">
        <v>45957.550694444442</v>
      </c>
      <c r="M1125" t="s">
        <v>565</v>
      </c>
      <c r="N1125" t="s">
        <v>565</v>
      </c>
      <c r="O1125" t="s">
        <v>566</v>
      </c>
      <c r="P1125" t="s">
        <v>567</v>
      </c>
      <c r="S1125" t="s">
        <v>567</v>
      </c>
      <c r="T1125" t="s">
        <v>567</v>
      </c>
      <c r="Z1125" t="s">
        <v>568</v>
      </c>
      <c r="AA1125" t="s">
        <v>568</v>
      </c>
    </row>
    <row r="1126" spans="1:27">
      <c r="A1126" t="s">
        <v>2986</v>
      </c>
      <c r="B1126" t="s">
        <v>2988</v>
      </c>
      <c r="C1126" t="s">
        <v>2989</v>
      </c>
      <c r="D1126" t="s">
        <v>562</v>
      </c>
      <c r="E1126" t="s">
        <v>2990</v>
      </c>
      <c r="F1126" t="s">
        <v>562</v>
      </c>
      <c r="G1126" t="s">
        <v>562</v>
      </c>
      <c r="H1126" t="s">
        <v>562</v>
      </c>
      <c r="I1126">
        <v>5141</v>
      </c>
      <c r="J1126" t="s">
        <v>564</v>
      </c>
      <c r="K1126" s="698">
        <v>45957.5625</v>
      </c>
      <c r="L1126" s="698">
        <v>45957.5625</v>
      </c>
      <c r="M1126" t="s">
        <v>565</v>
      </c>
      <c r="N1126" t="s">
        <v>565</v>
      </c>
      <c r="O1126" t="s">
        <v>566</v>
      </c>
      <c r="P1126" t="s">
        <v>567</v>
      </c>
      <c r="S1126" t="s">
        <v>567</v>
      </c>
      <c r="T1126" t="s">
        <v>567</v>
      </c>
      <c r="Z1126" t="s">
        <v>568</v>
      </c>
      <c r="AA1126" t="s">
        <v>568</v>
      </c>
    </row>
    <row r="1127" spans="1:27">
      <c r="A1127" t="s">
        <v>2991</v>
      </c>
      <c r="B1127" t="s">
        <v>2992</v>
      </c>
      <c r="C1127" t="s">
        <v>2993</v>
      </c>
      <c r="D1127" t="s">
        <v>2994</v>
      </c>
      <c r="E1127" t="s">
        <v>2995</v>
      </c>
      <c r="F1127" t="s">
        <v>562</v>
      </c>
      <c r="G1127" t="s">
        <v>562</v>
      </c>
      <c r="H1127" t="s">
        <v>562</v>
      </c>
      <c r="I1127">
        <v>3545</v>
      </c>
      <c r="J1127" t="s">
        <v>564</v>
      </c>
      <c r="K1127" s="698">
        <v>45957.413888888892</v>
      </c>
      <c r="L1127" s="698">
        <v>45957.413888888892</v>
      </c>
      <c r="M1127" t="s">
        <v>565</v>
      </c>
      <c r="N1127" t="s">
        <v>565</v>
      </c>
      <c r="O1127" t="s">
        <v>566</v>
      </c>
      <c r="P1127" t="s">
        <v>567</v>
      </c>
      <c r="S1127" t="s">
        <v>567</v>
      </c>
      <c r="T1127" t="s">
        <v>567</v>
      </c>
      <c r="Z1127" t="s">
        <v>568</v>
      </c>
      <c r="AA1127" t="s">
        <v>568</v>
      </c>
    </row>
    <row r="1128" spans="1:27">
      <c r="A1128" t="s">
        <v>2996</v>
      </c>
      <c r="B1128" t="s">
        <v>562</v>
      </c>
      <c r="C1128" t="s">
        <v>2997</v>
      </c>
      <c r="D1128" t="s">
        <v>2998</v>
      </c>
      <c r="E1128" t="s">
        <v>562</v>
      </c>
      <c r="F1128" t="s">
        <v>562</v>
      </c>
      <c r="G1128" t="s">
        <v>562</v>
      </c>
      <c r="H1128" t="s">
        <v>562</v>
      </c>
      <c r="I1128">
        <v>3546</v>
      </c>
      <c r="J1128" t="s">
        <v>564</v>
      </c>
      <c r="K1128" s="698">
        <v>45957.414583333331</v>
      </c>
      <c r="L1128" s="698">
        <v>45957.414583333331</v>
      </c>
      <c r="M1128" t="s">
        <v>565</v>
      </c>
      <c r="N1128" t="s">
        <v>565</v>
      </c>
      <c r="O1128" t="s">
        <v>566</v>
      </c>
      <c r="P1128" t="s">
        <v>567</v>
      </c>
      <c r="S1128" t="s">
        <v>567</v>
      </c>
      <c r="T1128" t="s">
        <v>567</v>
      </c>
      <c r="Z1128" t="s">
        <v>568</v>
      </c>
      <c r="AA1128" t="s">
        <v>568</v>
      </c>
    </row>
    <row r="1129" spans="1:27">
      <c r="A1129" t="s">
        <v>2999</v>
      </c>
      <c r="B1129" t="s">
        <v>3000</v>
      </c>
      <c r="C1129" t="s">
        <v>3001</v>
      </c>
      <c r="D1129" t="s">
        <v>562</v>
      </c>
      <c r="E1129" t="s">
        <v>3002</v>
      </c>
      <c r="F1129" t="s">
        <v>562</v>
      </c>
      <c r="G1129" t="s">
        <v>562</v>
      </c>
      <c r="H1129" t="s">
        <v>562</v>
      </c>
      <c r="I1129">
        <v>4579</v>
      </c>
      <c r="J1129" t="s">
        <v>564</v>
      </c>
      <c r="K1129" s="698">
        <v>45957.536111111112</v>
      </c>
      <c r="L1129" s="698">
        <v>45957.536111111112</v>
      </c>
      <c r="M1129" t="s">
        <v>565</v>
      </c>
      <c r="N1129" t="s">
        <v>565</v>
      </c>
      <c r="O1129" t="s">
        <v>566</v>
      </c>
      <c r="P1129" t="s">
        <v>567</v>
      </c>
      <c r="S1129" t="s">
        <v>567</v>
      </c>
      <c r="T1129" t="s">
        <v>567</v>
      </c>
      <c r="Z1129" t="s">
        <v>568</v>
      </c>
      <c r="AA1129" t="s">
        <v>568</v>
      </c>
    </row>
    <row r="1130" spans="1:27">
      <c r="A1130" t="s">
        <v>3003</v>
      </c>
      <c r="B1130" t="s">
        <v>3004</v>
      </c>
      <c r="C1130" t="s">
        <v>3005</v>
      </c>
      <c r="D1130" t="s">
        <v>3006</v>
      </c>
      <c r="E1130" t="s">
        <v>3007</v>
      </c>
      <c r="F1130" t="s">
        <v>562</v>
      </c>
      <c r="G1130" t="s">
        <v>562</v>
      </c>
      <c r="H1130" t="s">
        <v>562</v>
      </c>
      <c r="I1130">
        <v>3989</v>
      </c>
      <c r="J1130" t="s">
        <v>564</v>
      </c>
      <c r="K1130" s="698">
        <v>45957.463194444441</v>
      </c>
      <c r="L1130" s="698">
        <v>45957.463194444441</v>
      </c>
      <c r="M1130" t="s">
        <v>565</v>
      </c>
      <c r="N1130" t="s">
        <v>565</v>
      </c>
      <c r="O1130" t="s">
        <v>566</v>
      </c>
      <c r="P1130" t="s">
        <v>567</v>
      </c>
      <c r="S1130" t="s">
        <v>567</v>
      </c>
      <c r="T1130" t="s">
        <v>567</v>
      </c>
      <c r="Z1130" t="s">
        <v>568</v>
      </c>
      <c r="AA1130" t="s">
        <v>568</v>
      </c>
    </row>
    <row r="1131" spans="1:27">
      <c r="A1131" t="s">
        <v>3008</v>
      </c>
      <c r="B1131" t="s">
        <v>3009</v>
      </c>
      <c r="C1131" t="s">
        <v>3010</v>
      </c>
      <c r="D1131" t="s">
        <v>562</v>
      </c>
      <c r="E1131" t="s">
        <v>3011</v>
      </c>
      <c r="F1131" t="s">
        <v>562</v>
      </c>
      <c r="G1131" t="s">
        <v>562</v>
      </c>
      <c r="H1131" t="s">
        <v>562</v>
      </c>
      <c r="I1131">
        <v>5147</v>
      </c>
      <c r="J1131" t="s">
        <v>564</v>
      </c>
      <c r="K1131" s="698">
        <v>45957.5625</v>
      </c>
      <c r="L1131" s="698">
        <v>45957.5625</v>
      </c>
      <c r="M1131" t="s">
        <v>565</v>
      </c>
      <c r="N1131" t="s">
        <v>565</v>
      </c>
      <c r="O1131" t="s">
        <v>566</v>
      </c>
      <c r="P1131" t="s">
        <v>567</v>
      </c>
      <c r="S1131" t="s">
        <v>567</v>
      </c>
      <c r="T1131" t="s">
        <v>567</v>
      </c>
      <c r="Z1131" t="s">
        <v>568</v>
      </c>
      <c r="AA1131" t="s">
        <v>568</v>
      </c>
    </row>
    <row r="1132" spans="1:27">
      <c r="A1132" t="s">
        <v>3012</v>
      </c>
      <c r="B1132" t="s">
        <v>3013</v>
      </c>
      <c r="C1132" t="s">
        <v>3014</v>
      </c>
      <c r="D1132" t="s">
        <v>562</v>
      </c>
      <c r="E1132" t="s">
        <v>3015</v>
      </c>
      <c r="F1132" t="s">
        <v>562</v>
      </c>
      <c r="G1132" t="s">
        <v>562</v>
      </c>
      <c r="H1132" t="s">
        <v>562</v>
      </c>
      <c r="I1132">
        <v>5018</v>
      </c>
      <c r="J1132" t="s">
        <v>564</v>
      </c>
      <c r="K1132" s="698">
        <v>45957.559027777781</v>
      </c>
      <c r="L1132" s="698">
        <v>45957.559027777781</v>
      </c>
      <c r="M1132" t="s">
        <v>565</v>
      </c>
      <c r="N1132" t="s">
        <v>565</v>
      </c>
      <c r="O1132" t="s">
        <v>566</v>
      </c>
      <c r="P1132" t="s">
        <v>567</v>
      </c>
      <c r="S1132" t="s">
        <v>567</v>
      </c>
      <c r="T1132" t="s">
        <v>567</v>
      </c>
      <c r="Z1132" t="s">
        <v>568</v>
      </c>
      <c r="AA1132" t="s">
        <v>568</v>
      </c>
    </row>
    <row r="1133" spans="1:27">
      <c r="A1133" t="s">
        <v>3016</v>
      </c>
      <c r="B1133" t="s">
        <v>3017</v>
      </c>
      <c r="C1133" t="s">
        <v>3018</v>
      </c>
      <c r="D1133" t="s">
        <v>3019</v>
      </c>
      <c r="E1133" t="s">
        <v>3020</v>
      </c>
      <c r="F1133" t="s">
        <v>562</v>
      </c>
      <c r="G1133" t="s">
        <v>562</v>
      </c>
      <c r="H1133" t="s">
        <v>562</v>
      </c>
      <c r="I1133">
        <v>3584</v>
      </c>
      <c r="J1133" t="s">
        <v>564</v>
      </c>
      <c r="K1133" s="698">
        <v>45957.418749999997</v>
      </c>
      <c r="L1133" s="698">
        <v>45957.418749999997</v>
      </c>
      <c r="M1133" t="s">
        <v>565</v>
      </c>
      <c r="N1133" t="s">
        <v>565</v>
      </c>
      <c r="O1133" t="s">
        <v>566</v>
      </c>
      <c r="P1133" t="s">
        <v>567</v>
      </c>
      <c r="S1133" t="s">
        <v>567</v>
      </c>
      <c r="T1133" t="s">
        <v>567</v>
      </c>
      <c r="Z1133" t="s">
        <v>568</v>
      </c>
      <c r="AA1133" t="s">
        <v>568</v>
      </c>
    </row>
    <row r="1134" spans="1:27">
      <c r="A1134" t="s">
        <v>3016</v>
      </c>
      <c r="B1134" t="s">
        <v>3021</v>
      </c>
      <c r="C1134" t="s">
        <v>3022</v>
      </c>
      <c r="D1134" t="s">
        <v>3019</v>
      </c>
      <c r="E1134" t="s">
        <v>3023</v>
      </c>
      <c r="F1134" t="s">
        <v>562</v>
      </c>
      <c r="G1134" t="s">
        <v>562</v>
      </c>
      <c r="H1134" t="s">
        <v>562</v>
      </c>
      <c r="I1134">
        <v>4141</v>
      </c>
      <c r="J1134" t="s">
        <v>564</v>
      </c>
      <c r="K1134" s="698">
        <v>45957.481249999997</v>
      </c>
      <c r="L1134" s="698">
        <v>45957.481249999997</v>
      </c>
      <c r="M1134" t="s">
        <v>565</v>
      </c>
      <c r="N1134" t="s">
        <v>565</v>
      </c>
      <c r="O1134" t="s">
        <v>566</v>
      </c>
      <c r="P1134" t="s">
        <v>567</v>
      </c>
      <c r="S1134" t="s">
        <v>567</v>
      </c>
      <c r="T1134" t="s">
        <v>567</v>
      </c>
      <c r="Z1134" t="s">
        <v>568</v>
      </c>
      <c r="AA1134" t="s">
        <v>568</v>
      </c>
    </row>
    <row r="1135" spans="1:27">
      <c r="A1135" t="s">
        <v>3024</v>
      </c>
      <c r="B1135" t="s">
        <v>3025</v>
      </c>
      <c r="C1135" t="s">
        <v>3026</v>
      </c>
      <c r="D1135" t="s">
        <v>3027</v>
      </c>
      <c r="E1135" t="s">
        <v>3028</v>
      </c>
      <c r="F1135" t="s">
        <v>562</v>
      </c>
      <c r="G1135" t="s">
        <v>562</v>
      </c>
      <c r="H1135" t="s">
        <v>562</v>
      </c>
      <c r="I1135">
        <v>4599</v>
      </c>
      <c r="J1135" t="s">
        <v>564</v>
      </c>
      <c r="K1135" s="698">
        <v>45957.538194444445</v>
      </c>
      <c r="L1135" s="698">
        <v>45957.538194444445</v>
      </c>
      <c r="M1135" t="s">
        <v>565</v>
      </c>
      <c r="N1135" t="s">
        <v>565</v>
      </c>
      <c r="O1135" t="s">
        <v>566</v>
      </c>
      <c r="P1135" t="s">
        <v>567</v>
      </c>
      <c r="S1135" t="s">
        <v>567</v>
      </c>
      <c r="T1135" t="s">
        <v>567</v>
      </c>
      <c r="Z1135" t="s">
        <v>568</v>
      </c>
      <c r="AA1135" t="s">
        <v>568</v>
      </c>
    </row>
    <row r="1136" spans="1:27">
      <c r="A1136" t="s">
        <v>3024</v>
      </c>
      <c r="B1136" t="s">
        <v>3029</v>
      </c>
      <c r="C1136" t="s">
        <v>3030</v>
      </c>
      <c r="D1136" t="s">
        <v>3027</v>
      </c>
      <c r="E1136" t="s">
        <v>3031</v>
      </c>
      <c r="F1136" t="s">
        <v>562</v>
      </c>
      <c r="G1136" t="s">
        <v>562</v>
      </c>
      <c r="H1136" t="s">
        <v>562</v>
      </c>
      <c r="I1136">
        <v>4611</v>
      </c>
      <c r="J1136" t="s">
        <v>564</v>
      </c>
      <c r="K1136" s="698">
        <v>45957.539583333331</v>
      </c>
      <c r="L1136" s="698">
        <v>45957.539583333331</v>
      </c>
      <c r="M1136" t="s">
        <v>565</v>
      </c>
      <c r="N1136" t="s">
        <v>565</v>
      </c>
      <c r="O1136" t="s">
        <v>566</v>
      </c>
      <c r="P1136" t="s">
        <v>567</v>
      </c>
      <c r="S1136" t="s">
        <v>567</v>
      </c>
      <c r="T1136" t="s">
        <v>567</v>
      </c>
      <c r="Z1136" t="s">
        <v>568</v>
      </c>
      <c r="AA1136" t="s">
        <v>568</v>
      </c>
    </row>
    <row r="1137" spans="1:27">
      <c r="A1137" t="s">
        <v>3032</v>
      </c>
      <c r="B1137" t="s">
        <v>3033</v>
      </c>
      <c r="C1137" t="s">
        <v>3034</v>
      </c>
      <c r="D1137" t="s">
        <v>562</v>
      </c>
      <c r="E1137" t="s">
        <v>3035</v>
      </c>
      <c r="F1137" t="s">
        <v>562</v>
      </c>
      <c r="G1137" t="s">
        <v>562</v>
      </c>
      <c r="H1137" t="s">
        <v>562</v>
      </c>
      <c r="I1137">
        <v>4929</v>
      </c>
      <c r="J1137" t="s">
        <v>564</v>
      </c>
      <c r="K1137" s="698">
        <v>45957.556250000001</v>
      </c>
      <c r="L1137" s="698">
        <v>45957.556250000001</v>
      </c>
      <c r="M1137" t="s">
        <v>565</v>
      </c>
      <c r="N1137" t="s">
        <v>565</v>
      </c>
      <c r="O1137" t="s">
        <v>566</v>
      </c>
      <c r="P1137" t="s">
        <v>567</v>
      </c>
      <c r="S1137" t="s">
        <v>567</v>
      </c>
      <c r="T1137" t="s">
        <v>567</v>
      </c>
      <c r="Z1137" t="s">
        <v>568</v>
      </c>
      <c r="AA1137" t="s">
        <v>568</v>
      </c>
    </row>
    <row r="1138" spans="1:27">
      <c r="A1138" t="s">
        <v>3036</v>
      </c>
      <c r="B1138" t="s">
        <v>3037</v>
      </c>
      <c r="C1138" t="s">
        <v>3038</v>
      </c>
      <c r="D1138" t="s">
        <v>562</v>
      </c>
      <c r="E1138" t="s">
        <v>3039</v>
      </c>
      <c r="F1138" t="s">
        <v>562</v>
      </c>
      <c r="G1138" t="s">
        <v>562</v>
      </c>
      <c r="H1138" t="s">
        <v>562</v>
      </c>
      <c r="I1138">
        <v>5184</v>
      </c>
      <c r="J1138" t="s">
        <v>564</v>
      </c>
      <c r="K1138" s="698">
        <v>45957.563888888886</v>
      </c>
      <c r="L1138" s="698">
        <v>45957.563888888886</v>
      </c>
      <c r="M1138" t="s">
        <v>565</v>
      </c>
      <c r="N1138" t="s">
        <v>565</v>
      </c>
      <c r="O1138" t="s">
        <v>566</v>
      </c>
      <c r="P1138" t="s">
        <v>567</v>
      </c>
      <c r="S1138" t="s">
        <v>567</v>
      </c>
      <c r="T1138" t="s">
        <v>567</v>
      </c>
      <c r="Z1138" t="s">
        <v>568</v>
      </c>
      <c r="AA1138" t="s">
        <v>568</v>
      </c>
    </row>
    <row r="1139" spans="1:27">
      <c r="A1139" t="s">
        <v>3040</v>
      </c>
      <c r="B1139" t="s">
        <v>3040</v>
      </c>
      <c r="C1139" t="s">
        <v>562</v>
      </c>
      <c r="D1139" t="s">
        <v>3041</v>
      </c>
      <c r="E1139" t="s">
        <v>3042</v>
      </c>
      <c r="F1139" t="s">
        <v>562</v>
      </c>
      <c r="G1139" t="s">
        <v>562</v>
      </c>
      <c r="H1139" t="s">
        <v>562</v>
      </c>
      <c r="I1139">
        <v>4272</v>
      </c>
      <c r="J1139" t="s">
        <v>564</v>
      </c>
      <c r="K1139" s="698">
        <v>45957.497916666667</v>
      </c>
      <c r="L1139" s="698">
        <v>45957.497916666667</v>
      </c>
      <c r="M1139" t="s">
        <v>565</v>
      </c>
      <c r="N1139" t="s">
        <v>565</v>
      </c>
      <c r="O1139" t="s">
        <v>566</v>
      </c>
      <c r="P1139" t="s">
        <v>567</v>
      </c>
      <c r="S1139" t="s">
        <v>567</v>
      </c>
      <c r="T1139" t="s">
        <v>567</v>
      </c>
      <c r="Z1139" t="s">
        <v>568</v>
      </c>
      <c r="AA1139" t="s">
        <v>568</v>
      </c>
    </row>
    <row r="1140" spans="1:27">
      <c r="A1140" t="s">
        <v>3043</v>
      </c>
      <c r="B1140" t="s">
        <v>1803</v>
      </c>
      <c r="C1140" t="s">
        <v>3044</v>
      </c>
      <c r="D1140" t="s">
        <v>3045</v>
      </c>
      <c r="E1140" t="s">
        <v>1820</v>
      </c>
      <c r="F1140" t="s">
        <v>562</v>
      </c>
      <c r="G1140" t="s">
        <v>562</v>
      </c>
      <c r="H1140" t="s">
        <v>562</v>
      </c>
      <c r="I1140">
        <v>5101</v>
      </c>
      <c r="J1140" t="s">
        <v>564</v>
      </c>
      <c r="K1140" s="698">
        <v>45957.561805555553</v>
      </c>
      <c r="L1140" s="698">
        <v>45957.561805555553</v>
      </c>
      <c r="M1140" t="s">
        <v>565</v>
      </c>
      <c r="N1140" t="s">
        <v>565</v>
      </c>
      <c r="O1140" t="s">
        <v>566</v>
      </c>
      <c r="P1140" t="s">
        <v>567</v>
      </c>
      <c r="S1140" t="s">
        <v>567</v>
      </c>
      <c r="T1140" t="s">
        <v>567</v>
      </c>
      <c r="Z1140" t="s">
        <v>568</v>
      </c>
      <c r="AA1140" t="s">
        <v>568</v>
      </c>
    </row>
    <row r="1141" spans="1:27">
      <c r="A1141" t="s">
        <v>3046</v>
      </c>
      <c r="B1141" t="s">
        <v>1153</v>
      </c>
      <c r="C1141" t="s">
        <v>3047</v>
      </c>
      <c r="D1141" t="s">
        <v>562</v>
      </c>
      <c r="E1141" t="s">
        <v>3048</v>
      </c>
      <c r="F1141" t="s">
        <v>562</v>
      </c>
      <c r="G1141" t="s">
        <v>562</v>
      </c>
      <c r="H1141" t="s">
        <v>562</v>
      </c>
      <c r="I1141">
        <v>4086</v>
      </c>
      <c r="J1141" t="s">
        <v>564</v>
      </c>
      <c r="K1141" s="698">
        <v>45957.474305555559</v>
      </c>
      <c r="L1141" s="698">
        <v>45957.474305555559</v>
      </c>
      <c r="M1141" t="s">
        <v>565</v>
      </c>
      <c r="N1141" t="s">
        <v>565</v>
      </c>
      <c r="O1141" t="s">
        <v>566</v>
      </c>
      <c r="P1141" t="s">
        <v>567</v>
      </c>
      <c r="S1141" t="s">
        <v>567</v>
      </c>
      <c r="T1141" t="s">
        <v>567</v>
      </c>
      <c r="Z1141" t="s">
        <v>568</v>
      </c>
      <c r="AA1141" t="s">
        <v>568</v>
      </c>
    </row>
    <row r="1142" spans="1:27">
      <c r="A1142" t="s">
        <v>3049</v>
      </c>
      <c r="B1142" t="s">
        <v>3049</v>
      </c>
      <c r="C1142" t="s">
        <v>3050</v>
      </c>
      <c r="D1142" t="s">
        <v>562</v>
      </c>
      <c r="E1142" t="s">
        <v>3051</v>
      </c>
      <c r="F1142" t="s">
        <v>562</v>
      </c>
      <c r="G1142" t="s">
        <v>562</v>
      </c>
      <c r="H1142" t="s">
        <v>562</v>
      </c>
      <c r="I1142">
        <v>5015</v>
      </c>
      <c r="J1142" t="s">
        <v>564</v>
      </c>
      <c r="K1142" s="698">
        <v>45957.559027777781</v>
      </c>
      <c r="L1142" s="698">
        <v>45957.559027777781</v>
      </c>
      <c r="M1142" t="s">
        <v>565</v>
      </c>
      <c r="N1142" t="s">
        <v>565</v>
      </c>
      <c r="O1142" t="s">
        <v>566</v>
      </c>
      <c r="P1142" t="s">
        <v>567</v>
      </c>
      <c r="S1142" t="s">
        <v>567</v>
      </c>
      <c r="T1142" t="s">
        <v>567</v>
      </c>
      <c r="Z1142" t="s">
        <v>568</v>
      </c>
      <c r="AA1142" t="s">
        <v>568</v>
      </c>
    </row>
    <row r="1143" spans="1:27">
      <c r="A1143" t="s">
        <v>3052</v>
      </c>
      <c r="B1143" t="s">
        <v>3052</v>
      </c>
      <c r="C1143" t="s">
        <v>562</v>
      </c>
      <c r="D1143" t="s">
        <v>562</v>
      </c>
      <c r="E1143" t="s">
        <v>3053</v>
      </c>
      <c r="F1143" t="s">
        <v>562</v>
      </c>
      <c r="G1143" t="s">
        <v>562</v>
      </c>
      <c r="H1143" t="s">
        <v>562</v>
      </c>
      <c r="I1143">
        <v>3737</v>
      </c>
      <c r="J1143" t="s">
        <v>564</v>
      </c>
      <c r="K1143" s="698">
        <v>45957.43472222222</v>
      </c>
      <c r="L1143" s="698">
        <v>45957.43472222222</v>
      </c>
      <c r="M1143" t="s">
        <v>565</v>
      </c>
      <c r="N1143" t="s">
        <v>565</v>
      </c>
      <c r="O1143" t="s">
        <v>566</v>
      </c>
      <c r="P1143" t="s">
        <v>567</v>
      </c>
      <c r="S1143" t="s">
        <v>567</v>
      </c>
      <c r="T1143" t="s">
        <v>567</v>
      </c>
      <c r="Z1143" t="s">
        <v>568</v>
      </c>
      <c r="AA1143" t="s">
        <v>568</v>
      </c>
    </row>
    <row r="1144" spans="1:27">
      <c r="A1144" t="s">
        <v>3054</v>
      </c>
      <c r="B1144" t="s">
        <v>3055</v>
      </c>
      <c r="C1144" t="s">
        <v>3056</v>
      </c>
      <c r="D1144" t="s">
        <v>3057</v>
      </c>
      <c r="E1144" t="s">
        <v>3058</v>
      </c>
      <c r="F1144" t="s">
        <v>562</v>
      </c>
      <c r="G1144" t="s">
        <v>562</v>
      </c>
      <c r="H1144" t="s">
        <v>562</v>
      </c>
      <c r="I1144">
        <v>4450</v>
      </c>
      <c r="J1144" t="s">
        <v>564</v>
      </c>
      <c r="K1144" s="698">
        <v>45957.520138888889</v>
      </c>
      <c r="L1144" s="698">
        <v>45957.520138888889</v>
      </c>
      <c r="M1144" t="s">
        <v>565</v>
      </c>
      <c r="N1144" t="s">
        <v>565</v>
      </c>
      <c r="O1144" t="s">
        <v>566</v>
      </c>
      <c r="P1144" t="s">
        <v>567</v>
      </c>
      <c r="S1144" t="s">
        <v>567</v>
      </c>
      <c r="T1144" t="s">
        <v>567</v>
      </c>
      <c r="Z1144" t="s">
        <v>568</v>
      </c>
      <c r="AA1144" t="s">
        <v>568</v>
      </c>
    </row>
    <row r="1145" spans="1:27">
      <c r="A1145" t="s">
        <v>3059</v>
      </c>
      <c r="B1145" t="s">
        <v>3060</v>
      </c>
      <c r="C1145" t="s">
        <v>3061</v>
      </c>
      <c r="D1145" t="s">
        <v>562</v>
      </c>
      <c r="E1145" t="s">
        <v>3062</v>
      </c>
      <c r="F1145" t="s">
        <v>562</v>
      </c>
      <c r="G1145" t="s">
        <v>562</v>
      </c>
      <c r="H1145" t="s">
        <v>562</v>
      </c>
      <c r="I1145">
        <v>4608</v>
      </c>
      <c r="J1145" t="s">
        <v>564</v>
      </c>
      <c r="K1145" s="698">
        <v>45957.539583333331</v>
      </c>
      <c r="L1145" s="698">
        <v>45957.539583333331</v>
      </c>
      <c r="M1145" t="s">
        <v>565</v>
      </c>
      <c r="N1145" t="s">
        <v>565</v>
      </c>
      <c r="O1145" t="s">
        <v>566</v>
      </c>
      <c r="P1145" t="s">
        <v>567</v>
      </c>
      <c r="S1145" t="s">
        <v>567</v>
      </c>
      <c r="T1145" t="s">
        <v>567</v>
      </c>
      <c r="Z1145" t="s">
        <v>568</v>
      </c>
      <c r="AA1145" t="s">
        <v>568</v>
      </c>
    </row>
    <row r="1146" spans="1:27">
      <c r="A1146" t="s">
        <v>3063</v>
      </c>
      <c r="B1146" t="s">
        <v>3064</v>
      </c>
      <c r="C1146" t="s">
        <v>3065</v>
      </c>
      <c r="D1146" t="s">
        <v>3066</v>
      </c>
      <c r="E1146" t="s">
        <v>3067</v>
      </c>
      <c r="F1146" t="s">
        <v>562</v>
      </c>
      <c r="G1146" t="s">
        <v>562</v>
      </c>
      <c r="H1146" t="s">
        <v>562</v>
      </c>
      <c r="I1146">
        <v>5126</v>
      </c>
      <c r="J1146" t="s">
        <v>564</v>
      </c>
      <c r="K1146" s="698">
        <v>45957.5625</v>
      </c>
      <c r="L1146" s="698">
        <v>45957.5625</v>
      </c>
      <c r="M1146" t="s">
        <v>565</v>
      </c>
      <c r="N1146" t="s">
        <v>565</v>
      </c>
      <c r="O1146" t="s">
        <v>566</v>
      </c>
      <c r="P1146" t="s">
        <v>567</v>
      </c>
      <c r="S1146" t="s">
        <v>567</v>
      </c>
      <c r="T1146" t="s">
        <v>567</v>
      </c>
      <c r="Z1146" t="s">
        <v>568</v>
      </c>
      <c r="AA1146" t="s">
        <v>568</v>
      </c>
    </row>
    <row r="1147" spans="1:27">
      <c r="A1147" t="s">
        <v>3068</v>
      </c>
      <c r="B1147" t="s">
        <v>3069</v>
      </c>
      <c r="C1147" t="s">
        <v>562</v>
      </c>
      <c r="D1147" t="s">
        <v>3070</v>
      </c>
      <c r="E1147" t="s">
        <v>3071</v>
      </c>
      <c r="F1147" t="s">
        <v>562</v>
      </c>
      <c r="G1147" t="s">
        <v>562</v>
      </c>
      <c r="H1147" t="s">
        <v>562</v>
      </c>
      <c r="I1147">
        <v>5133</v>
      </c>
      <c r="J1147" t="s">
        <v>564</v>
      </c>
      <c r="K1147" s="698">
        <v>45957.5625</v>
      </c>
      <c r="L1147" s="698">
        <v>45957.5625</v>
      </c>
      <c r="M1147" t="s">
        <v>565</v>
      </c>
      <c r="N1147" t="s">
        <v>565</v>
      </c>
      <c r="O1147" t="s">
        <v>566</v>
      </c>
      <c r="P1147" t="s">
        <v>567</v>
      </c>
      <c r="S1147" t="s">
        <v>567</v>
      </c>
      <c r="T1147" t="s">
        <v>567</v>
      </c>
      <c r="Z1147" t="s">
        <v>568</v>
      </c>
      <c r="AA1147" t="s">
        <v>568</v>
      </c>
    </row>
    <row r="1148" spans="1:27">
      <c r="A1148" t="s">
        <v>3072</v>
      </c>
      <c r="B1148" t="s">
        <v>3073</v>
      </c>
      <c r="C1148" t="s">
        <v>3074</v>
      </c>
      <c r="D1148" t="s">
        <v>562</v>
      </c>
      <c r="E1148" t="s">
        <v>3075</v>
      </c>
      <c r="F1148" t="s">
        <v>562</v>
      </c>
      <c r="G1148" t="s">
        <v>562</v>
      </c>
      <c r="H1148" t="s">
        <v>562</v>
      </c>
      <c r="I1148">
        <v>3924</v>
      </c>
      <c r="J1148" t="s">
        <v>564</v>
      </c>
      <c r="K1148" s="698">
        <v>45957.455555555556</v>
      </c>
      <c r="L1148" s="698">
        <v>45957.455555555556</v>
      </c>
      <c r="M1148" t="s">
        <v>565</v>
      </c>
      <c r="N1148" t="s">
        <v>565</v>
      </c>
      <c r="O1148" t="s">
        <v>566</v>
      </c>
      <c r="P1148" t="s">
        <v>567</v>
      </c>
      <c r="S1148" t="s">
        <v>567</v>
      </c>
      <c r="T1148" t="s">
        <v>567</v>
      </c>
      <c r="Z1148" t="s">
        <v>568</v>
      </c>
      <c r="AA1148" t="s">
        <v>568</v>
      </c>
    </row>
    <row r="1149" spans="1:27">
      <c r="A1149" t="s">
        <v>3076</v>
      </c>
      <c r="B1149" t="s">
        <v>3077</v>
      </c>
      <c r="C1149" t="s">
        <v>562</v>
      </c>
      <c r="D1149" t="s">
        <v>562</v>
      </c>
      <c r="E1149" t="s">
        <v>3078</v>
      </c>
      <c r="F1149" t="s">
        <v>562</v>
      </c>
      <c r="G1149" t="s">
        <v>562</v>
      </c>
      <c r="H1149" t="s">
        <v>562</v>
      </c>
      <c r="I1149">
        <v>4349</v>
      </c>
      <c r="J1149" t="s">
        <v>564</v>
      </c>
      <c r="K1149" s="698">
        <v>45957.507638888892</v>
      </c>
      <c r="L1149" s="698">
        <v>45957.507638888892</v>
      </c>
      <c r="M1149" t="s">
        <v>565</v>
      </c>
      <c r="N1149" t="s">
        <v>565</v>
      </c>
      <c r="O1149" t="s">
        <v>566</v>
      </c>
      <c r="P1149" t="s">
        <v>567</v>
      </c>
      <c r="S1149" t="s">
        <v>567</v>
      </c>
      <c r="T1149" t="s">
        <v>567</v>
      </c>
      <c r="Z1149" t="s">
        <v>568</v>
      </c>
      <c r="AA1149" t="s">
        <v>568</v>
      </c>
    </row>
    <row r="1150" spans="1:27">
      <c r="A1150" t="s">
        <v>3079</v>
      </c>
      <c r="B1150" t="s">
        <v>3080</v>
      </c>
      <c r="C1150" t="s">
        <v>3081</v>
      </c>
      <c r="D1150" t="s">
        <v>562</v>
      </c>
      <c r="E1150" t="s">
        <v>2174</v>
      </c>
      <c r="F1150" t="s">
        <v>562</v>
      </c>
      <c r="G1150" t="s">
        <v>562</v>
      </c>
      <c r="H1150" t="s">
        <v>562</v>
      </c>
      <c r="I1150">
        <v>3862</v>
      </c>
      <c r="J1150" t="s">
        <v>564</v>
      </c>
      <c r="K1150" s="698">
        <v>45957.448611111111</v>
      </c>
      <c r="L1150" s="698">
        <v>45957.448611111111</v>
      </c>
      <c r="M1150" t="s">
        <v>565</v>
      </c>
      <c r="N1150" t="s">
        <v>565</v>
      </c>
      <c r="O1150" t="s">
        <v>566</v>
      </c>
      <c r="P1150" t="s">
        <v>567</v>
      </c>
      <c r="S1150" t="s">
        <v>567</v>
      </c>
      <c r="T1150" t="s">
        <v>567</v>
      </c>
      <c r="Z1150" t="s">
        <v>568</v>
      </c>
      <c r="AA1150" t="s">
        <v>568</v>
      </c>
    </row>
    <row r="1151" spans="1:27">
      <c r="A1151" t="s">
        <v>3082</v>
      </c>
      <c r="B1151" t="s">
        <v>3083</v>
      </c>
      <c r="C1151" t="s">
        <v>3084</v>
      </c>
      <c r="D1151" t="s">
        <v>562</v>
      </c>
      <c r="E1151" t="s">
        <v>3085</v>
      </c>
      <c r="F1151" t="s">
        <v>562</v>
      </c>
      <c r="G1151" t="s">
        <v>562</v>
      </c>
      <c r="H1151" t="s">
        <v>562</v>
      </c>
      <c r="I1151">
        <v>4874</v>
      </c>
      <c r="J1151" t="s">
        <v>564</v>
      </c>
      <c r="K1151" s="698">
        <v>45957.554861111108</v>
      </c>
      <c r="L1151" s="698">
        <v>45957.554861111108</v>
      </c>
      <c r="M1151" t="s">
        <v>565</v>
      </c>
      <c r="N1151" t="s">
        <v>565</v>
      </c>
      <c r="O1151" t="s">
        <v>566</v>
      </c>
      <c r="P1151" t="s">
        <v>567</v>
      </c>
      <c r="S1151" t="s">
        <v>567</v>
      </c>
      <c r="T1151" t="s">
        <v>567</v>
      </c>
      <c r="Z1151" t="s">
        <v>568</v>
      </c>
      <c r="AA1151" t="s">
        <v>568</v>
      </c>
    </row>
    <row r="1152" spans="1:27">
      <c r="A1152" t="s">
        <v>3082</v>
      </c>
      <c r="B1152" t="s">
        <v>3086</v>
      </c>
      <c r="C1152" t="s">
        <v>3084</v>
      </c>
      <c r="D1152" t="s">
        <v>562</v>
      </c>
      <c r="E1152" t="s">
        <v>3087</v>
      </c>
      <c r="F1152" t="s">
        <v>562</v>
      </c>
      <c r="G1152" t="s">
        <v>562</v>
      </c>
      <c r="H1152" t="s">
        <v>562</v>
      </c>
      <c r="I1152">
        <v>5162</v>
      </c>
      <c r="J1152" t="s">
        <v>564</v>
      </c>
      <c r="K1152" s="698">
        <v>45957.563194444447</v>
      </c>
      <c r="L1152" s="698">
        <v>45957.563194444447</v>
      </c>
      <c r="M1152" t="s">
        <v>565</v>
      </c>
      <c r="N1152" t="s">
        <v>565</v>
      </c>
      <c r="O1152" t="s">
        <v>566</v>
      </c>
      <c r="P1152" t="s">
        <v>567</v>
      </c>
      <c r="S1152" t="s">
        <v>567</v>
      </c>
      <c r="T1152" t="s">
        <v>567</v>
      </c>
      <c r="Z1152" t="s">
        <v>568</v>
      </c>
      <c r="AA1152" t="s">
        <v>568</v>
      </c>
    </row>
    <row r="1153" spans="1:27">
      <c r="A1153" t="s">
        <v>3082</v>
      </c>
      <c r="B1153" t="s">
        <v>3088</v>
      </c>
      <c r="C1153" t="s">
        <v>562</v>
      </c>
      <c r="D1153" t="s">
        <v>3089</v>
      </c>
      <c r="E1153" t="s">
        <v>3090</v>
      </c>
      <c r="F1153" t="s">
        <v>562</v>
      </c>
      <c r="G1153" t="s">
        <v>562</v>
      </c>
      <c r="H1153" t="s">
        <v>562</v>
      </c>
      <c r="I1153">
        <v>5236</v>
      </c>
      <c r="J1153" t="s">
        <v>564</v>
      </c>
      <c r="K1153" s="698">
        <v>46001.324999999997</v>
      </c>
      <c r="L1153" s="698">
        <v>46001.324999999997</v>
      </c>
      <c r="M1153" t="s">
        <v>565</v>
      </c>
      <c r="N1153" t="s">
        <v>565</v>
      </c>
      <c r="O1153" t="s">
        <v>566</v>
      </c>
      <c r="P1153" t="s">
        <v>567</v>
      </c>
      <c r="S1153" t="s">
        <v>567</v>
      </c>
      <c r="T1153" t="s">
        <v>567</v>
      </c>
      <c r="Z1153" t="s">
        <v>826</v>
      </c>
      <c r="AA1153" t="s">
        <v>826</v>
      </c>
    </row>
    <row r="1154" spans="1:27">
      <c r="A1154" t="s">
        <v>3091</v>
      </c>
      <c r="B1154" t="s">
        <v>3092</v>
      </c>
      <c r="C1154" t="s">
        <v>3093</v>
      </c>
      <c r="D1154" t="s">
        <v>3094</v>
      </c>
      <c r="E1154" t="s">
        <v>562</v>
      </c>
      <c r="F1154" t="s">
        <v>562</v>
      </c>
      <c r="G1154" t="s">
        <v>562</v>
      </c>
      <c r="H1154" t="s">
        <v>562</v>
      </c>
      <c r="I1154">
        <v>3577</v>
      </c>
      <c r="J1154" t="s">
        <v>564</v>
      </c>
      <c r="K1154" s="698">
        <v>45957.418055555558</v>
      </c>
      <c r="L1154" s="698">
        <v>45957.418055555558</v>
      </c>
      <c r="M1154" t="s">
        <v>565</v>
      </c>
      <c r="N1154" t="s">
        <v>565</v>
      </c>
      <c r="O1154" t="s">
        <v>566</v>
      </c>
      <c r="P1154" t="s">
        <v>567</v>
      </c>
      <c r="S1154" t="s">
        <v>567</v>
      </c>
      <c r="T1154" t="s">
        <v>567</v>
      </c>
      <c r="Z1154" t="s">
        <v>568</v>
      </c>
      <c r="AA1154" t="s">
        <v>568</v>
      </c>
    </row>
    <row r="1155" spans="1:27">
      <c r="A1155" t="s">
        <v>3095</v>
      </c>
      <c r="B1155" t="s">
        <v>3095</v>
      </c>
      <c r="C1155" t="s">
        <v>562</v>
      </c>
      <c r="D1155" t="s">
        <v>562</v>
      </c>
      <c r="E1155" t="s">
        <v>3096</v>
      </c>
      <c r="F1155" t="s">
        <v>562</v>
      </c>
      <c r="G1155" t="s">
        <v>562</v>
      </c>
      <c r="H1155" t="s">
        <v>562</v>
      </c>
      <c r="I1155">
        <v>3713</v>
      </c>
      <c r="J1155" t="s">
        <v>564</v>
      </c>
      <c r="K1155" s="698">
        <v>45957.432638888888</v>
      </c>
      <c r="L1155" s="698">
        <v>45957.432638888888</v>
      </c>
      <c r="M1155" t="s">
        <v>565</v>
      </c>
      <c r="N1155" t="s">
        <v>565</v>
      </c>
      <c r="O1155" t="s">
        <v>566</v>
      </c>
      <c r="P1155" t="s">
        <v>567</v>
      </c>
      <c r="S1155" t="s">
        <v>567</v>
      </c>
      <c r="T1155" t="s">
        <v>567</v>
      </c>
      <c r="Z1155" t="s">
        <v>568</v>
      </c>
      <c r="AA1155" t="s">
        <v>568</v>
      </c>
    </row>
    <row r="1156" spans="1:27">
      <c r="A1156" t="s">
        <v>3097</v>
      </c>
      <c r="B1156" t="s">
        <v>562</v>
      </c>
      <c r="C1156" t="s">
        <v>3098</v>
      </c>
      <c r="D1156" t="s">
        <v>3099</v>
      </c>
      <c r="E1156" t="s">
        <v>3100</v>
      </c>
      <c r="F1156" t="s">
        <v>562</v>
      </c>
      <c r="G1156" t="s">
        <v>562</v>
      </c>
      <c r="H1156" t="s">
        <v>562</v>
      </c>
      <c r="I1156">
        <v>3547</v>
      </c>
      <c r="J1156" t="s">
        <v>564</v>
      </c>
      <c r="K1156" s="698">
        <v>45957.414583333331</v>
      </c>
      <c r="L1156" s="698">
        <v>45957.414583333331</v>
      </c>
      <c r="M1156" t="s">
        <v>565</v>
      </c>
      <c r="N1156" t="s">
        <v>565</v>
      </c>
      <c r="O1156" t="s">
        <v>566</v>
      </c>
      <c r="P1156" t="s">
        <v>567</v>
      </c>
      <c r="S1156" t="s">
        <v>567</v>
      </c>
      <c r="T1156" t="s">
        <v>567</v>
      </c>
      <c r="Z1156" t="s">
        <v>568</v>
      </c>
      <c r="AA1156" t="s">
        <v>568</v>
      </c>
    </row>
    <row r="1157" spans="1:27">
      <c r="A1157" t="s">
        <v>3097</v>
      </c>
      <c r="B1157" t="s">
        <v>3101</v>
      </c>
      <c r="C1157" t="s">
        <v>3098</v>
      </c>
      <c r="D1157" t="s">
        <v>562</v>
      </c>
      <c r="E1157" t="s">
        <v>3102</v>
      </c>
      <c r="F1157" t="s">
        <v>562</v>
      </c>
      <c r="G1157" t="s">
        <v>562</v>
      </c>
      <c r="H1157" t="s">
        <v>562</v>
      </c>
      <c r="I1157">
        <v>4894</v>
      </c>
      <c r="J1157" t="s">
        <v>564</v>
      </c>
      <c r="K1157" s="698">
        <v>45957.554861111108</v>
      </c>
      <c r="L1157" s="698">
        <v>45957.554861111108</v>
      </c>
      <c r="M1157" t="s">
        <v>565</v>
      </c>
      <c r="N1157" t="s">
        <v>565</v>
      </c>
      <c r="O1157" t="s">
        <v>566</v>
      </c>
      <c r="P1157" t="s">
        <v>567</v>
      </c>
      <c r="S1157" t="s">
        <v>567</v>
      </c>
      <c r="T1157" t="s">
        <v>567</v>
      </c>
      <c r="Z1157" t="s">
        <v>568</v>
      </c>
      <c r="AA1157" t="s">
        <v>568</v>
      </c>
    </row>
    <row r="1158" spans="1:27">
      <c r="A1158" t="s">
        <v>3097</v>
      </c>
      <c r="B1158" t="s">
        <v>3101</v>
      </c>
      <c r="C1158" t="s">
        <v>3098</v>
      </c>
      <c r="D1158" t="s">
        <v>562</v>
      </c>
      <c r="E1158" t="s">
        <v>3103</v>
      </c>
      <c r="F1158" t="s">
        <v>562</v>
      </c>
      <c r="G1158" t="s">
        <v>562</v>
      </c>
      <c r="H1158" t="s">
        <v>562</v>
      </c>
      <c r="I1158">
        <v>4895</v>
      </c>
      <c r="J1158" t="s">
        <v>564</v>
      </c>
      <c r="K1158" s="698">
        <v>45957.555555555555</v>
      </c>
      <c r="L1158" s="698">
        <v>45957.555555555555</v>
      </c>
      <c r="M1158" t="s">
        <v>565</v>
      </c>
      <c r="N1158" t="s">
        <v>565</v>
      </c>
      <c r="O1158" t="s">
        <v>566</v>
      </c>
      <c r="P1158" t="s">
        <v>567</v>
      </c>
      <c r="S1158" t="s">
        <v>567</v>
      </c>
      <c r="T1158" t="s">
        <v>567</v>
      </c>
      <c r="Z1158" t="s">
        <v>568</v>
      </c>
      <c r="AA1158" t="s">
        <v>568</v>
      </c>
    </row>
    <row r="1159" spans="1:27">
      <c r="A1159" t="s">
        <v>3097</v>
      </c>
      <c r="B1159" t="s">
        <v>3101</v>
      </c>
      <c r="C1159" t="s">
        <v>3098</v>
      </c>
      <c r="D1159" t="s">
        <v>562</v>
      </c>
      <c r="E1159" t="s">
        <v>3104</v>
      </c>
      <c r="F1159" t="s">
        <v>562</v>
      </c>
      <c r="G1159" t="s">
        <v>562</v>
      </c>
      <c r="H1159" t="s">
        <v>562</v>
      </c>
      <c r="I1159">
        <v>4896</v>
      </c>
      <c r="J1159" t="s">
        <v>564</v>
      </c>
      <c r="K1159" s="698">
        <v>45957.555555555555</v>
      </c>
      <c r="L1159" s="698">
        <v>45957.555555555555</v>
      </c>
      <c r="M1159" t="s">
        <v>565</v>
      </c>
      <c r="N1159" t="s">
        <v>565</v>
      </c>
      <c r="O1159" t="s">
        <v>566</v>
      </c>
      <c r="P1159" t="s">
        <v>567</v>
      </c>
      <c r="S1159" t="s">
        <v>567</v>
      </c>
      <c r="T1159" t="s">
        <v>567</v>
      </c>
      <c r="Z1159" t="s">
        <v>568</v>
      </c>
      <c r="AA1159" t="s">
        <v>568</v>
      </c>
    </row>
    <row r="1160" spans="1:27">
      <c r="A1160" t="s">
        <v>3097</v>
      </c>
      <c r="B1160" t="s">
        <v>3101</v>
      </c>
      <c r="C1160" t="s">
        <v>3098</v>
      </c>
      <c r="D1160" t="s">
        <v>562</v>
      </c>
      <c r="E1160" t="s">
        <v>3105</v>
      </c>
      <c r="F1160" t="s">
        <v>562</v>
      </c>
      <c r="G1160" t="s">
        <v>562</v>
      </c>
      <c r="H1160" t="s">
        <v>562</v>
      </c>
      <c r="I1160">
        <v>4897</v>
      </c>
      <c r="J1160" t="s">
        <v>564</v>
      </c>
      <c r="K1160" s="698">
        <v>45957.555555555555</v>
      </c>
      <c r="L1160" s="698">
        <v>45957.555555555555</v>
      </c>
      <c r="M1160" t="s">
        <v>565</v>
      </c>
      <c r="N1160" t="s">
        <v>565</v>
      </c>
      <c r="O1160" t="s">
        <v>566</v>
      </c>
      <c r="P1160" t="s">
        <v>567</v>
      </c>
      <c r="S1160" t="s">
        <v>567</v>
      </c>
      <c r="T1160" t="s">
        <v>567</v>
      </c>
      <c r="Z1160" t="s">
        <v>568</v>
      </c>
      <c r="AA1160" t="s">
        <v>568</v>
      </c>
    </row>
    <row r="1161" spans="1:27">
      <c r="A1161" t="s">
        <v>3106</v>
      </c>
      <c r="B1161" t="s">
        <v>3107</v>
      </c>
      <c r="C1161" t="s">
        <v>562</v>
      </c>
      <c r="D1161" t="s">
        <v>3108</v>
      </c>
      <c r="E1161" t="s">
        <v>3109</v>
      </c>
      <c r="F1161" t="s">
        <v>562</v>
      </c>
      <c r="G1161" t="s">
        <v>562</v>
      </c>
      <c r="H1161" t="s">
        <v>562</v>
      </c>
      <c r="I1161">
        <v>4677</v>
      </c>
      <c r="J1161" t="s">
        <v>564</v>
      </c>
      <c r="K1161" s="698">
        <v>45957.548611111109</v>
      </c>
      <c r="L1161" s="698">
        <v>45957.548611111109</v>
      </c>
      <c r="M1161" t="s">
        <v>565</v>
      </c>
      <c r="N1161" t="s">
        <v>565</v>
      </c>
      <c r="O1161" t="s">
        <v>566</v>
      </c>
      <c r="P1161" t="s">
        <v>567</v>
      </c>
      <c r="S1161" t="s">
        <v>567</v>
      </c>
      <c r="T1161" t="s">
        <v>567</v>
      </c>
      <c r="Z1161" t="s">
        <v>568</v>
      </c>
      <c r="AA1161" t="s">
        <v>568</v>
      </c>
    </row>
    <row r="1162" spans="1:27">
      <c r="A1162" t="s">
        <v>3110</v>
      </c>
      <c r="B1162" t="s">
        <v>3111</v>
      </c>
      <c r="C1162" t="s">
        <v>3112</v>
      </c>
      <c r="D1162" t="s">
        <v>562</v>
      </c>
      <c r="E1162" t="s">
        <v>3113</v>
      </c>
      <c r="F1162" t="s">
        <v>562</v>
      </c>
      <c r="G1162" t="s">
        <v>562</v>
      </c>
      <c r="H1162" t="s">
        <v>562</v>
      </c>
      <c r="I1162">
        <v>4841</v>
      </c>
      <c r="J1162" t="s">
        <v>564</v>
      </c>
      <c r="K1162" s="698">
        <v>45957.553472222222</v>
      </c>
      <c r="L1162" s="698">
        <v>45957.553472222222</v>
      </c>
      <c r="M1162" t="s">
        <v>565</v>
      </c>
      <c r="N1162" t="s">
        <v>565</v>
      </c>
      <c r="O1162" t="s">
        <v>566</v>
      </c>
      <c r="P1162" t="s">
        <v>567</v>
      </c>
      <c r="S1162" t="s">
        <v>567</v>
      </c>
      <c r="T1162" t="s">
        <v>567</v>
      </c>
      <c r="Z1162" t="s">
        <v>568</v>
      </c>
      <c r="AA1162" t="s">
        <v>568</v>
      </c>
    </row>
    <row r="1163" spans="1:27">
      <c r="A1163" t="s">
        <v>3114</v>
      </c>
      <c r="B1163" t="s">
        <v>3114</v>
      </c>
      <c r="C1163" t="s">
        <v>3115</v>
      </c>
      <c r="D1163" t="s">
        <v>3116</v>
      </c>
      <c r="E1163" t="s">
        <v>3117</v>
      </c>
      <c r="F1163" t="s">
        <v>562</v>
      </c>
      <c r="G1163" t="s">
        <v>562</v>
      </c>
      <c r="H1163" t="s">
        <v>562</v>
      </c>
      <c r="I1163">
        <v>4433</v>
      </c>
      <c r="J1163" t="s">
        <v>564</v>
      </c>
      <c r="K1163" s="698">
        <v>45957.518055555556</v>
      </c>
      <c r="L1163" s="698">
        <v>45957.518055555556</v>
      </c>
      <c r="M1163" t="s">
        <v>565</v>
      </c>
      <c r="N1163" t="s">
        <v>565</v>
      </c>
      <c r="O1163" t="s">
        <v>566</v>
      </c>
      <c r="P1163" t="s">
        <v>567</v>
      </c>
      <c r="S1163" t="s">
        <v>567</v>
      </c>
      <c r="T1163" t="s">
        <v>567</v>
      </c>
      <c r="Z1163" t="s">
        <v>568</v>
      </c>
      <c r="AA1163" t="s">
        <v>568</v>
      </c>
    </row>
    <row r="1164" spans="1:27">
      <c r="A1164" t="s">
        <v>3118</v>
      </c>
      <c r="B1164" t="s">
        <v>3118</v>
      </c>
      <c r="C1164" t="s">
        <v>3119</v>
      </c>
      <c r="D1164" t="s">
        <v>562</v>
      </c>
      <c r="E1164" t="s">
        <v>3120</v>
      </c>
      <c r="F1164" t="s">
        <v>562</v>
      </c>
      <c r="G1164" t="s">
        <v>562</v>
      </c>
      <c r="H1164" t="s">
        <v>562</v>
      </c>
      <c r="I1164">
        <v>5202</v>
      </c>
      <c r="J1164" t="s">
        <v>564</v>
      </c>
      <c r="K1164" s="698">
        <v>45957.564583333333</v>
      </c>
      <c r="L1164" s="698">
        <v>45957.564583333333</v>
      </c>
      <c r="M1164" t="s">
        <v>565</v>
      </c>
      <c r="N1164" t="s">
        <v>565</v>
      </c>
      <c r="O1164" t="s">
        <v>566</v>
      </c>
      <c r="P1164" t="s">
        <v>567</v>
      </c>
      <c r="S1164" t="s">
        <v>567</v>
      </c>
      <c r="T1164" t="s">
        <v>567</v>
      </c>
      <c r="Z1164" t="s">
        <v>568</v>
      </c>
      <c r="AA1164" t="s">
        <v>568</v>
      </c>
    </row>
    <row r="1165" spans="1:27">
      <c r="A1165" t="s">
        <v>3121</v>
      </c>
      <c r="B1165" t="s">
        <v>3121</v>
      </c>
      <c r="C1165" t="s">
        <v>3122</v>
      </c>
      <c r="D1165" t="s">
        <v>562</v>
      </c>
      <c r="E1165" t="s">
        <v>3123</v>
      </c>
      <c r="F1165" t="s">
        <v>562</v>
      </c>
      <c r="G1165" t="s">
        <v>562</v>
      </c>
      <c r="H1165" t="s">
        <v>562</v>
      </c>
      <c r="I1165">
        <v>3697</v>
      </c>
      <c r="J1165" t="s">
        <v>564</v>
      </c>
      <c r="K1165" s="698">
        <v>45957.430555555555</v>
      </c>
      <c r="L1165" s="698">
        <v>45957.430555555555</v>
      </c>
      <c r="M1165" t="s">
        <v>565</v>
      </c>
      <c r="N1165" t="s">
        <v>565</v>
      </c>
      <c r="O1165" t="s">
        <v>566</v>
      </c>
      <c r="P1165" t="s">
        <v>567</v>
      </c>
      <c r="S1165" t="s">
        <v>567</v>
      </c>
      <c r="T1165" t="s">
        <v>567</v>
      </c>
      <c r="Z1165" t="s">
        <v>568</v>
      </c>
      <c r="AA1165" t="s">
        <v>568</v>
      </c>
    </row>
    <row r="1166" spans="1:27">
      <c r="A1166" t="s">
        <v>3124</v>
      </c>
      <c r="B1166" t="s">
        <v>683</v>
      </c>
      <c r="C1166" t="s">
        <v>562</v>
      </c>
      <c r="D1166" t="s">
        <v>562</v>
      </c>
      <c r="E1166" t="s">
        <v>684</v>
      </c>
      <c r="F1166" t="s">
        <v>562</v>
      </c>
      <c r="G1166" t="s">
        <v>562</v>
      </c>
      <c r="H1166" t="s">
        <v>562</v>
      </c>
      <c r="I1166">
        <v>3996</v>
      </c>
      <c r="J1166" t="s">
        <v>564</v>
      </c>
      <c r="K1166" s="698">
        <v>45957.463888888888</v>
      </c>
      <c r="L1166" s="698">
        <v>45957.463888888888</v>
      </c>
      <c r="M1166" t="s">
        <v>565</v>
      </c>
      <c r="N1166" t="s">
        <v>565</v>
      </c>
      <c r="O1166" t="s">
        <v>566</v>
      </c>
      <c r="P1166" t="s">
        <v>567</v>
      </c>
      <c r="S1166" t="s">
        <v>567</v>
      </c>
      <c r="T1166" t="s">
        <v>567</v>
      </c>
      <c r="Z1166" t="s">
        <v>568</v>
      </c>
      <c r="AA1166" t="s">
        <v>568</v>
      </c>
    </row>
    <row r="1167" spans="1:27">
      <c r="A1167" t="s">
        <v>3124</v>
      </c>
      <c r="B1167" t="s">
        <v>662</v>
      </c>
      <c r="C1167" t="s">
        <v>663</v>
      </c>
      <c r="D1167" t="s">
        <v>562</v>
      </c>
      <c r="E1167" t="s">
        <v>3125</v>
      </c>
      <c r="F1167" t="s">
        <v>562</v>
      </c>
      <c r="G1167" t="s">
        <v>562</v>
      </c>
      <c r="H1167" t="s">
        <v>562</v>
      </c>
      <c r="I1167">
        <v>4789</v>
      </c>
      <c r="J1167" t="s">
        <v>564</v>
      </c>
      <c r="K1167" s="698">
        <v>45957.552083333336</v>
      </c>
      <c r="L1167" s="698">
        <v>45957.552083333336</v>
      </c>
      <c r="M1167" t="s">
        <v>565</v>
      </c>
      <c r="N1167" t="s">
        <v>565</v>
      </c>
      <c r="O1167" t="s">
        <v>566</v>
      </c>
      <c r="P1167" t="s">
        <v>567</v>
      </c>
      <c r="S1167" t="s">
        <v>567</v>
      </c>
      <c r="T1167" t="s">
        <v>567</v>
      </c>
      <c r="Z1167" t="s">
        <v>568</v>
      </c>
      <c r="AA1167" t="s">
        <v>568</v>
      </c>
    </row>
    <row r="1168" spans="1:27">
      <c r="A1168" t="s">
        <v>3126</v>
      </c>
      <c r="B1168" t="s">
        <v>562</v>
      </c>
      <c r="C1168" t="s">
        <v>3127</v>
      </c>
      <c r="D1168" t="s">
        <v>3128</v>
      </c>
      <c r="E1168" t="s">
        <v>562</v>
      </c>
      <c r="F1168" t="s">
        <v>562</v>
      </c>
      <c r="G1168" t="s">
        <v>562</v>
      </c>
      <c r="H1168" t="s">
        <v>562</v>
      </c>
      <c r="I1168">
        <v>3548</v>
      </c>
      <c r="J1168" t="s">
        <v>564</v>
      </c>
      <c r="K1168" s="698">
        <v>45957.414583333331</v>
      </c>
      <c r="L1168" s="698">
        <v>45957.414583333331</v>
      </c>
      <c r="M1168" t="s">
        <v>565</v>
      </c>
      <c r="N1168" t="s">
        <v>565</v>
      </c>
      <c r="O1168" t="s">
        <v>566</v>
      </c>
      <c r="P1168" t="s">
        <v>567</v>
      </c>
      <c r="S1168" t="s">
        <v>567</v>
      </c>
      <c r="T1168" t="s">
        <v>567</v>
      </c>
      <c r="Z1168" t="s">
        <v>568</v>
      </c>
      <c r="AA1168" t="s">
        <v>568</v>
      </c>
    </row>
    <row r="1169" spans="1:27">
      <c r="A1169" t="s">
        <v>3129</v>
      </c>
      <c r="B1169" t="s">
        <v>3130</v>
      </c>
      <c r="C1169" t="s">
        <v>562</v>
      </c>
      <c r="D1169" t="s">
        <v>562</v>
      </c>
      <c r="E1169" t="s">
        <v>3131</v>
      </c>
      <c r="F1169" t="s">
        <v>562</v>
      </c>
      <c r="G1169" t="s">
        <v>562</v>
      </c>
      <c r="H1169" t="s">
        <v>562</v>
      </c>
      <c r="I1169">
        <v>4914</v>
      </c>
      <c r="J1169" t="s">
        <v>564</v>
      </c>
      <c r="K1169" s="698">
        <v>45957.555555555555</v>
      </c>
      <c r="L1169" s="698">
        <v>45957.555555555555</v>
      </c>
      <c r="M1169" t="s">
        <v>565</v>
      </c>
      <c r="N1169" t="s">
        <v>565</v>
      </c>
      <c r="O1169" t="s">
        <v>566</v>
      </c>
      <c r="P1169" t="s">
        <v>567</v>
      </c>
      <c r="S1169" t="s">
        <v>567</v>
      </c>
      <c r="T1169" t="s">
        <v>567</v>
      </c>
      <c r="Z1169" t="s">
        <v>568</v>
      </c>
      <c r="AA1169" t="s">
        <v>568</v>
      </c>
    </row>
    <row r="1170" spans="1:27">
      <c r="A1170" t="s">
        <v>3132</v>
      </c>
      <c r="B1170" t="s">
        <v>3133</v>
      </c>
      <c r="C1170" t="s">
        <v>562</v>
      </c>
      <c r="D1170" t="s">
        <v>3134</v>
      </c>
      <c r="E1170" t="s">
        <v>3135</v>
      </c>
      <c r="F1170" t="s">
        <v>562</v>
      </c>
      <c r="G1170" t="s">
        <v>562</v>
      </c>
      <c r="H1170" t="s">
        <v>562</v>
      </c>
      <c r="I1170">
        <v>5242</v>
      </c>
      <c r="J1170" t="s">
        <v>564</v>
      </c>
      <c r="K1170" s="698">
        <v>46037.518750000003</v>
      </c>
      <c r="L1170" s="698">
        <v>46037.518750000003</v>
      </c>
      <c r="M1170" t="s">
        <v>565</v>
      </c>
      <c r="N1170" t="s">
        <v>565</v>
      </c>
      <c r="O1170" t="s">
        <v>566</v>
      </c>
      <c r="P1170" t="s">
        <v>567</v>
      </c>
      <c r="S1170" t="s">
        <v>567</v>
      </c>
      <c r="T1170" t="s">
        <v>567</v>
      </c>
      <c r="Z1170" t="s">
        <v>826</v>
      </c>
      <c r="AA1170" t="s">
        <v>826</v>
      </c>
    </row>
    <row r="1171" spans="1:27">
      <c r="A1171" t="s">
        <v>3136</v>
      </c>
      <c r="B1171" t="s">
        <v>3137</v>
      </c>
      <c r="C1171" t="s">
        <v>3138</v>
      </c>
      <c r="D1171" t="s">
        <v>562</v>
      </c>
      <c r="E1171" t="s">
        <v>3139</v>
      </c>
      <c r="F1171" t="s">
        <v>562</v>
      </c>
      <c r="G1171" t="s">
        <v>562</v>
      </c>
      <c r="H1171" t="s">
        <v>562</v>
      </c>
      <c r="I1171">
        <v>3693</v>
      </c>
      <c r="J1171" t="s">
        <v>564</v>
      </c>
      <c r="K1171" s="698">
        <v>45957.429861111108</v>
      </c>
      <c r="L1171" s="698">
        <v>45957.429861111108</v>
      </c>
      <c r="M1171" t="s">
        <v>565</v>
      </c>
      <c r="N1171" t="s">
        <v>565</v>
      </c>
      <c r="O1171" t="s">
        <v>566</v>
      </c>
      <c r="P1171" t="s">
        <v>567</v>
      </c>
      <c r="S1171" t="s">
        <v>567</v>
      </c>
      <c r="T1171" t="s">
        <v>567</v>
      </c>
      <c r="Z1171" t="s">
        <v>568</v>
      </c>
      <c r="AA1171" t="s">
        <v>568</v>
      </c>
    </row>
    <row r="1172" spans="1:27">
      <c r="A1172" t="s">
        <v>3136</v>
      </c>
      <c r="B1172" t="s">
        <v>3140</v>
      </c>
      <c r="C1172" t="s">
        <v>3141</v>
      </c>
      <c r="D1172" t="s">
        <v>562</v>
      </c>
      <c r="E1172" t="s">
        <v>3142</v>
      </c>
      <c r="F1172" t="s">
        <v>562</v>
      </c>
      <c r="G1172" t="s">
        <v>562</v>
      </c>
      <c r="H1172" t="s">
        <v>562</v>
      </c>
      <c r="I1172">
        <v>5140</v>
      </c>
      <c r="J1172" t="s">
        <v>564</v>
      </c>
      <c r="K1172" s="698">
        <v>45957.5625</v>
      </c>
      <c r="L1172" s="698">
        <v>45957.5625</v>
      </c>
      <c r="M1172" t="s">
        <v>565</v>
      </c>
      <c r="N1172" t="s">
        <v>565</v>
      </c>
      <c r="O1172" t="s">
        <v>566</v>
      </c>
      <c r="P1172" t="s">
        <v>567</v>
      </c>
      <c r="S1172" t="s">
        <v>567</v>
      </c>
      <c r="T1172" t="s">
        <v>567</v>
      </c>
      <c r="Z1172" t="s">
        <v>568</v>
      </c>
      <c r="AA1172" t="s">
        <v>568</v>
      </c>
    </row>
    <row r="1173" spans="1:27">
      <c r="A1173" t="s">
        <v>3143</v>
      </c>
      <c r="B1173" t="s">
        <v>3144</v>
      </c>
      <c r="C1173" t="s">
        <v>562</v>
      </c>
      <c r="D1173" t="s">
        <v>3145</v>
      </c>
      <c r="E1173" t="s">
        <v>3146</v>
      </c>
      <c r="F1173" t="s">
        <v>562</v>
      </c>
      <c r="G1173" t="s">
        <v>562</v>
      </c>
      <c r="H1173" t="s">
        <v>562</v>
      </c>
      <c r="I1173">
        <v>4221</v>
      </c>
      <c r="J1173" t="s">
        <v>564</v>
      </c>
      <c r="K1173" s="698">
        <v>45957.490972222222</v>
      </c>
      <c r="L1173" s="698">
        <v>45957.490972222222</v>
      </c>
      <c r="M1173" t="s">
        <v>565</v>
      </c>
      <c r="N1173" t="s">
        <v>565</v>
      </c>
      <c r="O1173" t="s">
        <v>566</v>
      </c>
      <c r="P1173" t="s">
        <v>567</v>
      </c>
      <c r="S1173" t="s">
        <v>567</v>
      </c>
      <c r="T1173" t="s">
        <v>567</v>
      </c>
      <c r="Z1173" t="s">
        <v>568</v>
      </c>
      <c r="AA1173" t="s">
        <v>568</v>
      </c>
    </row>
    <row r="1174" spans="1:27">
      <c r="A1174" t="s">
        <v>3147</v>
      </c>
      <c r="B1174" t="s">
        <v>3148</v>
      </c>
      <c r="C1174" t="s">
        <v>3149</v>
      </c>
      <c r="D1174" t="s">
        <v>3150</v>
      </c>
      <c r="E1174" t="s">
        <v>3151</v>
      </c>
      <c r="F1174" t="s">
        <v>562</v>
      </c>
      <c r="G1174" t="s">
        <v>562</v>
      </c>
      <c r="H1174" t="s">
        <v>562</v>
      </c>
      <c r="I1174">
        <v>4185</v>
      </c>
      <c r="J1174" t="s">
        <v>564</v>
      </c>
      <c r="K1174" s="698">
        <v>45957.486805555556</v>
      </c>
      <c r="L1174" s="698">
        <v>45957.486805555556</v>
      </c>
      <c r="M1174" t="s">
        <v>565</v>
      </c>
      <c r="N1174" t="s">
        <v>565</v>
      </c>
      <c r="O1174" t="s">
        <v>566</v>
      </c>
      <c r="P1174" t="s">
        <v>567</v>
      </c>
      <c r="S1174" t="s">
        <v>567</v>
      </c>
      <c r="T1174" t="s">
        <v>567</v>
      </c>
      <c r="Z1174" t="s">
        <v>568</v>
      </c>
      <c r="AA1174" t="s">
        <v>568</v>
      </c>
    </row>
    <row r="1175" spans="1:27">
      <c r="A1175" t="s">
        <v>3152</v>
      </c>
      <c r="B1175" t="s">
        <v>3152</v>
      </c>
      <c r="C1175" t="s">
        <v>3153</v>
      </c>
      <c r="D1175" t="s">
        <v>562</v>
      </c>
      <c r="E1175" t="s">
        <v>3154</v>
      </c>
      <c r="F1175" t="s">
        <v>562</v>
      </c>
      <c r="G1175" t="s">
        <v>562</v>
      </c>
      <c r="H1175" t="s">
        <v>562</v>
      </c>
      <c r="I1175">
        <v>5193</v>
      </c>
      <c r="J1175" t="s">
        <v>564</v>
      </c>
      <c r="K1175" s="698">
        <v>45957.563888888886</v>
      </c>
      <c r="L1175" s="698">
        <v>45957.563888888886</v>
      </c>
      <c r="M1175" t="s">
        <v>565</v>
      </c>
      <c r="N1175" t="s">
        <v>565</v>
      </c>
      <c r="O1175" t="s">
        <v>566</v>
      </c>
      <c r="P1175" t="s">
        <v>567</v>
      </c>
      <c r="S1175" t="s">
        <v>567</v>
      </c>
      <c r="T1175" t="s">
        <v>567</v>
      </c>
      <c r="Z1175" t="s">
        <v>568</v>
      </c>
      <c r="AA1175" t="s">
        <v>568</v>
      </c>
    </row>
    <row r="1176" spans="1:27">
      <c r="A1176" t="s">
        <v>3155</v>
      </c>
      <c r="B1176" t="s">
        <v>562</v>
      </c>
      <c r="C1176" t="s">
        <v>562</v>
      </c>
      <c r="D1176" t="s">
        <v>3156</v>
      </c>
      <c r="E1176" t="s">
        <v>3157</v>
      </c>
      <c r="F1176" t="s">
        <v>562</v>
      </c>
      <c r="G1176" t="s">
        <v>562</v>
      </c>
      <c r="H1176" t="s">
        <v>562</v>
      </c>
      <c r="I1176">
        <v>4273</v>
      </c>
      <c r="J1176" t="s">
        <v>564</v>
      </c>
      <c r="K1176" s="698">
        <v>45957.497916666667</v>
      </c>
      <c r="L1176" s="698">
        <v>45957.497916666667</v>
      </c>
      <c r="M1176" t="s">
        <v>565</v>
      </c>
      <c r="N1176" t="s">
        <v>565</v>
      </c>
      <c r="O1176" t="s">
        <v>566</v>
      </c>
      <c r="P1176" t="s">
        <v>567</v>
      </c>
      <c r="S1176" t="s">
        <v>567</v>
      </c>
      <c r="T1176" t="s">
        <v>567</v>
      </c>
      <c r="Z1176" t="s">
        <v>568</v>
      </c>
      <c r="AA1176" t="s">
        <v>568</v>
      </c>
    </row>
    <row r="1177" spans="1:27">
      <c r="A1177" t="s">
        <v>3158</v>
      </c>
      <c r="B1177" t="s">
        <v>965</v>
      </c>
      <c r="C1177" t="s">
        <v>562</v>
      </c>
      <c r="D1177" t="s">
        <v>3159</v>
      </c>
      <c r="E1177" t="s">
        <v>3160</v>
      </c>
      <c r="F1177" t="s">
        <v>562</v>
      </c>
      <c r="G1177" t="s">
        <v>562</v>
      </c>
      <c r="H1177" t="s">
        <v>562</v>
      </c>
      <c r="I1177">
        <v>3770</v>
      </c>
      <c r="J1177" t="s">
        <v>564</v>
      </c>
      <c r="K1177" s="698">
        <v>45957.438888888886</v>
      </c>
      <c r="L1177" s="698">
        <v>45957.438888888886</v>
      </c>
      <c r="M1177" t="s">
        <v>565</v>
      </c>
      <c r="N1177" t="s">
        <v>565</v>
      </c>
      <c r="O1177" t="s">
        <v>566</v>
      </c>
      <c r="P1177" t="s">
        <v>567</v>
      </c>
      <c r="S1177" t="s">
        <v>567</v>
      </c>
      <c r="T1177" t="s">
        <v>567</v>
      </c>
      <c r="Z1177" t="s">
        <v>568</v>
      </c>
      <c r="AA1177" t="s">
        <v>568</v>
      </c>
    </row>
    <row r="1178" spans="1:27">
      <c r="A1178" t="s">
        <v>3158</v>
      </c>
      <c r="B1178" t="s">
        <v>562</v>
      </c>
      <c r="C1178" t="s">
        <v>562</v>
      </c>
      <c r="D1178" t="s">
        <v>3159</v>
      </c>
      <c r="E1178" t="s">
        <v>3161</v>
      </c>
      <c r="F1178" t="s">
        <v>562</v>
      </c>
      <c r="G1178" t="s">
        <v>562</v>
      </c>
      <c r="H1178" t="s">
        <v>562</v>
      </c>
      <c r="I1178">
        <v>3891</v>
      </c>
      <c r="J1178" t="s">
        <v>564</v>
      </c>
      <c r="K1178" s="698">
        <v>45957.451388888891</v>
      </c>
      <c r="L1178" s="698">
        <v>45957.451388888891</v>
      </c>
      <c r="M1178" t="s">
        <v>565</v>
      </c>
      <c r="N1178" t="s">
        <v>565</v>
      </c>
      <c r="O1178" t="s">
        <v>566</v>
      </c>
      <c r="P1178" t="s">
        <v>567</v>
      </c>
      <c r="S1178" t="s">
        <v>567</v>
      </c>
      <c r="T1178" t="s">
        <v>567</v>
      </c>
      <c r="Z1178" t="s">
        <v>568</v>
      </c>
      <c r="AA1178" t="s">
        <v>568</v>
      </c>
    </row>
    <row r="1179" spans="1:27">
      <c r="A1179" t="s">
        <v>3158</v>
      </c>
      <c r="B1179" t="s">
        <v>965</v>
      </c>
      <c r="C1179" t="s">
        <v>3162</v>
      </c>
      <c r="D1179" t="s">
        <v>3159</v>
      </c>
      <c r="E1179" t="s">
        <v>3163</v>
      </c>
      <c r="F1179" t="s">
        <v>562</v>
      </c>
      <c r="G1179" t="s">
        <v>562</v>
      </c>
      <c r="H1179" t="s">
        <v>562</v>
      </c>
      <c r="I1179">
        <v>3928</v>
      </c>
      <c r="J1179" t="s">
        <v>564</v>
      </c>
      <c r="K1179" s="698">
        <v>45957.455555555556</v>
      </c>
      <c r="L1179" s="698">
        <v>45957.455555555556</v>
      </c>
      <c r="M1179" t="s">
        <v>565</v>
      </c>
      <c r="N1179" t="s">
        <v>565</v>
      </c>
      <c r="O1179" t="s">
        <v>566</v>
      </c>
      <c r="P1179" t="s">
        <v>567</v>
      </c>
      <c r="S1179" t="s">
        <v>567</v>
      </c>
      <c r="T1179" t="s">
        <v>567</v>
      </c>
      <c r="Z1179" t="s">
        <v>568</v>
      </c>
      <c r="AA1179" t="s">
        <v>568</v>
      </c>
    </row>
    <row r="1180" spans="1:27">
      <c r="A1180" t="s">
        <v>3158</v>
      </c>
      <c r="B1180" t="s">
        <v>965</v>
      </c>
      <c r="C1180" t="s">
        <v>3162</v>
      </c>
      <c r="D1180" t="s">
        <v>3159</v>
      </c>
      <c r="E1180" t="s">
        <v>3164</v>
      </c>
      <c r="F1180" t="s">
        <v>562</v>
      </c>
      <c r="G1180" t="s">
        <v>562</v>
      </c>
      <c r="H1180" t="s">
        <v>562</v>
      </c>
      <c r="I1180">
        <v>3948</v>
      </c>
      <c r="J1180" t="s">
        <v>564</v>
      </c>
      <c r="K1180" s="698">
        <v>45957.458333333336</v>
      </c>
      <c r="L1180" s="698">
        <v>45957.458333333336</v>
      </c>
      <c r="M1180" t="s">
        <v>565</v>
      </c>
      <c r="N1180" t="s">
        <v>565</v>
      </c>
      <c r="O1180" t="s">
        <v>566</v>
      </c>
      <c r="P1180" t="s">
        <v>567</v>
      </c>
      <c r="S1180" t="s">
        <v>567</v>
      </c>
      <c r="T1180" t="s">
        <v>567</v>
      </c>
      <c r="Z1180" t="s">
        <v>568</v>
      </c>
      <c r="AA1180" t="s">
        <v>568</v>
      </c>
    </row>
    <row r="1181" spans="1:27">
      <c r="A1181" t="s">
        <v>3158</v>
      </c>
      <c r="B1181" t="s">
        <v>965</v>
      </c>
      <c r="C1181" t="s">
        <v>3162</v>
      </c>
      <c r="D1181" t="s">
        <v>3159</v>
      </c>
      <c r="E1181" t="s">
        <v>3165</v>
      </c>
      <c r="F1181" t="s">
        <v>562</v>
      </c>
      <c r="G1181" t="s">
        <v>562</v>
      </c>
      <c r="H1181" t="s">
        <v>562</v>
      </c>
      <c r="I1181">
        <v>4010</v>
      </c>
      <c r="J1181" t="s">
        <v>564</v>
      </c>
      <c r="K1181" s="698">
        <v>45957.465277777781</v>
      </c>
      <c r="L1181" s="698">
        <v>45957.465277777781</v>
      </c>
      <c r="M1181" t="s">
        <v>565</v>
      </c>
      <c r="N1181" t="s">
        <v>565</v>
      </c>
      <c r="O1181" t="s">
        <v>566</v>
      </c>
      <c r="P1181" t="s">
        <v>567</v>
      </c>
      <c r="S1181" t="s">
        <v>567</v>
      </c>
      <c r="T1181" t="s">
        <v>567</v>
      </c>
      <c r="Z1181" t="s">
        <v>568</v>
      </c>
      <c r="AA1181" t="s">
        <v>568</v>
      </c>
    </row>
    <row r="1182" spans="1:27">
      <c r="A1182" t="s">
        <v>3158</v>
      </c>
      <c r="B1182" t="s">
        <v>965</v>
      </c>
      <c r="C1182" t="s">
        <v>3162</v>
      </c>
      <c r="D1182" t="s">
        <v>3159</v>
      </c>
      <c r="E1182" t="s">
        <v>3166</v>
      </c>
      <c r="F1182" t="s">
        <v>562</v>
      </c>
      <c r="G1182" t="s">
        <v>562</v>
      </c>
      <c r="H1182" t="s">
        <v>562</v>
      </c>
      <c r="I1182">
        <v>4060</v>
      </c>
      <c r="J1182" t="s">
        <v>564</v>
      </c>
      <c r="K1182" s="698">
        <v>45957.47152777778</v>
      </c>
      <c r="L1182" s="698">
        <v>45957.47152777778</v>
      </c>
      <c r="M1182" t="s">
        <v>565</v>
      </c>
      <c r="N1182" t="s">
        <v>565</v>
      </c>
      <c r="O1182" t="s">
        <v>566</v>
      </c>
      <c r="P1182" t="s">
        <v>567</v>
      </c>
      <c r="S1182" t="s">
        <v>567</v>
      </c>
      <c r="T1182" t="s">
        <v>567</v>
      </c>
      <c r="Z1182" t="s">
        <v>568</v>
      </c>
      <c r="AA1182" t="s">
        <v>568</v>
      </c>
    </row>
    <row r="1183" spans="1:27">
      <c r="A1183" t="s">
        <v>3158</v>
      </c>
      <c r="B1183" t="s">
        <v>562</v>
      </c>
      <c r="C1183" t="s">
        <v>3162</v>
      </c>
      <c r="D1183" t="s">
        <v>3159</v>
      </c>
      <c r="E1183" t="s">
        <v>3167</v>
      </c>
      <c r="F1183" t="s">
        <v>562</v>
      </c>
      <c r="G1183" t="s">
        <v>562</v>
      </c>
      <c r="H1183" t="s">
        <v>562</v>
      </c>
      <c r="I1183">
        <v>4364</v>
      </c>
      <c r="J1183" t="s">
        <v>564</v>
      </c>
      <c r="K1183" s="698">
        <v>45957.509722222225</v>
      </c>
      <c r="L1183" s="698">
        <v>45957.509722222225</v>
      </c>
      <c r="M1183" t="s">
        <v>565</v>
      </c>
      <c r="N1183" t="s">
        <v>565</v>
      </c>
      <c r="O1183" t="s">
        <v>566</v>
      </c>
      <c r="P1183" t="s">
        <v>567</v>
      </c>
      <c r="S1183" t="s">
        <v>567</v>
      </c>
      <c r="T1183" t="s">
        <v>567</v>
      </c>
      <c r="Z1183" t="s">
        <v>568</v>
      </c>
      <c r="AA1183" t="s">
        <v>568</v>
      </c>
    </row>
    <row r="1184" spans="1:27">
      <c r="A1184" t="s">
        <v>3158</v>
      </c>
      <c r="B1184" t="s">
        <v>965</v>
      </c>
      <c r="C1184" t="s">
        <v>3162</v>
      </c>
      <c r="D1184" t="s">
        <v>3159</v>
      </c>
      <c r="E1184" t="s">
        <v>3168</v>
      </c>
      <c r="F1184" t="s">
        <v>562</v>
      </c>
      <c r="G1184" t="s">
        <v>562</v>
      </c>
      <c r="H1184" t="s">
        <v>562</v>
      </c>
      <c r="I1184">
        <v>4455</v>
      </c>
      <c r="J1184" t="s">
        <v>564</v>
      </c>
      <c r="K1184" s="698">
        <v>45957.520833333336</v>
      </c>
      <c r="L1184" s="698">
        <v>45957.520833333336</v>
      </c>
      <c r="M1184" t="s">
        <v>565</v>
      </c>
      <c r="N1184" t="s">
        <v>565</v>
      </c>
      <c r="O1184" t="s">
        <v>566</v>
      </c>
      <c r="P1184" t="s">
        <v>567</v>
      </c>
      <c r="S1184" t="s">
        <v>567</v>
      </c>
      <c r="T1184" t="s">
        <v>567</v>
      </c>
      <c r="Z1184" t="s">
        <v>568</v>
      </c>
      <c r="AA1184" t="s">
        <v>568</v>
      </c>
    </row>
    <row r="1185" spans="1:27">
      <c r="A1185" t="s">
        <v>3158</v>
      </c>
      <c r="B1185" t="s">
        <v>965</v>
      </c>
      <c r="C1185" t="s">
        <v>3162</v>
      </c>
      <c r="D1185" t="s">
        <v>3159</v>
      </c>
      <c r="E1185" t="s">
        <v>3169</v>
      </c>
      <c r="F1185" t="s">
        <v>562</v>
      </c>
      <c r="G1185" t="s">
        <v>562</v>
      </c>
      <c r="H1185" t="s">
        <v>562</v>
      </c>
      <c r="I1185">
        <v>4508</v>
      </c>
      <c r="J1185" t="s">
        <v>564</v>
      </c>
      <c r="K1185" s="698">
        <v>45957.527083333334</v>
      </c>
      <c r="L1185" s="698">
        <v>45957.527083333334</v>
      </c>
      <c r="M1185" t="s">
        <v>565</v>
      </c>
      <c r="N1185" t="s">
        <v>565</v>
      </c>
      <c r="O1185" t="s">
        <v>566</v>
      </c>
      <c r="P1185" t="s">
        <v>567</v>
      </c>
      <c r="S1185" t="s">
        <v>567</v>
      </c>
      <c r="T1185" t="s">
        <v>567</v>
      </c>
      <c r="Z1185" t="s">
        <v>568</v>
      </c>
      <c r="AA1185" t="s">
        <v>568</v>
      </c>
    </row>
    <row r="1186" spans="1:27">
      <c r="A1186" t="s">
        <v>3158</v>
      </c>
      <c r="B1186" t="s">
        <v>562</v>
      </c>
      <c r="C1186" t="s">
        <v>562</v>
      </c>
      <c r="D1186" t="s">
        <v>3159</v>
      </c>
      <c r="E1186" t="s">
        <v>3170</v>
      </c>
      <c r="F1186" t="s">
        <v>562</v>
      </c>
      <c r="G1186" t="s">
        <v>562</v>
      </c>
      <c r="H1186" t="s">
        <v>562</v>
      </c>
      <c r="I1186">
        <v>4509</v>
      </c>
      <c r="J1186" t="s">
        <v>564</v>
      </c>
      <c r="K1186" s="698">
        <v>45957.527083333334</v>
      </c>
      <c r="L1186" s="698">
        <v>45957.527083333334</v>
      </c>
      <c r="M1186" t="s">
        <v>565</v>
      </c>
      <c r="N1186" t="s">
        <v>565</v>
      </c>
      <c r="O1186" t="s">
        <v>566</v>
      </c>
      <c r="P1186" t="s">
        <v>567</v>
      </c>
      <c r="S1186" t="s">
        <v>567</v>
      </c>
      <c r="T1186" t="s">
        <v>567</v>
      </c>
      <c r="Z1186" t="s">
        <v>568</v>
      </c>
      <c r="AA1186" t="s">
        <v>568</v>
      </c>
    </row>
    <row r="1187" spans="1:27">
      <c r="A1187" t="s">
        <v>3158</v>
      </c>
      <c r="B1187" t="s">
        <v>562</v>
      </c>
      <c r="C1187" t="s">
        <v>562</v>
      </c>
      <c r="D1187" t="s">
        <v>3159</v>
      </c>
      <c r="E1187" t="s">
        <v>3171</v>
      </c>
      <c r="F1187" t="s">
        <v>562</v>
      </c>
      <c r="G1187" t="s">
        <v>562</v>
      </c>
      <c r="H1187" t="s">
        <v>562</v>
      </c>
      <c r="I1187">
        <v>4510</v>
      </c>
      <c r="J1187" t="s">
        <v>564</v>
      </c>
      <c r="K1187" s="698">
        <v>45957.527083333334</v>
      </c>
      <c r="L1187" s="698">
        <v>45957.527083333334</v>
      </c>
      <c r="M1187" t="s">
        <v>565</v>
      </c>
      <c r="N1187" t="s">
        <v>565</v>
      </c>
      <c r="O1187" t="s">
        <v>566</v>
      </c>
      <c r="P1187" t="s">
        <v>567</v>
      </c>
      <c r="S1187" t="s">
        <v>567</v>
      </c>
      <c r="T1187" t="s">
        <v>567</v>
      </c>
      <c r="Z1187" t="s">
        <v>568</v>
      </c>
      <c r="AA1187" t="s">
        <v>568</v>
      </c>
    </row>
    <row r="1188" spans="1:27">
      <c r="A1188" t="s">
        <v>3158</v>
      </c>
      <c r="B1188" t="s">
        <v>965</v>
      </c>
      <c r="C1188" t="s">
        <v>3162</v>
      </c>
      <c r="D1188" t="s">
        <v>3159</v>
      </c>
      <c r="E1188" t="s">
        <v>3172</v>
      </c>
      <c r="F1188" t="s">
        <v>562</v>
      </c>
      <c r="G1188" t="s">
        <v>562</v>
      </c>
      <c r="H1188" t="s">
        <v>562</v>
      </c>
      <c r="I1188">
        <v>4512</v>
      </c>
      <c r="J1188" t="s">
        <v>564</v>
      </c>
      <c r="K1188" s="698">
        <v>45957.527777777781</v>
      </c>
      <c r="L1188" s="698">
        <v>45957.527777777781</v>
      </c>
      <c r="M1188" t="s">
        <v>565</v>
      </c>
      <c r="N1188" t="s">
        <v>565</v>
      </c>
      <c r="O1188" t="s">
        <v>566</v>
      </c>
      <c r="P1188" t="s">
        <v>567</v>
      </c>
      <c r="S1188" t="s">
        <v>567</v>
      </c>
      <c r="T1188" t="s">
        <v>567</v>
      </c>
      <c r="Z1188" t="s">
        <v>568</v>
      </c>
      <c r="AA1188" t="s">
        <v>568</v>
      </c>
    </row>
    <row r="1189" spans="1:27">
      <c r="A1189" t="s">
        <v>3158</v>
      </c>
      <c r="B1189" t="s">
        <v>562</v>
      </c>
      <c r="C1189" t="s">
        <v>562</v>
      </c>
      <c r="D1189" t="s">
        <v>3159</v>
      </c>
      <c r="E1189" t="s">
        <v>3173</v>
      </c>
      <c r="F1189" t="s">
        <v>562</v>
      </c>
      <c r="G1189" t="s">
        <v>562</v>
      </c>
      <c r="H1189" t="s">
        <v>562</v>
      </c>
      <c r="I1189">
        <v>4609</v>
      </c>
      <c r="J1189" t="s">
        <v>564</v>
      </c>
      <c r="K1189" s="698">
        <v>45957.539583333331</v>
      </c>
      <c r="L1189" s="698">
        <v>45957.539583333331</v>
      </c>
      <c r="M1189" t="s">
        <v>565</v>
      </c>
      <c r="N1189" t="s">
        <v>565</v>
      </c>
      <c r="O1189" t="s">
        <v>566</v>
      </c>
      <c r="P1189" t="s">
        <v>567</v>
      </c>
      <c r="S1189" t="s">
        <v>567</v>
      </c>
      <c r="T1189" t="s">
        <v>567</v>
      </c>
      <c r="Z1189" t="s">
        <v>568</v>
      </c>
      <c r="AA1189" t="s">
        <v>568</v>
      </c>
    </row>
    <row r="1190" spans="1:27">
      <c r="A1190" t="s">
        <v>3158</v>
      </c>
      <c r="B1190" t="s">
        <v>3174</v>
      </c>
      <c r="C1190" t="s">
        <v>562</v>
      </c>
      <c r="D1190" t="s">
        <v>3159</v>
      </c>
      <c r="E1190" t="s">
        <v>3175</v>
      </c>
      <c r="F1190" t="s">
        <v>562</v>
      </c>
      <c r="G1190" t="s">
        <v>562</v>
      </c>
      <c r="H1190" t="s">
        <v>562</v>
      </c>
      <c r="I1190">
        <v>4618</v>
      </c>
      <c r="J1190" t="s">
        <v>564</v>
      </c>
      <c r="K1190" s="698">
        <v>45957.540972222225</v>
      </c>
      <c r="L1190" s="698">
        <v>45957.540972222225</v>
      </c>
      <c r="M1190" t="s">
        <v>565</v>
      </c>
      <c r="N1190" t="s">
        <v>565</v>
      </c>
      <c r="O1190" t="s">
        <v>566</v>
      </c>
      <c r="P1190" t="s">
        <v>567</v>
      </c>
      <c r="S1190" t="s">
        <v>567</v>
      </c>
      <c r="T1190" t="s">
        <v>567</v>
      </c>
      <c r="Z1190" t="s">
        <v>568</v>
      </c>
      <c r="AA1190" t="s">
        <v>568</v>
      </c>
    </row>
    <row r="1191" spans="1:27">
      <c r="A1191" t="s">
        <v>3176</v>
      </c>
      <c r="B1191" t="s">
        <v>3177</v>
      </c>
      <c r="C1191" t="s">
        <v>562</v>
      </c>
      <c r="D1191" t="s">
        <v>2420</v>
      </c>
      <c r="E1191" t="s">
        <v>3178</v>
      </c>
      <c r="F1191" t="s">
        <v>562</v>
      </c>
      <c r="G1191" t="s">
        <v>562</v>
      </c>
      <c r="H1191" t="s">
        <v>562</v>
      </c>
      <c r="I1191">
        <v>4348</v>
      </c>
      <c r="J1191" t="s">
        <v>564</v>
      </c>
      <c r="K1191" s="698">
        <v>45957.507638888892</v>
      </c>
      <c r="L1191" s="698">
        <v>45957.507638888892</v>
      </c>
      <c r="M1191" t="s">
        <v>565</v>
      </c>
      <c r="N1191" t="s">
        <v>565</v>
      </c>
      <c r="O1191" t="s">
        <v>566</v>
      </c>
      <c r="P1191" t="s">
        <v>567</v>
      </c>
      <c r="S1191" t="s">
        <v>567</v>
      </c>
      <c r="T1191" t="s">
        <v>567</v>
      </c>
      <c r="Z1191" t="s">
        <v>568</v>
      </c>
      <c r="AA1191" t="s">
        <v>568</v>
      </c>
    </row>
    <row r="1192" spans="1:27">
      <c r="A1192" t="s">
        <v>3179</v>
      </c>
      <c r="B1192" t="s">
        <v>562</v>
      </c>
      <c r="C1192" t="s">
        <v>562</v>
      </c>
      <c r="D1192" t="s">
        <v>3180</v>
      </c>
      <c r="E1192" t="s">
        <v>3181</v>
      </c>
      <c r="F1192" t="s">
        <v>562</v>
      </c>
      <c r="G1192" t="s">
        <v>562</v>
      </c>
      <c r="H1192" t="s">
        <v>562</v>
      </c>
      <c r="I1192">
        <v>5010</v>
      </c>
      <c r="J1192" t="s">
        <v>564</v>
      </c>
      <c r="K1192" s="698">
        <v>45957.559027777781</v>
      </c>
      <c r="L1192" s="698">
        <v>45957.559027777781</v>
      </c>
      <c r="M1192" t="s">
        <v>565</v>
      </c>
      <c r="N1192" t="s">
        <v>565</v>
      </c>
      <c r="O1192" t="s">
        <v>566</v>
      </c>
      <c r="P1192" t="s">
        <v>567</v>
      </c>
      <c r="S1192" t="s">
        <v>567</v>
      </c>
      <c r="T1192" t="s">
        <v>567</v>
      </c>
      <c r="Z1192" t="s">
        <v>568</v>
      </c>
      <c r="AA1192" t="s">
        <v>568</v>
      </c>
    </row>
    <row r="1193" spans="1:27">
      <c r="A1193" t="s">
        <v>3182</v>
      </c>
      <c r="B1193" t="s">
        <v>562</v>
      </c>
      <c r="C1193" t="s">
        <v>3183</v>
      </c>
      <c r="D1193" t="s">
        <v>3184</v>
      </c>
      <c r="E1193" t="s">
        <v>562</v>
      </c>
      <c r="F1193" t="s">
        <v>562</v>
      </c>
      <c r="G1193" t="s">
        <v>562</v>
      </c>
      <c r="H1193" t="s">
        <v>562</v>
      </c>
      <c r="I1193">
        <v>3549</v>
      </c>
      <c r="J1193" t="s">
        <v>564</v>
      </c>
      <c r="K1193" s="698">
        <v>45957.414583333331</v>
      </c>
      <c r="L1193" s="698">
        <v>45957.414583333331</v>
      </c>
      <c r="M1193" t="s">
        <v>565</v>
      </c>
      <c r="N1193" t="s">
        <v>565</v>
      </c>
      <c r="O1193" t="s">
        <v>566</v>
      </c>
      <c r="P1193" t="s">
        <v>567</v>
      </c>
      <c r="S1193" t="s">
        <v>567</v>
      </c>
      <c r="T1193" t="s">
        <v>567</v>
      </c>
      <c r="Z1193" t="s">
        <v>568</v>
      </c>
      <c r="AA1193" t="s">
        <v>568</v>
      </c>
    </row>
    <row r="1194" spans="1:27">
      <c r="A1194" t="s">
        <v>3182</v>
      </c>
      <c r="B1194" t="s">
        <v>3185</v>
      </c>
      <c r="C1194" t="s">
        <v>562</v>
      </c>
      <c r="D1194" t="s">
        <v>3186</v>
      </c>
      <c r="E1194" t="s">
        <v>3187</v>
      </c>
      <c r="F1194" t="s">
        <v>562</v>
      </c>
      <c r="G1194" t="s">
        <v>562</v>
      </c>
      <c r="H1194" t="s">
        <v>562</v>
      </c>
      <c r="I1194">
        <v>5246</v>
      </c>
      <c r="J1194" t="s">
        <v>564</v>
      </c>
      <c r="K1194" s="698">
        <v>46058.429861111108</v>
      </c>
      <c r="L1194" s="698">
        <v>46058.429861111108</v>
      </c>
      <c r="M1194" t="s">
        <v>565</v>
      </c>
      <c r="N1194" t="s">
        <v>565</v>
      </c>
      <c r="O1194" t="s">
        <v>566</v>
      </c>
      <c r="P1194" t="s">
        <v>567</v>
      </c>
      <c r="S1194" t="s">
        <v>567</v>
      </c>
      <c r="T1194" t="s">
        <v>567</v>
      </c>
      <c r="Z1194" t="s">
        <v>826</v>
      </c>
      <c r="AA1194" t="s">
        <v>826</v>
      </c>
    </row>
    <row r="1195" spans="1:27">
      <c r="A1195" t="s">
        <v>3188</v>
      </c>
      <c r="B1195" t="s">
        <v>3189</v>
      </c>
      <c r="C1195" t="s">
        <v>3190</v>
      </c>
      <c r="D1195" t="s">
        <v>562</v>
      </c>
      <c r="E1195" t="s">
        <v>1116</v>
      </c>
      <c r="F1195" t="s">
        <v>562</v>
      </c>
      <c r="G1195" t="s">
        <v>562</v>
      </c>
      <c r="H1195" t="s">
        <v>562</v>
      </c>
      <c r="I1195">
        <v>3724</v>
      </c>
      <c r="J1195" t="s">
        <v>564</v>
      </c>
      <c r="K1195" s="698">
        <v>45957.433333333334</v>
      </c>
      <c r="L1195" s="698">
        <v>45957.433333333334</v>
      </c>
      <c r="M1195" t="s">
        <v>565</v>
      </c>
      <c r="N1195" t="s">
        <v>565</v>
      </c>
      <c r="O1195" t="s">
        <v>566</v>
      </c>
      <c r="P1195" t="s">
        <v>567</v>
      </c>
      <c r="S1195" t="s">
        <v>567</v>
      </c>
      <c r="T1195" t="s">
        <v>567</v>
      </c>
      <c r="Z1195" t="s">
        <v>568</v>
      </c>
      <c r="AA1195" t="s">
        <v>568</v>
      </c>
    </row>
    <row r="1196" spans="1:27">
      <c r="A1196" t="s">
        <v>3191</v>
      </c>
      <c r="B1196" t="s">
        <v>562</v>
      </c>
      <c r="C1196" t="s">
        <v>562</v>
      </c>
      <c r="D1196" t="s">
        <v>3192</v>
      </c>
      <c r="E1196" t="s">
        <v>3193</v>
      </c>
      <c r="F1196" t="s">
        <v>562</v>
      </c>
      <c r="G1196" t="s">
        <v>562</v>
      </c>
      <c r="H1196" t="s">
        <v>562</v>
      </c>
      <c r="I1196">
        <v>4054</v>
      </c>
      <c r="J1196" t="s">
        <v>564</v>
      </c>
      <c r="K1196" s="698">
        <v>45957.470833333333</v>
      </c>
      <c r="L1196" s="698">
        <v>45957.470833333333</v>
      </c>
      <c r="M1196" t="s">
        <v>565</v>
      </c>
      <c r="N1196" t="s">
        <v>565</v>
      </c>
      <c r="O1196" t="s">
        <v>566</v>
      </c>
      <c r="P1196" t="s">
        <v>567</v>
      </c>
      <c r="S1196" t="s">
        <v>567</v>
      </c>
      <c r="T1196" t="s">
        <v>567</v>
      </c>
      <c r="Z1196" t="s">
        <v>568</v>
      </c>
      <c r="AA1196" t="s">
        <v>568</v>
      </c>
    </row>
    <row r="1197" spans="1:27">
      <c r="A1197" t="s">
        <v>3194</v>
      </c>
      <c r="B1197" t="s">
        <v>562</v>
      </c>
      <c r="C1197" t="s">
        <v>562</v>
      </c>
      <c r="D1197" t="s">
        <v>3192</v>
      </c>
      <c r="E1197" t="s">
        <v>3195</v>
      </c>
      <c r="F1197" t="s">
        <v>562</v>
      </c>
      <c r="G1197" t="s">
        <v>562</v>
      </c>
      <c r="H1197" t="s">
        <v>562</v>
      </c>
      <c r="I1197">
        <v>4057</v>
      </c>
      <c r="J1197" t="s">
        <v>564</v>
      </c>
      <c r="K1197" s="698">
        <v>45957.47152777778</v>
      </c>
      <c r="L1197" s="698">
        <v>45957.47152777778</v>
      </c>
      <c r="M1197" t="s">
        <v>565</v>
      </c>
      <c r="N1197" t="s">
        <v>565</v>
      </c>
      <c r="O1197" t="s">
        <v>566</v>
      </c>
      <c r="P1197" t="s">
        <v>567</v>
      </c>
      <c r="S1197" t="s">
        <v>567</v>
      </c>
      <c r="T1197" t="s">
        <v>567</v>
      </c>
      <c r="Z1197" t="s">
        <v>568</v>
      </c>
      <c r="AA1197" t="s">
        <v>568</v>
      </c>
    </row>
    <row r="1198" spans="1:27">
      <c r="A1198" t="s">
        <v>3194</v>
      </c>
      <c r="B1198" t="s">
        <v>3196</v>
      </c>
      <c r="C1198" t="s">
        <v>562</v>
      </c>
      <c r="D1198" t="s">
        <v>3192</v>
      </c>
      <c r="E1198" t="s">
        <v>3197</v>
      </c>
      <c r="F1198" t="s">
        <v>562</v>
      </c>
      <c r="G1198" t="s">
        <v>562</v>
      </c>
      <c r="H1198" t="s">
        <v>562</v>
      </c>
      <c r="I1198">
        <v>5197</v>
      </c>
      <c r="J1198" t="s">
        <v>564</v>
      </c>
      <c r="K1198" s="698">
        <v>45957.563888888886</v>
      </c>
      <c r="L1198" s="698">
        <v>45957.563888888886</v>
      </c>
      <c r="M1198" t="s">
        <v>565</v>
      </c>
      <c r="N1198" t="s">
        <v>565</v>
      </c>
      <c r="O1198" t="s">
        <v>566</v>
      </c>
      <c r="P1198" t="s">
        <v>567</v>
      </c>
      <c r="S1198" t="s">
        <v>567</v>
      </c>
      <c r="T1198" t="s">
        <v>567</v>
      </c>
      <c r="Z1198" t="s">
        <v>568</v>
      </c>
      <c r="AA1198" t="s">
        <v>568</v>
      </c>
    </row>
    <row r="1199" spans="1:27">
      <c r="A1199" t="s">
        <v>3198</v>
      </c>
      <c r="B1199" t="s">
        <v>3199</v>
      </c>
      <c r="C1199" t="s">
        <v>3200</v>
      </c>
      <c r="D1199" t="s">
        <v>562</v>
      </c>
      <c r="E1199" t="s">
        <v>3201</v>
      </c>
      <c r="F1199" t="s">
        <v>562</v>
      </c>
      <c r="G1199" t="s">
        <v>562</v>
      </c>
      <c r="H1199" t="s">
        <v>562</v>
      </c>
      <c r="I1199">
        <v>4116</v>
      </c>
      <c r="J1199" t="s">
        <v>564</v>
      </c>
      <c r="K1199" s="698">
        <v>45957.478472222225</v>
      </c>
      <c r="L1199" s="698">
        <v>45957.478472222225</v>
      </c>
      <c r="M1199" t="s">
        <v>565</v>
      </c>
      <c r="N1199" t="s">
        <v>565</v>
      </c>
      <c r="O1199" t="s">
        <v>566</v>
      </c>
      <c r="P1199" t="s">
        <v>567</v>
      </c>
      <c r="S1199" t="s">
        <v>567</v>
      </c>
      <c r="T1199" t="s">
        <v>567</v>
      </c>
      <c r="Z1199" t="s">
        <v>568</v>
      </c>
      <c r="AA1199" t="s">
        <v>568</v>
      </c>
    </row>
    <row r="1200" spans="1:27">
      <c r="A1200" t="s">
        <v>3198</v>
      </c>
      <c r="B1200" t="s">
        <v>3202</v>
      </c>
      <c r="C1200" t="s">
        <v>3203</v>
      </c>
      <c r="D1200" t="s">
        <v>562</v>
      </c>
      <c r="E1200" t="s">
        <v>3204</v>
      </c>
      <c r="F1200" t="s">
        <v>562</v>
      </c>
      <c r="G1200" t="s">
        <v>562</v>
      </c>
      <c r="H1200" t="s">
        <v>562</v>
      </c>
      <c r="I1200">
        <v>4118</v>
      </c>
      <c r="J1200" t="s">
        <v>564</v>
      </c>
      <c r="K1200" s="698">
        <v>45957.478472222225</v>
      </c>
      <c r="L1200" s="698">
        <v>45957.478472222225</v>
      </c>
      <c r="M1200" t="s">
        <v>565</v>
      </c>
      <c r="N1200" t="s">
        <v>565</v>
      </c>
      <c r="O1200" t="s">
        <v>566</v>
      </c>
      <c r="P1200" t="s">
        <v>567</v>
      </c>
      <c r="S1200" t="s">
        <v>567</v>
      </c>
      <c r="T1200" t="s">
        <v>567</v>
      </c>
      <c r="Z1200" t="s">
        <v>568</v>
      </c>
      <c r="AA1200" t="s">
        <v>568</v>
      </c>
    </row>
    <row r="1201" spans="1:27">
      <c r="A1201" t="s">
        <v>3198</v>
      </c>
      <c r="B1201" t="s">
        <v>3205</v>
      </c>
      <c r="C1201" t="s">
        <v>3206</v>
      </c>
      <c r="D1201" t="s">
        <v>562</v>
      </c>
      <c r="E1201" t="s">
        <v>3207</v>
      </c>
      <c r="F1201" t="s">
        <v>562</v>
      </c>
      <c r="G1201" t="s">
        <v>562</v>
      </c>
      <c r="H1201" t="s">
        <v>562</v>
      </c>
      <c r="I1201">
        <v>4119</v>
      </c>
      <c r="J1201" t="s">
        <v>564</v>
      </c>
      <c r="K1201" s="698">
        <v>45957.478472222225</v>
      </c>
      <c r="L1201" s="698">
        <v>45957.478472222225</v>
      </c>
      <c r="M1201" t="s">
        <v>565</v>
      </c>
      <c r="N1201" t="s">
        <v>565</v>
      </c>
      <c r="O1201" t="s">
        <v>566</v>
      </c>
      <c r="P1201" t="s">
        <v>567</v>
      </c>
      <c r="S1201" t="s">
        <v>567</v>
      </c>
      <c r="T1201" t="s">
        <v>567</v>
      </c>
      <c r="Z1201" t="s">
        <v>568</v>
      </c>
      <c r="AA1201" t="s">
        <v>568</v>
      </c>
    </row>
    <row r="1202" spans="1:27">
      <c r="A1202" t="s">
        <v>3208</v>
      </c>
      <c r="B1202" t="s">
        <v>3209</v>
      </c>
      <c r="C1202" t="s">
        <v>3210</v>
      </c>
      <c r="D1202" t="s">
        <v>3211</v>
      </c>
      <c r="E1202" t="s">
        <v>562</v>
      </c>
      <c r="F1202" t="s">
        <v>562</v>
      </c>
      <c r="G1202" t="s">
        <v>562</v>
      </c>
      <c r="H1202" t="s">
        <v>562</v>
      </c>
      <c r="I1202">
        <v>3550</v>
      </c>
      <c r="J1202" t="s">
        <v>564</v>
      </c>
      <c r="K1202" s="698">
        <v>45957.414583333331</v>
      </c>
      <c r="L1202" s="698">
        <v>45957.414583333331</v>
      </c>
      <c r="M1202" t="s">
        <v>565</v>
      </c>
      <c r="N1202" t="s">
        <v>565</v>
      </c>
      <c r="O1202" t="s">
        <v>566</v>
      </c>
      <c r="P1202" t="s">
        <v>567</v>
      </c>
      <c r="S1202" t="s">
        <v>567</v>
      </c>
      <c r="T1202" t="s">
        <v>567</v>
      </c>
      <c r="Z1202" t="s">
        <v>568</v>
      </c>
      <c r="AA1202" t="s">
        <v>568</v>
      </c>
    </row>
    <row r="1203" spans="1:27">
      <c r="A1203" t="s">
        <v>3212</v>
      </c>
      <c r="B1203" t="s">
        <v>3202</v>
      </c>
      <c r="C1203" t="s">
        <v>3213</v>
      </c>
      <c r="D1203" t="s">
        <v>3214</v>
      </c>
      <c r="E1203" t="s">
        <v>3215</v>
      </c>
      <c r="F1203" t="s">
        <v>562</v>
      </c>
      <c r="G1203" t="s">
        <v>562</v>
      </c>
      <c r="H1203" t="s">
        <v>562</v>
      </c>
      <c r="I1203">
        <v>3643</v>
      </c>
      <c r="J1203" t="s">
        <v>564</v>
      </c>
      <c r="K1203" s="698">
        <v>45957.425000000003</v>
      </c>
      <c r="L1203" s="698">
        <v>45957.425000000003</v>
      </c>
      <c r="M1203" t="s">
        <v>565</v>
      </c>
      <c r="N1203" t="s">
        <v>565</v>
      </c>
      <c r="O1203" t="s">
        <v>566</v>
      </c>
      <c r="P1203" t="s">
        <v>567</v>
      </c>
      <c r="S1203" t="s">
        <v>567</v>
      </c>
      <c r="T1203" t="s">
        <v>567</v>
      </c>
      <c r="Z1203" t="s">
        <v>568</v>
      </c>
      <c r="AA1203" t="s">
        <v>568</v>
      </c>
    </row>
    <row r="1204" spans="1:27">
      <c r="A1204" t="s">
        <v>3212</v>
      </c>
      <c r="B1204" t="s">
        <v>3202</v>
      </c>
      <c r="C1204" t="s">
        <v>3213</v>
      </c>
      <c r="D1204" t="s">
        <v>3214</v>
      </c>
      <c r="E1204" t="s">
        <v>3216</v>
      </c>
      <c r="F1204" t="s">
        <v>562</v>
      </c>
      <c r="G1204" t="s">
        <v>562</v>
      </c>
      <c r="H1204" t="s">
        <v>562</v>
      </c>
      <c r="I1204">
        <v>3698</v>
      </c>
      <c r="J1204" t="s">
        <v>564</v>
      </c>
      <c r="K1204" s="698">
        <v>45957.430555555555</v>
      </c>
      <c r="L1204" s="698">
        <v>45957.430555555555</v>
      </c>
      <c r="M1204" t="s">
        <v>565</v>
      </c>
      <c r="N1204" t="s">
        <v>565</v>
      </c>
      <c r="O1204" t="s">
        <v>566</v>
      </c>
      <c r="P1204" t="s">
        <v>567</v>
      </c>
      <c r="S1204" t="s">
        <v>567</v>
      </c>
      <c r="T1204" t="s">
        <v>567</v>
      </c>
      <c r="Z1204" t="s">
        <v>568</v>
      </c>
      <c r="AA1204" t="s">
        <v>568</v>
      </c>
    </row>
    <row r="1205" spans="1:27">
      <c r="A1205" t="s">
        <v>3212</v>
      </c>
      <c r="B1205" t="s">
        <v>3202</v>
      </c>
      <c r="C1205" t="s">
        <v>3213</v>
      </c>
      <c r="D1205" t="s">
        <v>3214</v>
      </c>
      <c r="E1205" t="s">
        <v>3217</v>
      </c>
      <c r="F1205" t="s">
        <v>562</v>
      </c>
      <c r="G1205" t="s">
        <v>562</v>
      </c>
      <c r="H1205" t="s">
        <v>562</v>
      </c>
      <c r="I1205">
        <v>3714</v>
      </c>
      <c r="J1205" t="s">
        <v>564</v>
      </c>
      <c r="K1205" s="698">
        <v>45957.432638888888</v>
      </c>
      <c r="L1205" s="698">
        <v>45957.432638888888</v>
      </c>
      <c r="M1205" t="s">
        <v>565</v>
      </c>
      <c r="N1205" t="s">
        <v>565</v>
      </c>
      <c r="O1205" t="s">
        <v>566</v>
      </c>
      <c r="P1205" t="s">
        <v>567</v>
      </c>
      <c r="S1205" t="s">
        <v>567</v>
      </c>
      <c r="T1205" t="s">
        <v>567</v>
      </c>
      <c r="Z1205" t="s">
        <v>568</v>
      </c>
      <c r="AA1205" t="s">
        <v>568</v>
      </c>
    </row>
    <row r="1206" spans="1:27">
      <c r="A1206" t="s">
        <v>3212</v>
      </c>
      <c r="B1206" t="s">
        <v>562</v>
      </c>
      <c r="C1206" t="s">
        <v>562</v>
      </c>
      <c r="D1206" t="s">
        <v>3214</v>
      </c>
      <c r="E1206" t="s">
        <v>3218</v>
      </c>
      <c r="F1206" t="s">
        <v>562</v>
      </c>
      <c r="G1206" t="s">
        <v>562</v>
      </c>
      <c r="H1206" t="s">
        <v>562</v>
      </c>
      <c r="I1206">
        <v>4360</v>
      </c>
      <c r="J1206" t="s">
        <v>564</v>
      </c>
      <c r="K1206" s="698">
        <v>45957.509027777778</v>
      </c>
      <c r="L1206" s="698">
        <v>45957.509027777778</v>
      </c>
      <c r="M1206" t="s">
        <v>565</v>
      </c>
      <c r="N1206" t="s">
        <v>565</v>
      </c>
      <c r="O1206" t="s">
        <v>566</v>
      </c>
      <c r="P1206" t="s">
        <v>567</v>
      </c>
      <c r="S1206" t="s">
        <v>567</v>
      </c>
      <c r="T1206" t="s">
        <v>567</v>
      </c>
      <c r="Z1206" t="s">
        <v>568</v>
      </c>
      <c r="AA1206" t="s">
        <v>568</v>
      </c>
    </row>
    <row r="1207" spans="1:27">
      <c r="A1207" t="s">
        <v>3212</v>
      </c>
      <c r="B1207" t="s">
        <v>2698</v>
      </c>
      <c r="C1207" t="s">
        <v>3219</v>
      </c>
      <c r="D1207" t="s">
        <v>3214</v>
      </c>
      <c r="E1207" t="s">
        <v>3220</v>
      </c>
      <c r="F1207" t="s">
        <v>562</v>
      </c>
      <c r="G1207" t="s">
        <v>562</v>
      </c>
      <c r="H1207" t="s">
        <v>562</v>
      </c>
      <c r="I1207">
        <v>4590</v>
      </c>
      <c r="J1207" t="s">
        <v>564</v>
      </c>
      <c r="K1207" s="698">
        <v>45957.537499999999</v>
      </c>
      <c r="L1207" s="698">
        <v>45957.537499999999</v>
      </c>
      <c r="M1207" t="s">
        <v>565</v>
      </c>
      <c r="N1207" t="s">
        <v>565</v>
      </c>
      <c r="O1207" t="s">
        <v>566</v>
      </c>
      <c r="P1207" t="s">
        <v>567</v>
      </c>
      <c r="S1207" t="s">
        <v>567</v>
      </c>
      <c r="T1207" t="s">
        <v>567</v>
      </c>
      <c r="Z1207" t="s">
        <v>568</v>
      </c>
      <c r="AA1207" t="s">
        <v>568</v>
      </c>
    </row>
    <row r="1208" spans="1:27">
      <c r="A1208" t="s">
        <v>3221</v>
      </c>
      <c r="B1208" t="s">
        <v>3222</v>
      </c>
      <c r="C1208" t="s">
        <v>3223</v>
      </c>
      <c r="D1208" t="s">
        <v>562</v>
      </c>
      <c r="E1208" t="s">
        <v>3224</v>
      </c>
      <c r="F1208" t="s">
        <v>562</v>
      </c>
      <c r="G1208" t="s">
        <v>562</v>
      </c>
      <c r="H1208" t="s">
        <v>562</v>
      </c>
      <c r="I1208">
        <v>3620</v>
      </c>
      <c r="J1208" t="s">
        <v>564</v>
      </c>
      <c r="K1208" s="698">
        <v>45957.422222222223</v>
      </c>
      <c r="L1208" s="698">
        <v>45957.422222222223</v>
      </c>
      <c r="M1208" t="s">
        <v>565</v>
      </c>
      <c r="N1208" t="s">
        <v>565</v>
      </c>
      <c r="O1208" t="s">
        <v>566</v>
      </c>
      <c r="P1208" t="s">
        <v>567</v>
      </c>
      <c r="S1208" t="s">
        <v>567</v>
      </c>
      <c r="T1208" t="s">
        <v>567</v>
      </c>
      <c r="Z1208" t="s">
        <v>568</v>
      </c>
      <c r="AA1208" t="s">
        <v>568</v>
      </c>
    </row>
    <row r="1209" spans="1:27">
      <c r="A1209" t="s">
        <v>3225</v>
      </c>
      <c r="B1209" t="s">
        <v>764</v>
      </c>
      <c r="C1209" t="s">
        <v>3226</v>
      </c>
      <c r="D1209" t="s">
        <v>3227</v>
      </c>
      <c r="E1209" t="s">
        <v>3228</v>
      </c>
      <c r="F1209" t="s">
        <v>562</v>
      </c>
      <c r="G1209" t="s">
        <v>562</v>
      </c>
      <c r="H1209" t="s">
        <v>562</v>
      </c>
      <c r="I1209">
        <v>3551</v>
      </c>
      <c r="J1209" t="s">
        <v>564</v>
      </c>
      <c r="K1209" s="698">
        <v>45957.414583333331</v>
      </c>
      <c r="L1209" s="698">
        <v>45957.414583333331</v>
      </c>
      <c r="M1209" t="s">
        <v>565</v>
      </c>
      <c r="N1209" t="s">
        <v>565</v>
      </c>
      <c r="O1209" t="s">
        <v>566</v>
      </c>
      <c r="P1209" t="s">
        <v>567</v>
      </c>
      <c r="S1209" t="s">
        <v>567</v>
      </c>
      <c r="T1209" t="s">
        <v>567</v>
      </c>
      <c r="Z1209" t="s">
        <v>568</v>
      </c>
      <c r="AA1209" t="s">
        <v>568</v>
      </c>
    </row>
    <row r="1210" spans="1:27">
      <c r="A1210" t="s">
        <v>3229</v>
      </c>
      <c r="B1210" t="s">
        <v>562</v>
      </c>
      <c r="C1210" t="s">
        <v>562</v>
      </c>
      <c r="D1210" t="s">
        <v>3230</v>
      </c>
      <c r="E1210" t="s">
        <v>3231</v>
      </c>
      <c r="F1210" t="s">
        <v>562</v>
      </c>
      <c r="G1210" t="s">
        <v>562</v>
      </c>
      <c r="H1210" t="s">
        <v>562</v>
      </c>
      <c r="I1210">
        <v>4011</v>
      </c>
      <c r="J1210" t="s">
        <v>564</v>
      </c>
      <c r="K1210" s="698">
        <v>45957.46597222222</v>
      </c>
      <c r="L1210" s="698">
        <v>45957.46597222222</v>
      </c>
      <c r="M1210" t="s">
        <v>565</v>
      </c>
      <c r="N1210" t="s">
        <v>565</v>
      </c>
      <c r="O1210" t="s">
        <v>566</v>
      </c>
      <c r="P1210" t="s">
        <v>567</v>
      </c>
      <c r="S1210" t="s">
        <v>567</v>
      </c>
      <c r="T1210" t="s">
        <v>567</v>
      </c>
      <c r="Z1210" t="s">
        <v>568</v>
      </c>
      <c r="AA1210" t="s">
        <v>568</v>
      </c>
    </row>
    <row r="1211" spans="1:27">
      <c r="A1211" t="s">
        <v>3232</v>
      </c>
      <c r="B1211" t="s">
        <v>3233</v>
      </c>
      <c r="C1211" t="s">
        <v>3234</v>
      </c>
      <c r="D1211" t="s">
        <v>562</v>
      </c>
      <c r="E1211" t="s">
        <v>1049</v>
      </c>
      <c r="F1211" t="s">
        <v>562</v>
      </c>
      <c r="G1211" t="s">
        <v>562</v>
      </c>
      <c r="H1211" t="s">
        <v>562</v>
      </c>
      <c r="I1211">
        <v>4879</v>
      </c>
      <c r="J1211" t="s">
        <v>564</v>
      </c>
      <c r="K1211" s="698">
        <v>45957.554861111108</v>
      </c>
      <c r="L1211" s="698">
        <v>45957.554861111108</v>
      </c>
      <c r="M1211" t="s">
        <v>565</v>
      </c>
      <c r="N1211" t="s">
        <v>565</v>
      </c>
      <c r="O1211" t="s">
        <v>566</v>
      </c>
      <c r="P1211" t="s">
        <v>567</v>
      </c>
      <c r="S1211" t="s">
        <v>567</v>
      </c>
      <c r="T1211" t="s">
        <v>567</v>
      </c>
      <c r="Z1211" t="s">
        <v>568</v>
      </c>
      <c r="AA1211" t="s">
        <v>568</v>
      </c>
    </row>
    <row r="1212" spans="1:27">
      <c r="A1212" t="s">
        <v>3235</v>
      </c>
      <c r="B1212" t="s">
        <v>683</v>
      </c>
      <c r="C1212" t="s">
        <v>3236</v>
      </c>
      <c r="D1212" t="s">
        <v>562</v>
      </c>
      <c r="E1212" t="s">
        <v>3237</v>
      </c>
      <c r="F1212" t="s">
        <v>562</v>
      </c>
      <c r="G1212" t="s">
        <v>562</v>
      </c>
      <c r="H1212" t="s">
        <v>562</v>
      </c>
      <c r="I1212">
        <v>4464</v>
      </c>
      <c r="J1212" t="s">
        <v>564</v>
      </c>
      <c r="K1212" s="698">
        <v>45957.521527777775</v>
      </c>
      <c r="L1212" s="698">
        <v>45957.521527777775</v>
      </c>
      <c r="M1212" t="s">
        <v>565</v>
      </c>
      <c r="N1212" t="s">
        <v>565</v>
      </c>
      <c r="O1212" t="s">
        <v>566</v>
      </c>
      <c r="P1212" t="s">
        <v>567</v>
      </c>
      <c r="S1212" t="s">
        <v>567</v>
      </c>
      <c r="T1212" t="s">
        <v>567</v>
      </c>
      <c r="Z1212" t="s">
        <v>568</v>
      </c>
      <c r="AA1212" t="s">
        <v>568</v>
      </c>
    </row>
    <row r="1213" spans="1:27">
      <c r="A1213" t="s">
        <v>3235</v>
      </c>
      <c r="B1213" t="s">
        <v>3238</v>
      </c>
      <c r="C1213" t="s">
        <v>562</v>
      </c>
      <c r="D1213" t="s">
        <v>562</v>
      </c>
      <c r="E1213" t="s">
        <v>3239</v>
      </c>
      <c r="F1213" t="s">
        <v>562</v>
      </c>
      <c r="G1213" t="s">
        <v>562</v>
      </c>
      <c r="H1213" t="s">
        <v>562</v>
      </c>
      <c r="I1213">
        <v>4466</v>
      </c>
      <c r="J1213" t="s">
        <v>564</v>
      </c>
      <c r="K1213" s="698">
        <v>45957.522222222222</v>
      </c>
      <c r="L1213" s="698">
        <v>45957.522222222222</v>
      </c>
      <c r="M1213" t="s">
        <v>565</v>
      </c>
      <c r="N1213" t="s">
        <v>565</v>
      </c>
      <c r="O1213" t="s">
        <v>566</v>
      </c>
      <c r="P1213" t="s">
        <v>567</v>
      </c>
      <c r="S1213" t="s">
        <v>567</v>
      </c>
      <c r="T1213" t="s">
        <v>567</v>
      </c>
      <c r="Z1213" t="s">
        <v>568</v>
      </c>
      <c r="AA1213" t="s">
        <v>568</v>
      </c>
    </row>
    <row r="1214" spans="1:27">
      <c r="A1214" t="s">
        <v>3235</v>
      </c>
      <c r="B1214" t="s">
        <v>683</v>
      </c>
      <c r="C1214" t="s">
        <v>562</v>
      </c>
      <c r="D1214" t="s">
        <v>562</v>
      </c>
      <c r="E1214" t="s">
        <v>3197</v>
      </c>
      <c r="F1214" t="s">
        <v>562</v>
      </c>
      <c r="G1214" t="s">
        <v>562</v>
      </c>
      <c r="H1214" t="s">
        <v>562</v>
      </c>
      <c r="I1214">
        <v>4488</v>
      </c>
      <c r="J1214" t="s">
        <v>564</v>
      </c>
      <c r="K1214" s="698">
        <v>45957.525000000001</v>
      </c>
      <c r="L1214" s="698">
        <v>45957.525000000001</v>
      </c>
      <c r="M1214" t="s">
        <v>565</v>
      </c>
      <c r="N1214" t="s">
        <v>565</v>
      </c>
      <c r="O1214" t="s">
        <v>566</v>
      </c>
      <c r="P1214" t="s">
        <v>567</v>
      </c>
      <c r="S1214" t="s">
        <v>567</v>
      </c>
      <c r="T1214" t="s">
        <v>567</v>
      </c>
      <c r="Z1214" t="s">
        <v>568</v>
      </c>
      <c r="AA1214" t="s">
        <v>568</v>
      </c>
    </row>
    <row r="1215" spans="1:27">
      <c r="A1215" t="s">
        <v>3235</v>
      </c>
      <c r="B1215" t="s">
        <v>683</v>
      </c>
      <c r="C1215" t="s">
        <v>3240</v>
      </c>
      <c r="D1215" t="s">
        <v>1712</v>
      </c>
      <c r="E1215" t="s">
        <v>3241</v>
      </c>
      <c r="F1215" t="s">
        <v>562</v>
      </c>
      <c r="G1215" t="s">
        <v>562</v>
      </c>
      <c r="H1215" t="s">
        <v>562</v>
      </c>
      <c r="I1215">
        <v>5209</v>
      </c>
      <c r="J1215" t="s">
        <v>564</v>
      </c>
      <c r="K1215" s="698">
        <v>45957.564583333333</v>
      </c>
      <c r="L1215" s="698">
        <v>45957.564583333333</v>
      </c>
      <c r="M1215" t="s">
        <v>565</v>
      </c>
      <c r="N1215" t="s">
        <v>565</v>
      </c>
      <c r="O1215" t="s">
        <v>566</v>
      </c>
      <c r="P1215" t="s">
        <v>567</v>
      </c>
      <c r="S1215" t="s">
        <v>567</v>
      </c>
      <c r="T1215" t="s">
        <v>567</v>
      </c>
      <c r="Z1215" t="s">
        <v>568</v>
      </c>
      <c r="AA1215" t="s">
        <v>568</v>
      </c>
    </row>
    <row r="1216" spans="1:27">
      <c r="A1216" t="s">
        <v>3242</v>
      </c>
      <c r="B1216" t="s">
        <v>3243</v>
      </c>
      <c r="C1216" t="s">
        <v>3244</v>
      </c>
      <c r="D1216" t="s">
        <v>562</v>
      </c>
      <c r="E1216" t="s">
        <v>3245</v>
      </c>
      <c r="F1216" t="s">
        <v>562</v>
      </c>
      <c r="G1216" t="s">
        <v>562</v>
      </c>
      <c r="H1216" t="s">
        <v>562</v>
      </c>
      <c r="I1216">
        <v>4711</v>
      </c>
      <c r="J1216" t="s">
        <v>564</v>
      </c>
      <c r="K1216" s="698">
        <v>45957.549305555556</v>
      </c>
      <c r="L1216" s="698">
        <v>45957.549305555556</v>
      </c>
      <c r="M1216" t="s">
        <v>565</v>
      </c>
      <c r="N1216" t="s">
        <v>565</v>
      </c>
      <c r="O1216" t="s">
        <v>566</v>
      </c>
      <c r="P1216" t="s">
        <v>567</v>
      </c>
      <c r="S1216" t="s">
        <v>567</v>
      </c>
      <c r="T1216" t="s">
        <v>567</v>
      </c>
      <c r="Z1216" t="s">
        <v>568</v>
      </c>
      <c r="AA1216" t="s">
        <v>568</v>
      </c>
    </row>
    <row r="1217" spans="1:27">
      <c r="A1217" t="s">
        <v>3246</v>
      </c>
      <c r="B1217" t="s">
        <v>3247</v>
      </c>
      <c r="C1217" t="s">
        <v>3244</v>
      </c>
      <c r="D1217" t="s">
        <v>562</v>
      </c>
      <c r="E1217" t="s">
        <v>3248</v>
      </c>
      <c r="F1217" t="s">
        <v>562</v>
      </c>
      <c r="G1217" t="s">
        <v>562</v>
      </c>
      <c r="H1217" t="s">
        <v>562</v>
      </c>
      <c r="I1217">
        <v>4749</v>
      </c>
      <c r="J1217" t="s">
        <v>564</v>
      </c>
      <c r="K1217" s="698">
        <v>45957.550694444442</v>
      </c>
      <c r="L1217" s="698">
        <v>45957.550694444442</v>
      </c>
      <c r="M1217" t="s">
        <v>565</v>
      </c>
      <c r="N1217" t="s">
        <v>565</v>
      </c>
      <c r="O1217" t="s">
        <v>566</v>
      </c>
      <c r="P1217" t="s">
        <v>567</v>
      </c>
      <c r="S1217" t="s">
        <v>567</v>
      </c>
      <c r="T1217" t="s">
        <v>567</v>
      </c>
      <c r="Z1217" t="s">
        <v>568</v>
      </c>
      <c r="AA1217" t="s">
        <v>568</v>
      </c>
    </row>
    <row r="1218" spans="1:27">
      <c r="A1218" t="s">
        <v>1007</v>
      </c>
      <c r="B1218" t="s">
        <v>1007</v>
      </c>
      <c r="C1218" t="s">
        <v>3249</v>
      </c>
      <c r="D1218" t="s">
        <v>3250</v>
      </c>
      <c r="E1218" t="s">
        <v>3251</v>
      </c>
      <c r="F1218" t="s">
        <v>562</v>
      </c>
      <c r="G1218" t="s">
        <v>562</v>
      </c>
      <c r="H1218" t="s">
        <v>562</v>
      </c>
      <c r="I1218">
        <v>4589</v>
      </c>
      <c r="J1218" t="s">
        <v>564</v>
      </c>
      <c r="K1218" s="698">
        <v>45957.537499999999</v>
      </c>
      <c r="L1218" s="698">
        <v>45957.537499999999</v>
      </c>
      <c r="M1218" t="s">
        <v>565</v>
      </c>
      <c r="N1218" t="s">
        <v>565</v>
      </c>
      <c r="O1218" t="s">
        <v>566</v>
      </c>
      <c r="P1218" t="s">
        <v>567</v>
      </c>
      <c r="S1218" t="s">
        <v>567</v>
      </c>
      <c r="T1218" t="s">
        <v>567</v>
      </c>
      <c r="Z1218" t="s">
        <v>568</v>
      </c>
      <c r="AA1218" t="s">
        <v>568</v>
      </c>
    </row>
    <row r="1219" spans="1:27">
      <c r="A1219" t="s">
        <v>1007</v>
      </c>
      <c r="B1219" t="s">
        <v>1007</v>
      </c>
      <c r="C1219" t="s">
        <v>3249</v>
      </c>
      <c r="D1219" t="s">
        <v>3250</v>
      </c>
      <c r="E1219" t="s">
        <v>3252</v>
      </c>
      <c r="F1219" t="s">
        <v>562</v>
      </c>
      <c r="G1219" t="s">
        <v>562</v>
      </c>
      <c r="H1219" t="s">
        <v>562</v>
      </c>
      <c r="I1219">
        <v>5155</v>
      </c>
      <c r="J1219" t="s">
        <v>564</v>
      </c>
      <c r="K1219" s="698">
        <v>45957.563194444447</v>
      </c>
      <c r="L1219" s="698">
        <v>45957.563194444447</v>
      </c>
      <c r="M1219" t="s">
        <v>565</v>
      </c>
      <c r="N1219" t="s">
        <v>565</v>
      </c>
      <c r="O1219" t="s">
        <v>566</v>
      </c>
      <c r="P1219" t="s">
        <v>567</v>
      </c>
      <c r="S1219" t="s">
        <v>567</v>
      </c>
      <c r="T1219" t="s">
        <v>567</v>
      </c>
      <c r="Z1219" t="s">
        <v>568</v>
      </c>
      <c r="AA1219" t="s">
        <v>568</v>
      </c>
    </row>
    <row r="1220" spans="1:27">
      <c r="A1220" t="s">
        <v>3253</v>
      </c>
      <c r="B1220" t="s">
        <v>562</v>
      </c>
      <c r="C1220" t="s">
        <v>3254</v>
      </c>
      <c r="D1220" t="s">
        <v>3255</v>
      </c>
      <c r="E1220" t="s">
        <v>562</v>
      </c>
      <c r="F1220" t="s">
        <v>562</v>
      </c>
      <c r="G1220" t="s">
        <v>562</v>
      </c>
      <c r="H1220" t="s">
        <v>562</v>
      </c>
      <c r="I1220">
        <v>3552</v>
      </c>
      <c r="J1220" t="s">
        <v>564</v>
      </c>
      <c r="K1220" s="698">
        <v>45957.415277777778</v>
      </c>
      <c r="L1220" s="698">
        <v>45957.415277777778</v>
      </c>
      <c r="M1220" t="s">
        <v>565</v>
      </c>
      <c r="N1220" t="s">
        <v>565</v>
      </c>
      <c r="O1220" t="s">
        <v>566</v>
      </c>
      <c r="P1220" t="s">
        <v>567</v>
      </c>
      <c r="S1220" t="s">
        <v>567</v>
      </c>
      <c r="T1220" t="s">
        <v>567</v>
      </c>
      <c r="Z1220" t="s">
        <v>568</v>
      </c>
      <c r="AA1220" t="s">
        <v>568</v>
      </c>
    </row>
    <row r="1221" spans="1:27">
      <c r="A1221" t="s">
        <v>3256</v>
      </c>
      <c r="B1221" t="s">
        <v>3257</v>
      </c>
      <c r="C1221" t="s">
        <v>3258</v>
      </c>
      <c r="D1221" t="s">
        <v>562</v>
      </c>
      <c r="E1221" t="s">
        <v>3259</v>
      </c>
      <c r="F1221" t="s">
        <v>562</v>
      </c>
      <c r="G1221" t="s">
        <v>562</v>
      </c>
      <c r="H1221" t="s">
        <v>562</v>
      </c>
      <c r="I1221">
        <v>4850</v>
      </c>
      <c r="J1221" t="s">
        <v>564</v>
      </c>
      <c r="K1221" s="698">
        <v>45957.554166666669</v>
      </c>
      <c r="L1221" s="698">
        <v>45957.554166666669</v>
      </c>
      <c r="M1221" t="s">
        <v>565</v>
      </c>
      <c r="N1221" t="s">
        <v>565</v>
      </c>
      <c r="O1221" t="s">
        <v>566</v>
      </c>
      <c r="P1221" t="s">
        <v>567</v>
      </c>
      <c r="S1221" t="s">
        <v>567</v>
      </c>
      <c r="T1221" t="s">
        <v>567</v>
      </c>
      <c r="Z1221" t="s">
        <v>568</v>
      </c>
      <c r="AA1221" t="s">
        <v>568</v>
      </c>
    </row>
    <row r="1222" spans="1:27">
      <c r="A1222" t="s">
        <v>3260</v>
      </c>
      <c r="B1222" t="s">
        <v>2155</v>
      </c>
      <c r="C1222" t="s">
        <v>3261</v>
      </c>
      <c r="D1222" t="s">
        <v>3262</v>
      </c>
      <c r="E1222" t="s">
        <v>562</v>
      </c>
      <c r="F1222" t="s">
        <v>562</v>
      </c>
      <c r="G1222" t="s">
        <v>562</v>
      </c>
      <c r="H1222" t="s">
        <v>562</v>
      </c>
      <c r="I1222">
        <v>3553</v>
      </c>
      <c r="J1222" t="s">
        <v>564</v>
      </c>
      <c r="K1222" s="698">
        <v>45957.415277777778</v>
      </c>
      <c r="L1222" s="698">
        <v>45957.415277777778</v>
      </c>
      <c r="M1222" t="s">
        <v>565</v>
      </c>
      <c r="N1222" t="s">
        <v>565</v>
      </c>
      <c r="O1222" t="s">
        <v>566</v>
      </c>
      <c r="P1222" t="s">
        <v>567</v>
      </c>
      <c r="S1222" t="s">
        <v>567</v>
      </c>
      <c r="T1222" t="s">
        <v>567</v>
      </c>
      <c r="Z1222" t="s">
        <v>568</v>
      </c>
      <c r="AA1222" t="s">
        <v>568</v>
      </c>
    </row>
    <row r="1223" spans="1:27">
      <c r="A1223" t="s">
        <v>3260</v>
      </c>
      <c r="B1223" t="s">
        <v>3263</v>
      </c>
      <c r="C1223" t="s">
        <v>3261</v>
      </c>
      <c r="D1223" t="s">
        <v>562</v>
      </c>
      <c r="E1223" t="s">
        <v>3264</v>
      </c>
      <c r="F1223" t="s">
        <v>562</v>
      </c>
      <c r="G1223" t="s">
        <v>562</v>
      </c>
      <c r="H1223" t="s">
        <v>562</v>
      </c>
      <c r="I1223">
        <v>4772</v>
      </c>
      <c r="J1223" t="s">
        <v>564</v>
      </c>
      <c r="K1223" s="698">
        <v>45957.551388888889</v>
      </c>
      <c r="L1223" s="698">
        <v>45957.551388888889</v>
      </c>
      <c r="M1223" t="s">
        <v>565</v>
      </c>
      <c r="N1223" t="s">
        <v>565</v>
      </c>
      <c r="O1223" t="s">
        <v>566</v>
      </c>
      <c r="P1223" t="s">
        <v>567</v>
      </c>
      <c r="S1223" t="s">
        <v>567</v>
      </c>
      <c r="T1223" t="s">
        <v>567</v>
      </c>
      <c r="Z1223" t="s">
        <v>568</v>
      </c>
      <c r="AA1223" t="s">
        <v>568</v>
      </c>
    </row>
    <row r="1224" spans="1:27">
      <c r="A1224" t="s">
        <v>3265</v>
      </c>
      <c r="B1224" t="s">
        <v>562</v>
      </c>
      <c r="C1224" t="s">
        <v>3266</v>
      </c>
      <c r="D1224" t="s">
        <v>3267</v>
      </c>
      <c r="E1224" t="s">
        <v>562</v>
      </c>
      <c r="F1224" t="s">
        <v>562</v>
      </c>
      <c r="G1224" t="s">
        <v>562</v>
      </c>
      <c r="H1224" t="s">
        <v>562</v>
      </c>
      <c r="I1224">
        <v>3554</v>
      </c>
      <c r="J1224" t="s">
        <v>564</v>
      </c>
      <c r="K1224" s="698">
        <v>45957.415277777778</v>
      </c>
      <c r="L1224" s="698">
        <v>45957.415277777778</v>
      </c>
      <c r="M1224" t="s">
        <v>565</v>
      </c>
      <c r="N1224" t="s">
        <v>565</v>
      </c>
      <c r="O1224" t="s">
        <v>566</v>
      </c>
      <c r="P1224" t="s">
        <v>567</v>
      </c>
      <c r="S1224" t="s">
        <v>567</v>
      </c>
      <c r="T1224" t="s">
        <v>567</v>
      </c>
      <c r="Z1224" t="s">
        <v>568</v>
      </c>
      <c r="AA1224" t="s">
        <v>568</v>
      </c>
    </row>
    <row r="1225" spans="1:27">
      <c r="A1225" t="s">
        <v>3268</v>
      </c>
      <c r="B1225" t="s">
        <v>3269</v>
      </c>
      <c r="C1225" t="s">
        <v>3236</v>
      </c>
      <c r="D1225" t="s">
        <v>562</v>
      </c>
      <c r="E1225" t="s">
        <v>3270</v>
      </c>
      <c r="F1225" t="s">
        <v>562</v>
      </c>
      <c r="G1225" t="s">
        <v>562</v>
      </c>
      <c r="H1225" t="s">
        <v>562</v>
      </c>
      <c r="I1225">
        <v>5196</v>
      </c>
      <c r="J1225" t="s">
        <v>564</v>
      </c>
      <c r="K1225" s="698">
        <v>45957.563888888886</v>
      </c>
      <c r="L1225" s="698">
        <v>45957.563888888886</v>
      </c>
      <c r="M1225" t="s">
        <v>565</v>
      </c>
      <c r="N1225" t="s">
        <v>565</v>
      </c>
      <c r="O1225" t="s">
        <v>566</v>
      </c>
      <c r="P1225" t="s">
        <v>567</v>
      </c>
      <c r="S1225" t="s">
        <v>567</v>
      </c>
      <c r="T1225" t="s">
        <v>567</v>
      </c>
      <c r="Z1225" t="s">
        <v>568</v>
      </c>
      <c r="AA1225" t="s">
        <v>568</v>
      </c>
    </row>
    <row r="1226" spans="1:27">
      <c r="A1226" t="s">
        <v>3271</v>
      </c>
      <c r="B1226" t="s">
        <v>3272</v>
      </c>
      <c r="C1226" t="s">
        <v>3273</v>
      </c>
      <c r="D1226" t="s">
        <v>3274</v>
      </c>
      <c r="E1226" t="s">
        <v>3275</v>
      </c>
      <c r="F1226" t="s">
        <v>562</v>
      </c>
      <c r="G1226" t="s">
        <v>562</v>
      </c>
      <c r="H1226" t="s">
        <v>562</v>
      </c>
      <c r="I1226">
        <v>4415</v>
      </c>
      <c r="J1226" t="s">
        <v>564</v>
      </c>
      <c r="K1226" s="698">
        <v>45957.515972222223</v>
      </c>
      <c r="L1226" s="698">
        <v>45957.515972222223</v>
      </c>
      <c r="M1226" t="s">
        <v>565</v>
      </c>
      <c r="N1226" t="s">
        <v>565</v>
      </c>
      <c r="O1226" t="s">
        <v>566</v>
      </c>
      <c r="P1226" t="s">
        <v>567</v>
      </c>
      <c r="S1226" t="s">
        <v>567</v>
      </c>
      <c r="T1226" t="s">
        <v>567</v>
      </c>
      <c r="Z1226" t="s">
        <v>568</v>
      </c>
      <c r="AA1226" t="s">
        <v>568</v>
      </c>
    </row>
    <row r="1227" spans="1:27">
      <c r="A1227" t="s">
        <v>3276</v>
      </c>
      <c r="B1227" t="s">
        <v>3277</v>
      </c>
      <c r="C1227" t="s">
        <v>3278</v>
      </c>
      <c r="D1227" t="s">
        <v>3279</v>
      </c>
      <c r="E1227" t="s">
        <v>3280</v>
      </c>
      <c r="F1227" t="s">
        <v>562</v>
      </c>
      <c r="G1227" t="s">
        <v>562</v>
      </c>
      <c r="H1227" t="s">
        <v>562</v>
      </c>
      <c r="I1227">
        <v>3653</v>
      </c>
      <c r="J1227" t="s">
        <v>564</v>
      </c>
      <c r="K1227" s="698">
        <v>45957.425694444442</v>
      </c>
      <c r="L1227" s="698">
        <v>45957.425694444442</v>
      </c>
      <c r="M1227" t="s">
        <v>565</v>
      </c>
      <c r="N1227" t="s">
        <v>565</v>
      </c>
      <c r="O1227" t="s">
        <v>566</v>
      </c>
      <c r="P1227" t="s">
        <v>567</v>
      </c>
      <c r="S1227" t="s">
        <v>567</v>
      </c>
      <c r="T1227" t="s">
        <v>567</v>
      </c>
      <c r="Z1227" t="s">
        <v>568</v>
      </c>
      <c r="AA1227" t="s">
        <v>568</v>
      </c>
    </row>
    <row r="1228" spans="1:27">
      <c r="A1228" t="s">
        <v>3276</v>
      </c>
      <c r="B1228" t="s">
        <v>562</v>
      </c>
      <c r="C1228" t="s">
        <v>562</v>
      </c>
      <c r="D1228" t="s">
        <v>3279</v>
      </c>
      <c r="E1228" t="s">
        <v>3281</v>
      </c>
      <c r="F1228" t="s">
        <v>562</v>
      </c>
      <c r="G1228" t="s">
        <v>562</v>
      </c>
      <c r="H1228" t="s">
        <v>562</v>
      </c>
      <c r="I1228">
        <v>5089</v>
      </c>
      <c r="J1228" t="s">
        <v>564</v>
      </c>
      <c r="K1228" s="698">
        <v>45957.561111111114</v>
      </c>
      <c r="L1228" s="698">
        <v>45957.561111111114</v>
      </c>
      <c r="M1228" t="s">
        <v>565</v>
      </c>
      <c r="N1228" t="s">
        <v>565</v>
      </c>
      <c r="O1228" t="s">
        <v>566</v>
      </c>
      <c r="P1228" t="s">
        <v>567</v>
      </c>
      <c r="S1228" t="s">
        <v>567</v>
      </c>
      <c r="T1228" t="s">
        <v>567</v>
      </c>
      <c r="Z1228" t="s">
        <v>568</v>
      </c>
      <c r="AA1228" t="s">
        <v>568</v>
      </c>
    </row>
    <row r="1229" spans="1:27">
      <c r="A1229" t="s">
        <v>3282</v>
      </c>
      <c r="B1229" t="s">
        <v>562</v>
      </c>
      <c r="C1229" t="s">
        <v>3283</v>
      </c>
      <c r="D1229" t="s">
        <v>3284</v>
      </c>
      <c r="E1229" t="s">
        <v>562</v>
      </c>
      <c r="F1229" t="s">
        <v>562</v>
      </c>
      <c r="G1229" t="s">
        <v>562</v>
      </c>
      <c r="H1229" t="s">
        <v>562</v>
      </c>
      <c r="I1229">
        <v>3555</v>
      </c>
      <c r="J1229" t="s">
        <v>564</v>
      </c>
      <c r="K1229" s="698">
        <v>45957.415277777778</v>
      </c>
      <c r="L1229" s="698">
        <v>45957.415277777778</v>
      </c>
      <c r="M1229" t="s">
        <v>565</v>
      </c>
      <c r="N1229" t="s">
        <v>565</v>
      </c>
      <c r="O1229" t="s">
        <v>566</v>
      </c>
      <c r="P1229" t="s">
        <v>567</v>
      </c>
      <c r="S1229" t="s">
        <v>567</v>
      </c>
      <c r="T1229" t="s">
        <v>567</v>
      </c>
      <c r="Z1229" t="s">
        <v>568</v>
      </c>
      <c r="AA1229" t="s">
        <v>568</v>
      </c>
    </row>
    <row r="1230" spans="1:27">
      <c r="A1230" t="s">
        <v>3285</v>
      </c>
      <c r="B1230" t="s">
        <v>562</v>
      </c>
      <c r="C1230" t="s">
        <v>607</v>
      </c>
      <c r="D1230" t="s">
        <v>3286</v>
      </c>
      <c r="E1230" t="s">
        <v>562</v>
      </c>
      <c r="F1230" t="s">
        <v>562</v>
      </c>
      <c r="G1230" t="s">
        <v>562</v>
      </c>
      <c r="H1230" t="s">
        <v>562</v>
      </c>
      <c r="I1230">
        <v>3556</v>
      </c>
      <c r="J1230" t="s">
        <v>564</v>
      </c>
      <c r="K1230" s="698">
        <v>45957.415277777778</v>
      </c>
      <c r="L1230" s="698">
        <v>45957.415277777778</v>
      </c>
      <c r="M1230" t="s">
        <v>565</v>
      </c>
      <c r="N1230" t="s">
        <v>565</v>
      </c>
      <c r="O1230" t="s">
        <v>566</v>
      </c>
      <c r="P1230" t="s">
        <v>567</v>
      </c>
      <c r="S1230" t="s">
        <v>567</v>
      </c>
      <c r="T1230" t="s">
        <v>567</v>
      </c>
      <c r="Z1230" t="s">
        <v>568</v>
      </c>
      <c r="AA1230" t="s">
        <v>568</v>
      </c>
    </row>
    <row r="1231" spans="1:27">
      <c r="A1231" t="s">
        <v>3287</v>
      </c>
      <c r="B1231" t="s">
        <v>3288</v>
      </c>
      <c r="C1231" t="s">
        <v>3289</v>
      </c>
      <c r="D1231" t="s">
        <v>3290</v>
      </c>
      <c r="E1231" t="s">
        <v>3291</v>
      </c>
      <c r="F1231" t="s">
        <v>562</v>
      </c>
      <c r="G1231" t="s">
        <v>562</v>
      </c>
      <c r="H1231" t="s">
        <v>562</v>
      </c>
      <c r="I1231">
        <v>4917</v>
      </c>
      <c r="J1231" t="s">
        <v>564</v>
      </c>
      <c r="K1231" s="698">
        <v>45957.556250000001</v>
      </c>
      <c r="L1231" s="698">
        <v>45957.556250000001</v>
      </c>
      <c r="M1231" t="s">
        <v>565</v>
      </c>
      <c r="N1231" t="s">
        <v>565</v>
      </c>
      <c r="O1231" t="s">
        <v>566</v>
      </c>
      <c r="P1231" t="s">
        <v>567</v>
      </c>
      <c r="S1231" t="s">
        <v>567</v>
      </c>
      <c r="T1231" t="s">
        <v>567</v>
      </c>
      <c r="Z1231" t="s">
        <v>568</v>
      </c>
      <c r="AA1231" t="s">
        <v>568</v>
      </c>
    </row>
    <row r="1232" spans="1:27">
      <c r="A1232" t="s">
        <v>3287</v>
      </c>
      <c r="B1232" t="s">
        <v>3292</v>
      </c>
      <c r="C1232" t="s">
        <v>3289</v>
      </c>
      <c r="D1232" t="s">
        <v>3290</v>
      </c>
      <c r="E1232" t="s">
        <v>3293</v>
      </c>
      <c r="F1232" t="s">
        <v>562</v>
      </c>
      <c r="G1232" t="s">
        <v>562</v>
      </c>
      <c r="H1232" t="s">
        <v>562</v>
      </c>
      <c r="I1232">
        <v>5177</v>
      </c>
      <c r="J1232" t="s">
        <v>564</v>
      </c>
      <c r="K1232" s="698">
        <v>45957.563888888886</v>
      </c>
      <c r="L1232" s="698">
        <v>45957.563888888886</v>
      </c>
      <c r="M1232" t="s">
        <v>565</v>
      </c>
      <c r="N1232" t="s">
        <v>565</v>
      </c>
      <c r="O1232" t="s">
        <v>566</v>
      </c>
      <c r="P1232" t="s">
        <v>567</v>
      </c>
      <c r="S1232" t="s">
        <v>567</v>
      </c>
      <c r="T1232" t="s">
        <v>567</v>
      </c>
      <c r="Z1232" t="s">
        <v>568</v>
      </c>
      <c r="AA1232" t="s">
        <v>568</v>
      </c>
    </row>
    <row r="1233" spans="1:27">
      <c r="A1233" t="s">
        <v>3294</v>
      </c>
      <c r="B1233" t="s">
        <v>3295</v>
      </c>
      <c r="C1233" t="s">
        <v>3296</v>
      </c>
      <c r="D1233" t="s">
        <v>3297</v>
      </c>
      <c r="E1233" t="s">
        <v>3298</v>
      </c>
      <c r="F1233" t="s">
        <v>562</v>
      </c>
      <c r="G1233" t="s">
        <v>562</v>
      </c>
      <c r="H1233" t="s">
        <v>562</v>
      </c>
      <c r="I1233">
        <v>4536</v>
      </c>
      <c r="J1233" t="s">
        <v>564</v>
      </c>
      <c r="K1233" s="698">
        <v>45957.530555555553</v>
      </c>
      <c r="L1233" s="698">
        <v>45957.530555555553</v>
      </c>
      <c r="M1233" t="s">
        <v>565</v>
      </c>
      <c r="N1233" t="s">
        <v>565</v>
      </c>
      <c r="O1233" t="s">
        <v>566</v>
      </c>
      <c r="P1233" t="s">
        <v>567</v>
      </c>
      <c r="S1233" t="s">
        <v>567</v>
      </c>
      <c r="T1233" t="s">
        <v>567</v>
      </c>
      <c r="Z1233" t="s">
        <v>568</v>
      </c>
      <c r="AA1233" t="s">
        <v>568</v>
      </c>
    </row>
    <row r="1234" spans="1:27">
      <c r="A1234" t="s">
        <v>3299</v>
      </c>
      <c r="B1234" t="s">
        <v>3300</v>
      </c>
      <c r="C1234" t="s">
        <v>3301</v>
      </c>
      <c r="D1234" t="s">
        <v>3302</v>
      </c>
      <c r="E1234" t="s">
        <v>3303</v>
      </c>
      <c r="F1234" t="s">
        <v>562</v>
      </c>
      <c r="G1234" t="s">
        <v>562</v>
      </c>
      <c r="H1234" t="s">
        <v>562</v>
      </c>
      <c r="I1234">
        <v>4166</v>
      </c>
      <c r="J1234" t="s">
        <v>564</v>
      </c>
      <c r="K1234" s="698">
        <v>45957.484722222223</v>
      </c>
      <c r="L1234" s="698">
        <v>45957.484722222223</v>
      </c>
      <c r="M1234" t="s">
        <v>565</v>
      </c>
      <c r="N1234" t="s">
        <v>565</v>
      </c>
      <c r="O1234" t="s">
        <v>566</v>
      </c>
      <c r="P1234" t="s">
        <v>567</v>
      </c>
      <c r="S1234" t="s">
        <v>567</v>
      </c>
      <c r="T1234" t="s">
        <v>567</v>
      </c>
      <c r="Z1234" t="s">
        <v>568</v>
      </c>
      <c r="AA1234" t="s">
        <v>568</v>
      </c>
    </row>
    <row r="1235" spans="1:27">
      <c r="A1235" t="s">
        <v>3304</v>
      </c>
      <c r="B1235" t="s">
        <v>777</v>
      </c>
      <c r="C1235" t="s">
        <v>3305</v>
      </c>
      <c r="D1235" t="s">
        <v>3306</v>
      </c>
      <c r="E1235" t="s">
        <v>3307</v>
      </c>
      <c r="F1235" t="s">
        <v>562</v>
      </c>
      <c r="G1235" t="s">
        <v>562</v>
      </c>
      <c r="H1235" t="s">
        <v>562</v>
      </c>
      <c r="I1235">
        <v>3953</v>
      </c>
      <c r="J1235" t="s">
        <v>564</v>
      </c>
      <c r="K1235" s="698">
        <v>45957.458333333336</v>
      </c>
      <c r="L1235" s="698">
        <v>45957.458333333336</v>
      </c>
      <c r="M1235" t="s">
        <v>565</v>
      </c>
      <c r="N1235" t="s">
        <v>565</v>
      </c>
      <c r="O1235" t="s">
        <v>566</v>
      </c>
      <c r="P1235" t="s">
        <v>567</v>
      </c>
      <c r="S1235" t="s">
        <v>567</v>
      </c>
      <c r="T1235" t="s">
        <v>567</v>
      </c>
      <c r="Z1235" t="s">
        <v>568</v>
      </c>
      <c r="AA1235" t="s">
        <v>568</v>
      </c>
    </row>
    <row r="1236" spans="1:27">
      <c r="A1236" t="s">
        <v>3308</v>
      </c>
      <c r="B1236" t="s">
        <v>3309</v>
      </c>
      <c r="C1236" t="s">
        <v>3310</v>
      </c>
      <c r="D1236" t="s">
        <v>562</v>
      </c>
      <c r="E1236" t="s">
        <v>3311</v>
      </c>
      <c r="F1236" t="s">
        <v>562</v>
      </c>
      <c r="G1236" t="s">
        <v>562</v>
      </c>
      <c r="H1236" t="s">
        <v>562</v>
      </c>
      <c r="I1236">
        <v>4046</v>
      </c>
      <c r="J1236" t="s">
        <v>564</v>
      </c>
      <c r="K1236" s="698">
        <v>45957.470138888886</v>
      </c>
      <c r="L1236" s="698">
        <v>45957.470138888886</v>
      </c>
      <c r="M1236" t="s">
        <v>565</v>
      </c>
      <c r="N1236" t="s">
        <v>565</v>
      </c>
      <c r="O1236" t="s">
        <v>566</v>
      </c>
      <c r="P1236" t="s">
        <v>567</v>
      </c>
      <c r="S1236" t="s">
        <v>567</v>
      </c>
      <c r="T1236" t="s">
        <v>567</v>
      </c>
      <c r="Z1236" t="s">
        <v>568</v>
      </c>
      <c r="AA1236" t="s">
        <v>568</v>
      </c>
    </row>
    <row r="1237" spans="1:27">
      <c r="A1237" t="s">
        <v>3312</v>
      </c>
      <c r="B1237" t="s">
        <v>562</v>
      </c>
      <c r="C1237" t="s">
        <v>3313</v>
      </c>
      <c r="D1237" t="s">
        <v>3314</v>
      </c>
      <c r="E1237" t="s">
        <v>562</v>
      </c>
      <c r="F1237" t="s">
        <v>562</v>
      </c>
      <c r="G1237" t="s">
        <v>562</v>
      </c>
      <c r="H1237" t="s">
        <v>562</v>
      </c>
      <c r="I1237">
        <v>3557</v>
      </c>
      <c r="J1237" t="s">
        <v>564</v>
      </c>
      <c r="K1237" s="698">
        <v>45957.415277777778</v>
      </c>
      <c r="L1237" s="698">
        <v>45957.415277777778</v>
      </c>
      <c r="M1237" t="s">
        <v>565</v>
      </c>
      <c r="N1237" t="s">
        <v>565</v>
      </c>
      <c r="O1237" t="s">
        <v>566</v>
      </c>
      <c r="P1237" t="s">
        <v>567</v>
      </c>
      <c r="S1237" t="s">
        <v>567</v>
      </c>
      <c r="T1237" t="s">
        <v>567</v>
      </c>
      <c r="Z1237" t="s">
        <v>568</v>
      </c>
      <c r="AA1237" t="s">
        <v>568</v>
      </c>
    </row>
    <row r="1238" spans="1:27">
      <c r="A1238" t="s">
        <v>3315</v>
      </c>
      <c r="B1238" t="s">
        <v>562</v>
      </c>
      <c r="C1238" t="s">
        <v>562</v>
      </c>
      <c r="D1238" t="s">
        <v>3316</v>
      </c>
      <c r="E1238" t="s">
        <v>3317</v>
      </c>
      <c r="F1238" t="s">
        <v>562</v>
      </c>
      <c r="G1238" t="s">
        <v>562</v>
      </c>
      <c r="H1238" t="s">
        <v>562</v>
      </c>
      <c r="I1238">
        <v>4214</v>
      </c>
      <c r="J1238" t="s">
        <v>564</v>
      </c>
      <c r="K1238" s="698">
        <v>45957.490277777775</v>
      </c>
      <c r="L1238" s="698">
        <v>45957.490277777775</v>
      </c>
      <c r="M1238" t="s">
        <v>565</v>
      </c>
      <c r="N1238" t="s">
        <v>565</v>
      </c>
      <c r="O1238" t="s">
        <v>566</v>
      </c>
      <c r="P1238" t="s">
        <v>567</v>
      </c>
      <c r="S1238" t="s">
        <v>567</v>
      </c>
      <c r="T1238" t="s">
        <v>567</v>
      </c>
      <c r="Z1238" t="s">
        <v>568</v>
      </c>
      <c r="AA1238" t="s">
        <v>568</v>
      </c>
    </row>
    <row r="1239" spans="1:27">
      <c r="A1239" t="s">
        <v>3318</v>
      </c>
      <c r="B1239" t="s">
        <v>3319</v>
      </c>
      <c r="C1239" t="s">
        <v>3320</v>
      </c>
      <c r="D1239" t="s">
        <v>562</v>
      </c>
      <c r="E1239" t="s">
        <v>3321</v>
      </c>
      <c r="F1239" t="s">
        <v>562</v>
      </c>
      <c r="G1239" t="s">
        <v>562</v>
      </c>
      <c r="H1239" t="s">
        <v>562</v>
      </c>
      <c r="I1239">
        <v>4154</v>
      </c>
      <c r="J1239" t="s">
        <v>564</v>
      </c>
      <c r="K1239" s="698">
        <v>45957.482638888891</v>
      </c>
      <c r="L1239" s="698">
        <v>45957.482638888891</v>
      </c>
      <c r="M1239" t="s">
        <v>565</v>
      </c>
      <c r="N1239" t="s">
        <v>565</v>
      </c>
      <c r="O1239" t="s">
        <v>566</v>
      </c>
      <c r="P1239" t="s">
        <v>567</v>
      </c>
      <c r="S1239" t="s">
        <v>567</v>
      </c>
      <c r="T1239" t="s">
        <v>567</v>
      </c>
      <c r="Z1239" t="s">
        <v>568</v>
      </c>
      <c r="AA1239" t="s">
        <v>568</v>
      </c>
    </row>
    <row r="1240" spans="1:27">
      <c r="A1240" t="s">
        <v>3322</v>
      </c>
      <c r="B1240" t="s">
        <v>3323</v>
      </c>
      <c r="C1240" t="s">
        <v>3324</v>
      </c>
      <c r="D1240" t="s">
        <v>3325</v>
      </c>
      <c r="E1240" t="s">
        <v>3326</v>
      </c>
      <c r="F1240" t="s">
        <v>562</v>
      </c>
      <c r="G1240" t="s">
        <v>562</v>
      </c>
      <c r="H1240" t="s">
        <v>562</v>
      </c>
      <c r="I1240">
        <v>3592</v>
      </c>
      <c r="J1240" t="s">
        <v>564</v>
      </c>
      <c r="K1240" s="698">
        <v>45957.419444444444</v>
      </c>
      <c r="L1240" s="698">
        <v>45957.419444444444</v>
      </c>
      <c r="M1240" t="s">
        <v>565</v>
      </c>
      <c r="N1240" t="s">
        <v>565</v>
      </c>
      <c r="O1240" t="s">
        <v>566</v>
      </c>
      <c r="P1240" t="s">
        <v>567</v>
      </c>
      <c r="S1240" t="s">
        <v>567</v>
      </c>
      <c r="T1240" t="s">
        <v>567</v>
      </c>
      <c r="Z1240" t="s">
        <v>568</v>
      </c>
      <c r="AA1240" t="s">
        <v>568</v>
      </c>
    </row>
    <row r="1241" spans="1:27">
      <c r="A1241" t="s">
        <v>3322</v>
      </c>
      <c r="B1241" t="s">
        <v>3327</v>
      </c>
      <c r="C1241" t="s">
        <v>562</v>
      </c>
      <c r="D1241" t="s">
        <v>3325</v>
      </c>
      <c r="E1241" t="s">
        <v>3328</v>
      </c>
      <c r="F1241" t="s">
        <v>562</v>
      </c>
      <c r="G1241" t="s">
        <v>562</v>
      </c>
      <c r="H1241" t="s">
        <v>562</v>
      </c>
      <c r="I1241">
        <v>3656</v>
      </c>
      <c r="J1241" t="s">
        <v>564</v>
      </c>
      <c r="K1241" s="698">
        <v>45957.426388888889</v>
      </c>
      <c r="L1241" s="698">
        <v>45957.426388888889</v>
      </c>
      <c r="M1241" t="s">
        <v>565</v>
      </c>
      <c r="N1241" t="s">
        <v>565</v>
      </c>
      <c r="O1241" t="s">
        <v>566</v>
      </c>
      <c r="P1241" t="s">
        <v>567</v>
      </c>
      <c r="S1241" t="s">
        <v>567</v>
      </c>
      <c r="T1241" t="s">
        <v>567</v>
      </c>
      <c r="Z1241" t="s">
        <v>568</v>
      </c>
      <c r="AA1241" t="s">
        <v>568</v>
      </c>
    </row>
    <row r="1242" spans="1:27">
      <c r="A1242" t="s">
        <v>3322</v>
      </c>
      <c r="B1242" t="s">
        <v>3323</v>
      </c>
      <c r="C1242" t="s">
        <v>3324</v>
      </c>
      <c r="D1242" t="s">
        <v>3325</v>
      </c>
      <c r="E1242" t="s">
        <v>3329</v>
      </c>
      <c r="F1242" t="s">
        <v>562</v>
      </c>
      <c r="G1242" t="s">
        <v>562</v>
      </c>
      <c r="H1242" t="s">
        <v>562</v>
      </c>
      <c r="I1242">
        <v>4014</v>
      </c>
      <c r="J1242" t="s">
        <v>564</v>
      </c>
      <c r="K1242" s="698">
        <v>45957.46597222222</v>
      </c>
      <c r="L1242" s="698">
        <v>45957.46597222222</v>
      </c>
      <c r="M1242" t="s">
        <v>565</v>
      </c>
      <c r="N1242" t="s">
        <v>565</v>
      </c>
      <c r="O1242" t="s">
        <v>566</v>
      </c>
      <c r="P1242" t="s">
        <v>567</v>
      </c>
      <c r="S1242" t="s">
        <v>567</v>
      </c>
      <c r="T1242" t="s">
        <v>567</v>
      </c>
      <c r="Z1242" t="s">
        <v>568</v>
      </c>
      <c r="AA1242" t="s">
        <v>568</v>
      </c>
    </row>
    <row r="1243" spans="1:27">
      <c r="A1243" t="s">
        <v>3322</v>
      </c>
      <c r="B1243" t="s">
        <v>3323</v>
      </c>
      <c r="C1243" t="s">
        <v>3324</v>
      </c>
      <c r="D1243" t="s">
        <v>3325</v>
      </c>
      <c r="E1243" t="s">
        <v>3330</v>
      </c>
      <c r="F1243" t="s">
        <v>562</v>
      </c>
      <c r="G1243" t="s">
        <v>562</v>
      </c>
      <c r="H1243" t="s">
        <v>562</v>
      </c>
      <c r="I1243">
        <v>4160</v>
      </c>
      <c r="J1243" t="s">
        <v>564</v>
      </c>
      <c r="K1243" s="698">
        <v>45957.48333333333</v>
      </c>
      <c r="L1243" s="698">
        <v>45957.48333333333</v>
      </c>
      <c r="M1243" t="s">
        <v>565</v>
      </c>
      <c r="N1243" t="s">
        <v>565</v>
      </c>
      <c r="O1243" t="s">
        <v>566</v>
      </c>
      <c r="P1243" t="s">
        <v>567</v>
      </c>
      <c r="S1243" t="s">
        <v>567</v>
      </c>
      <c r="T1243" t="s">
        <v>567</v>
      </c>
      <c r="Z1243" t="s">
        <v>568</v>
      </c>
      <c r="AA1243" t="s">
        <v>568</v>
      </c>
    </row>
    <row r="1244" spans="1:27">
      <c r="A1244" t="s">
        <v>3322</v>
      </c>
      <c r="B1244" t="s">
        <v>3323</v>
      </c>
      <c r="C1244" t="s">
        <v>3324</v>
      </c>
      <c r="D1244" t="s">
        <v>3325</v>
      </c>
      <c r="E1244" t="s">
        <v>3331</v>
      </c>
      <c r="F1244" t="s">
        <v>562</v>
      </c>
      <c r="G1244" t="s">
        <v>562</v>
      </c>
      <c r="H1244" t="s">
        <v>562</v>
      </c>
      <c r="I1244">
        <v>4240</v>
      </c>
      <c r="J1244" t="s">
        <v>564</v>
      </c>
      <c r="K1244" s="698">
        <v>45957.493750000001</v>
      </c>
      <c r="L1244" s="698">
        <v>45957.493750000001</v>
      </c>
      <c r="M1244" t="s">
        <v>565</v>
      </c>
      <c r="N1244" t="s">
        <v>565</v>
      </c>
      <c r="O1244" t="s">
        <v>566</v>
      </c>
      <c r="P1244" t="s">
        <v>567</v>
      </c>
      <c r="S1244" t="s">
        <v>567</v>
      </c>
      <c r="T1244" t="s">
        <v>567</v>
      </c>
      <c r="Z1244" t="s">
        <v>568</v>
      </c>
      <c r="AA1244" t="s">
        <v>568</v>
      </c>
    </row>
    <row r="1245" spans="1:27">
      <c r="A1245" t="s">
        <v>3322</v>
      </c>
      <c r="B1245" t="s">
        <v>3323</v>
      </c>
      <c r="C1245" t="s">
        <v>3324</v>
      </c>
      <c r="D1245" t="s">
        <v>3325</v>
      </c>
      <c r="E1245" t="s">
        <v>3332</v>
      </c>
      <c r="F1245" t="s">
        <v>562</v>
      </c>
      <c r="G1245" t="s">
        <v>562</v>
      </c>
      <c r="H1245" t="s">
        <v>562</v>
      </c>
      <c r="I1245">
        <v>4337</v>
      </c>
      <c r="J1245" t="s">
        <v>564</v>
      </c>
      <c r="K1245" s="698">
        <v>45957.506249999999</v>
      </c>
      <c r="L1245" s="698">
        <v>45957.506249999999</v>
      </c>
      <c r="M1245" t="s">
        <v>565</v>
      </c>
      <c r="N1245" t="s">
        <v>565</v>
      </c>
      <c r="O1245" t="s">
        <v>566</v>
      </c>
      <c r="P1245" t="s">
        <v>567</v>
      </c>
      <c r="S1245" t="s">
        <v>567</v>
      </c>
      <c r="T1245" t="s">
        <v>567</v>
      </c>
      <c r="Z1245" t="s">
        <v>568</v>
      </c>
      <c r="AA1245" t="s">
        <v>568</v>
      </c>
    </row>
    <row r="1246" spans="1:27">
      <c r="A1246" t="s">
        <v>3322</v>
      </c>
      <c r="B1246" t="s">
        <v>562</v>
      </c>
      <c r="C1246" t="s">
        <v>3324</v>
      </c>
      <c r="D1246" t="s">
        <v>3325</v>
      </c>
      <c r="E1246" t="s">
        <v>3333</v>
      </c>
      <c r="F1246" t="s">
        <v>562</v>
      </c>
      <c r="G1246" t="s">
        <v>562</v>
      </c>
      <c r="H1246" t="s">
        <v>562</v>
      </c>
      <c r="I1246">
        <v>4343</v>
      </c>
      <c r="J1246" t="s">
        <v>564</v>
      </c>
      <c r="K1246" s="698">
        <v>45957.506944444445</v>
      </c>
      <c r="L1246" s="698">
        <v>45957.506944444445</v>
      </c>
      <c r="M1246" t="s">
        <v>565</v>
      </c>
      <c r="N1246" t="s">
        <v>565</v>
      </c>
      <c r="O1246" t="s">
        <v>566</v>
      </c>
      <c r="P1246" t="s">
        <v>567</v>
      </c>
      <c r="S1246" t="s">
        <v>567</v>
      </c>
      <c r="T1246" t="s">
        <v>567</v>
      </c>
      <c r="Z1246" t="s">
        <v>568</v>
      </c>
      <c r="AA1246" t="s">
        <v>568</v>
      </c>
    </row>
    <row r="1247" spans="1:27">
      <c r="A1247" t="s">
        <v>3322</v>
      </c>
      <c r="B1247" t="s">
        <v>3323</v>
      </c>
      <c r="C1247" t="s">
        <v>3324</v>
      </c>
      <c r="D1247" t="s">
        <v>3325</v>
      </c>
      <c r="E1247" t="s">
        <v>3334</v>
      </c>
      <c r="F1247" t="s">
        <v>562</v>
      </c>
      <c r="G1247" t="s">
        <v>562</v>
      </c>
      <c r="H1247" t="s">
        <v>562</v>
      </c>
      <c r="I1247">
        <v>4403</v>
      </c>
      <c r="J1247" t="s">
        <v>564</v>
      </c>
      <c r="K1247" s="698">
        <v>45957.513888888891</v>
      </c>
      <c r="L1247" s="698">
        <v>45957.513888888891</v>
      </c>
      <c r="M1247" t="s">
        <v>565</v>
      </c>
      <c r="N1247" t="s">
        <v>565</v>
      </c>
      <c r="O1247" t="s">
        <v>566</v>
      </c>
      <c r="P1247" t="s">
        <v>567</v>
      </c>
      <c r="S1247" t="s">
        <v>567</v>
      </c>
      <c r="T1247" t="s">
        <v>567</v>
      </c>
      <c r="Z1247" t="s">
        <v>568</v>
      </c>
      <c r="AA1247" t="s">
        <v>568</v>
      </c>
    </row>
    <row r="1248" spans="1:27">
      <c r="A1248" t="s">
        <v>3322</v>
      </c>
      <c r="B1248" t="s">
        <v>3323</v>
      </c>
      <c r="C1248" t="s">
        <v>3324</v>
      </c>
      <c r="D1248" t="s">
        <v>3325</v>
      </c>
      <c r="E1248" t="s">
        <v>3335</v>
      </c>
      <c r="F1248" t="s">
        <v>562</v>
      </c>
      <c r="G1248" t="s">
        <v>562</v>
      </c>
      <c r="H1248" t="s">
        <v>562</v>
      </c>
      <c r="I1248">
        <v>4446</v>
      </c>
      <c r="J1248" t="s">
        <v>564</v>
      </c>
      <c r="K1248" s="698">
        <v>45957.519444444442</v>
      </c>
      <c r="L1248" s="698">
        <v>45957.519444444442</v>
      </c>
      <c r="M1248" t="s">
        <v>565</v>
      </c>
      <c r="N1248" t="s">
        <v>565</v>
      </c>
      <c r="O1248" t="s">
        <v>566</v>
      </c>
      <c r="P1248" t="s">
        <v>567</v>
      </c>
      <c r="S1248" t="s">
        <v>567</v>
      </c>
      <c r="T1248" t="s">
        <v>567</v>
      </c>
      <c r="Z1248" t="s">
        <v>568</v>
      </c>
      <c r="AA1248" t="s">
        <v>568</v>
      </c>
    </row>
    <row r="1249" spans="1:27">
      <c r="A1249" t="s">
        <v>3322</v>
      </c>
      <c r="B1249" t="s">
        <v>3336</v>
      </c>
      <c r="C1249" t="s">
        <v>3337</v>
      </c>
      <c r="D1249" t="s">
        <v>3325</v>
      </c>
      <c r="E1249" t="s">
        <v>3338</v>
      </c>
      <c r="F1249" t="s">
        <v>562</v>
      </c>
      <c r="G1249" t="s">
        <v>562</v>
      </c>
      <c r="H1249" t="s">
        <v>562</v>
      </c>
      <c r="I1249">
        <v>4598</v>
      </c>
      <c r="J1249" t="s">
        <v>564</v>
      </c>
      <c r="K1249" s="698">
        <v>45957.538194444445</v>
      </c>
      <c r="L1249" s="698">
        <v>45957.538194444445</v>
      </c>
      <c r="M1249" t="s">
        <v>565</v>
      </c>
      <c r="N1249" t="s">
        <v>565</v>
      </c>
      <c r="O1249" t="s">
        <v>566</v>
      </c>
      <c r="P1249" t="s">
        <v>567</v>
      </c>
      <c r="S1249" t="s">
        <v>567</v>
      </c>
      <c r="T1249" t="s">
        <v>567</v>
      </c>
      <c r="Z1249" t="s">
        <v>568</v>
      </c>
      <c r="AA1249" t="s">
        <v>568</v>
      </c>
    </row>
    <row r="1250" spans="1:27">
      <c r="A1250" t="s">
        <v>3322</v>
      </c>
      <c r="B1250" t="s">
        <v>3339</v>
      </c>
      <c r="C1250" t="s">
        <v>3340</v>
      </c>
      <c r="D1250" t="s">
        <v>3325</v>
      </c>
      <c r="E1250" t="s">
        <v>3341</v>
      </c>
      <c r="F1250" t="s">
        <v>562</v>
      </c>
      <c r="G1250" t="s">
        <v>562</v>
      </c>
      <c r="H1250" t="s">
        <v>562</v>
      </c>
      <c r="I1250">
        <v>4691</v>
      </c>
      <c r="J1250" t="s">
        <v>564</v>
      </c>
      <c r="K1250" s="698">
        <v>45957.548611111109</v>
      </c>
      <c r="L1250" s="698">
        <v>45957.548611111109</v>
      </c>
      <c r="M1250" t="s">
        <v>565</v>
      </c>
      <c r="N1250" t="s">
        <v>565</v>
      </c>
      <c r="O1250" t="s">
        <v>566</v>
      </c>
      <c r="P1250" t="s">
        <v>567</v>
      </c>
      <c r="S1250" t="s">
        <v>567</v>
      </c>
      <c r="T1250" t="s">
        <v>567</v>
      </c>
      <c r="Z1250" t="s">
        <v>568</v>
      </c>
      <c r="AA1250" t="s">
        <v>568</v>
      </c>
    </row>
    <row r="1251" spans="1:27">
      <c r="A1251" t="s">
        <v>3322</v>
      </c>
      <c r="B1251" t="s">
        <v>562</v>
      </c>
      <c r="C1251" t="s">
        <v>562</v>
      </c>
      <c r="D1251" t="s">
        <v>3325</v>
      </c>
      <c r="E1251" t="s">
        <v>3342</v>
      </c>
      <c r="F1251" t="s">
        <v>562</v>
      </c>
      <c r="G1251" t="s">
        <v>562</v>
      </c>
      <c r="H1251" t="s">
        <v>562</v>
      </c>
      <c r="I1251">
        <v>4977</v>
      </c>
      <c r="J1251" t="s">
        <v>564</v>
      </c>
      <c r="K1251" s="698">
        <v>45957.557638888888</v>
      </c>
      <c r="L1251" s="698">
        <v>45957.557638888888</v>
      </c>
      <c r="M1251" t="s">
        <v>565</v>
      </c>
      <c r="N1251" t="s">
        <v>565</v>
      </c>
      <c r="O1251" t="s">
        <v>566</v>
      </c>
      <c r="P1251" t="s">
        <v>567</v>
      </c>
      <c r="S1251" t="s">
        <v>567</v>
      </c>
      <c r="T1251" t="s">
        <v>567</v>
      </c>
      <c r="Z1251" t="s">
        <v>568</v>
      </c>
      <c r="AA1251" t="s">
        <v>568</v>
      </c>
    </row>
    <row r="1252" spans="1:27">
      <c r="A1252" t="s">
        <v>3322</v>
      </c>
      <c r="B1252" t="s">
        <v>3323</v>
      </c>
      <c r="C1252" t="s">
        <v>3324</v>
      </c>
      <c r="D1252" t="s">
        <v>3325</v>
      </c>
      <c r="E1252" t="s">
        <v>1116</v>
      </c>
      <c r="F1252" t="s">
        <v>562</v>
      </c>
      <c r="G1252" t="s">
        <v>562</v>
      </c>
      <c r="H1252" t="s">
        <v>562</v>
      </c>
      <c r="I1252">
        <v>5082</v>
      </c>
      <c r="J1252" t="s">
        <v>564</v>
      </c>
      <c r="K1252" s="698">
        <v>45957.561111111114</v>
      </c>
      <c r="L1252" s="698">
        <v>45957.561111111114</v>
      </c>
      <c r="M1252" t="s">
        <v>565</v>
      </c>
      <c r="N1252" t="s">
        <v>565</v>
      </c>
      <c r="O1252" t="s">
        <v>566</v>
      </c>
      <c r="P1252" t="s">
        <v>567</v>
      </c>
      <c r="S1252" t="s">
        <v>567</v>
      </c>
      <c r="T1252" t="s">
        <v>567</v>
      </c>
      <c r="Z1252" t="s">
        <v>568</v>
      </c>
      <c r="AA1252" t="s">
        <v>568</v>
      </c>
    </row>
    <row r="1253" spans="1:27">
      <c r="A1253" t="s">
        <v>3322</v>
      </c>
      <c r="B1253" t="s">
        <v>3327</v>
      </c>
      <c r="C1253" t="s">
        <v>562</v>
      </c>
      <c r="D1253" t="s">
        <v>3325</v>
      </c>
      <c r="E1253" t="s">
        <v>3343</v>
      </c>
      <c r="F1253" t="s">
        <v>562</v>
      </c>
      <c r="G1253" t="s">
        <v>562</v>
      </c>
      <c r="H1253" t="s">
        <v>562</v>
      </c>
      <c r="I1253">
        <v>5084</v>
      </c>
      <c r="J1253" t="s">
        <v>564</v>
      </c>
      <c r="K1253" s="698">
        <v>45957.561111111114</v>
      </c>
      <c r="L1253" s="698">
        <v>45957.561111111114</v>
      </c>
      <c r="M1253" t="s">
        <v>565</v>
      </c>
      <c r="N1253" t="s">
        <v>565</v>
      </c>
      <c r="O1253" t="s">
        <v>566</v>
      </c>
      <c r="P1253" t="s">
        <v>567</v>
      </c>
      <c r="S1253" t="s">
        <v>567</v>
      </c>
      <c r="T1253" t="s">
        <v>567</v>
      </c>
      <c r="Z1253" t="s">
        <v>568</v>
      </c>
      <c r="AA1253" t="s">
        <v>568</v>
      </c>
    </row>
    <row r="1254" spans="1:27">
      <c r="A1254" t="s">
        <v>3322</v>
      </c>
      <c r="B1254" t="s">
        <v>562</v>
      </c>
      <c r="C1254" t="s">
        <v>562</v>
      </c>
      <c r="D1254" t="s">
        <v>3325</v>
      </c>
      <c r="E1254" t="s">
        <v>3344</v>
      </c>
      <c r="F1254" t="s">
        <v>562</v>
      </c>
      <c r="G1254" t="s">
        <v>562</v>
      </c>
      <c r="H1254" t="s">
        <v>562</v>
      </c>
      <c r="I1254">
        <v>5093</v>
      </c>
      <c r="J1254" t="s">
        <v>564</v>
      </c>
      <c r="K1254" s="698">
        <v>45957.561111111114</v>
      </c>
      <c r="L1254" s="698">
        <v>45957.561111111114</v>
      </c>
      <c r="M1254" t="s">
        <v>565</v>
      </c>
      <c r="N1254" t="s">
        <v>565</v>
      </c>
      <c r="O1254" t="s">
        <v>566</v>
      </c>
      <c r="P1254" t="s">
        <v>567</v>
      </c>
      <c r="S1254" t="s">
        <v>567</v>
      </c>
      <c r="T1254" t="s">
        <v>567</v>
      </c>
      <c r="Z1254" t="s">
        <v>568</v>
      </c>
      <c r="AA1254" t="s">
        <v>568</v>
      </c>
    </row>
    <row r="1255" spans="1:27">
      <c r="A1255" t="s">
        <v>3345</v>
      </c>
      <c r="B1255" t="s">
        <v>3346</v>
      </c>
      <c r="C1255" t="s">
        <v>3347</v>
      </c>
      <c r="D1255" t="s">
        <v>562</v>
      </c>
      <c r="E1255" t="s">
        <v>3348</v>
      </c>
      <c r="F1255" t="s">
        <v>562</v>
      </c>
      <c r="G1255" t="s">
        <v>562</v>
      </c>
      <c r="H1255" t="s">
        <v>562</v>
      </c>
      <c r="I1255">
        <v>3839</v>
      </c>
      <c r="J1255" t="s">
        <v>564</v>
      </c>
      <c r="K1255" s="698">
        <v>45957.445833333331</v>
      </c>
      <c r="L1255" s="698">
        <v>45957.445833333331</v>
      </c>
      <c r="M1255" t="s">
        <v>565</v>
      </c>
      <c r="N1255" t="s">
        <v>565</v>
      </c>
      <c r="O1255" t="s">
        <v>566</v>
      </c>
      <c r="P1255" t="s">
        <v>567</v>
      </c>
      <c r="S1255" t="s">
        <v>567</v>
      </c>
      <c r="T1255" t="s">
        <v>567</v>
      </c>
      <c r="Z1255" t="s">
        <v>568</v>
      </c>
      <c r="AA1255" t="s">
        <v>568</v>
      </c>
    </row>
    <row r="1256" spans="1:27">
      <c r="A1256" t="s">
        <v>3345</v>
      </c>
      <c r="B1256" t="s">
        <v>3346</v>
      </c>
      <c r="C1256" t="s">
        <v>3347</v>
      </c>
      <c r="D1256" t="s">
        <v>562</v>
      </c>
      <c r="E1256" t="s">
        <v>3349</v>
      </c>
      <c r="F1256" t="s">
        <v>562</v>
      </c>
      <c r="G1256" t="s">
        <v>562</v>
      </c>
      <c r="H1256" t="s">
        <v>562</v>
      </c>
      <c r="I1256">
        <v>3875</v>
      </c>
      <c r="J1256" t="s">
        <v>564</v>
      </c>
      <c r="K1256" s="698">
        <v>45957.45</v>
      </c>
      <c r="L1256" s="698">
        <v>45957.45</v>
      </c>
      <c r="M1256" t="s">
        <v>565</v>
      </c>
      <c r="N1256" t="s">
        <v>565</v>
      </c>
      <c r="O1256" t="s">
        <v>566</v>
      </c>
      <c r="P1256" t="s">
        <v>567</v>
      </c>
      <c r="S1256" t="s">
        <v>567</v>
      </c>
      <c r="T1256" t="s">
        <v>567</v>
      </c>
      <c r="Z1256" t="s">
        <v>568</v>
      </c>
      <c r="AA1256" t="s">
        <v>568</v>
      </c>
    </row>
    <row r="1257" spans="1:27">
      <c r="A1257" t="s">
        <v>3345</v>
      </c>
      <c r="B1257" t="s">
        <v>3346</v>
      </c>
      <c r="C1257" t="s">
        <v>3347</v>
      </c>
      <c r="D1257" t="s">
        <v>562</v>
      </c>
      <c r="E1257" t="s">
        <v>3350</v>
      </c>
      <c r="F1257" t="s">
        <v>562</v>
      </c>
      <c r="G1257" t="s">
        <v>562</v>
      </c>
      <c r="H1257" t="s">
        <v>562</v>
      </c>
      <c r="I1257">
        <v>3963</v>
      </c>
      <c r="J1257" t="s">
        <v>564</v>
      </c>
      <c r="K1257" s="698">
        <v>45957.459722222222</v>
      </c>
      <c r="L1257" s="698">
        <v>45957.459722222222</v>
      </c>
      <c r="M1257" t="s">
        <v>565</v>
      </c>
      <c r="N1257" t="s">
        <v>565</v>
      </c>
      <c r="O1257" t="s">
        <v>566</v>
      </c>
      <c r="P1257" t="s">
        <v>567</v>
      </c>
      <c r="S1257" t="s">
        <v>567</v>
      </c>
      <c r="T1257" t="s">
        <v>567</v>
      </c>
      <c r="Z1257" t="s">
        <v>568</v>
      </c>
      <c r="AA1257" t="s">
        <v>568</v>
      </c>
    </row>
    <row r="1258" spans="1:27">
      <c r="A1258" t="s">
        <v>3351</v>
      </c>
      <c r="B1258" t="s">
        <v>562</v>
      </c>
      <c r="C1258" t="s">
        <v>3352</v>
      </c>
      <c r="D1258" t="s">
        <v>3353</v>
      </c>
      <c r="E1258" t="s">
        <v>3354</v>
      </c>
      <c r="F1258" t="s">
        <v>562</v>
      </c>
      <c r="G1258" t="s">
        <v>562</v>
      </c>
      <c r="H1258" t="s">
        <v>562</v>
      </c>
      <c r="I1258">
        <v>3558</v>
      </c>
      <c r="J1258" t="s">
        <v>564</v>
      </c>
      <c r="K1258" s="698">
        <v>45957.415277777778</v>
      </c>
      <c r="L1258" s="698">
        <v>45957.415277777778</v>
      </c>
      <c r="M1258" t="s">
        <v>565</v>
      </c>
      <c r="N1258" t="s">
        <v>565</v>
      </c>
      <c r="O1258" t="s">
        <v>566</v>
      </c>
      <c r="P1258" t="s">
        <v>567</v>
      </c>
      <c r="S1258" t="s">
        <v>567</v>
      </c>
      <c r="T1258" t="s">
        <v>567</v>
      </c>
      <c r="Z1258" t="s">
        <v>568</v>
      </c>
      <c r="AA1258" t="s">
        <v>568</v>
      </c>
    </row>
    <row r="1259" spans="1:27">
      <c r="A1259" t="s">
        <v>3355</v>
      </c>
      <c r="B1259" t="s">
        <v>3356</v>
      </c>
      <c r="C1259" t="s">
        <v>562</v>
      </c>
      <c r="D1259" t="s">
        <v>3357</v>
      </c>
      <c r="E1259" t="s">
        <v>3358</v>
      </c>
      <c r="F1259" t="s">
        <v>562</v>
      </c>
      <c r="G1259" t="s">
        <v>562</v>
      </c>
      <c r="H1259" t="s">
        <v>562</v>
      </c>
      <c r="I1259">
        <v>5245</v>
      </c>
      <c r="J1259" t="s">
        <v>564</v>
      </c>
      <c r="K1259" s="698">
        <v>46055.494444444441</v>
      </c>
      <c r="L1259" s="698">
        <v>46055.494444444441</v>
      </c>
      <c r="M1259" t="s">
        <v>565</v>
      </c>
      <c r="N1259" t="s">
        <v>565</v>
      </c>
      <c r="O1259" t="s">
        <v>566</v>
      </c>
      <c r="P1259" t="s">
        <v>567</v>
      </c>
      <c r="S1259" t="s">
        <v>567</v>
      </c>
      <c r="T1259" t="s">
        <v>567</v>
      </c>
      <c r="Z1259" t="s">
        <v>826</v>
      </c>
      <c r="AA1259" t="s">
        <v>826</v>
      </c>
    </row>
    <row r="1260" spans="1:27">
      <c r="A1260" t="s">
        <v>3359</v>
      </c>
      <c r="B1260" t="s">
        <v>3360</v>
      </c>
      <c r="C1260" t="s">
        <v>562</v>
      </c>
      <c r="D1260" t="s">
        <v>562</v>
      </c>
      <c r="E1260" t="s">
        <v>3361</v>
      </c>
      <c r="F1260" t="s">
        <v>562</v>
      </c>
      <c r="G1260" t="s">
        <v>562</v>
      </c>
      <c r="H1260" t="s">
        <v>562</v>
      </c>
      <c r="I1260">
        <v>4103</v>
      </c>
      <c r="J1260" t="s">
        <v>564</v>
      </c>
      <c r="K1260" s="698">
        <v>45957.477083333331</v>
      </c>
      <c r="L1260" s="698">
        <v>45957.477083333331</v>
      </c>
      <c r="M1260" t="s">
        <v>565</v>
      </c>
      <c r="N1260" t="s">
        <v>565</v>
      </c>
      <c r="O1260" t="s">
        <v>566</v>
      </c>
      <c r="P1260" t="s">
        <v>567</v>
      </c>
      <c r="S1260" t="s">
        <v>567</v>
      </c>
      <c r="T1260" t="s">
        <v>567</v>
      </c>
      <c r="Z1260" t="s">
        <v>568</v>
      </c>
      <c r="AA1260" t="s">
        <v>568</v>
      </c>
    </row>
    <row r="1261" spans="1:27">
      <c r="A1261" t="s">
        <v>3362</v>
      </c>
      <c r="B1261" t="s">
        <v>3363</v>
      </c>
      <c r="C1261" t="s">
        <v>3364</v>
      </c>
      <c r="D1261" t="s">
        <v>562</v>
      </c>
      <c r="E1261" t="s">
        <v>3365</v>
      </c>
      <c r="F1261" t="s">
        <v>562</v>
      </c>
      <c r="G1261" t="s">
        <v>562</v>
      </c>
      <c r="H1261" t="s">
        <v>562</v>
      </c>
      <c r="I1261">
        <v>4757</v>
      </c>
      <c r="J1261" t="s">
        <v>564</v>
      </c>
      <c r="K1261" s="698">
        <v>45957.550694444442</v>
      </c>
      <c r="L1261" s="698">
        <v>45957.550694444442</v>
      </c>
      <c r="M1261" t="s">
        <v>565</v>
      </c>
      <c r="N1261" t="s">
        <v>565</v>
      </c>
      <c r="O1261" t="s">
        <v>566</v>
      </c>
      <c r="P1261" t="s">
        <v>567</v>
      </c>
      <c r="S1261" t="s">
        <v>567</v>
      </c>
      <c r="T1261" t="s">
        <v>567</v>
      </c>
      <c r="Z1261" t="s">
        <v>568</v>
      </c>
      <c r="AA1261" t="s">
        <v>568</v>
      </c>
    </row>
    <row r="1262" spans="1:27">
      <c r="A1262" t="s">
        <v>3366</v>
      </c>
      <c r="B1262" t="s">
        <v>3367</v>
      </c>
      <c r="C1262" t="s">
        <v>3368</v>
      </c>
      <c r="D1262" t="s">
        <v>562</v>
      </c>
      <c r="E1262" t="s">
        <v>3369</v>
      </c>
      <c r="F1262" t="s">
        <v>562</v>
      </c>
      <c r="G1262" t="s">
        <v>562</v>
      </c>
      <c r="H1262" t="s">
        <v>562</v>
      </c>
      <c r="I1262">
        <v>3677</v>
      </c>
      <c r="J1262" t="s">
        <v>564</v>
      </c>
      <c r="K1262" s="698">
        <v>45957.428472222222</v>
      </c>
      <c r="L1262" s="698">
        <v>45957.428472222222</v>
      </c>
      <c r="M1262" t="s">
        <v>565</v>
      </c>
      <c r="N1262" t="s">
        <v>565</v>
      </c>
      <c r="O1262" t="s">
        <v>566</v>
      </c>
      <c r="P1262" t="s">
        <v>567</v>
      </c>
      <c r="S1262" t="s">
        <v>567</v>
      </c>
      <c r="T1262" t="s">
        <v>567</v>
      </c>
      <c r="Z1262" t="s">
        <v>568</v>
      </c>
      <c r="AA1262" t="s">
        <v>568</v>
      </c>
    </row>
    <row r="1263" spans="1:27">
      <c r="A1263" t="s">
        <v>3370</v>
      </c>
      <c r="B1263" t="s">
        <v>3371</v>
      </c>
      <c r="C1263" t="s">
        <v>3372</v>
      </c>
      <c r="D1263" t="s">
        <v>3373</v>
      </c>
      <c r="E1263" t="s">
        <v>3374</v>
      </c>
      <c r="F1263" t="s">
        <v>562</v>
      </c>
      <c r="G1263" t="s">
        <v>562</v>
      </c>
      <c r="H1263" t="s">
        <v>562</v>
      </c>
      <c r="I1263">
        <v>4444</v>
      </c>
      <c r="J1263" t="s">
        <v>564</v>
      </c>
      <c r="K1263" s="698">
        <v>45957.519444444442</v>
      </c>
      <c r="L1263" s="698">
        <v>45957.519444444442</v>
      </c>
      <c r="M1263" t="s">
        <v>565</v>
      </c>
      <c r="N1263" t="s">
        <v>565</v>
      </c>
      <c r="O1263" t="s">
        <v>566</v>
      </c>
      <c r="P1263" t="s">
        <v>567</v>
      </c>
      <c r="S1263" t="s">
        <v>567</v>
      </c>
      <c r="T1263" t="s">
        <v>567</v>
      </c>
      <c r="Z1263" t="s">
        <v>568</v>
      </c>
      <c r="AA1263" t="s">
        <v>568</v>
      </c>
    </row>
    <row r="1264" spans="1:27">
      <c r="A1264" t="s">
        <v>3375</v>
      </c>
      <c r="B1264" t="s">
        <v>3376</v>
      </c>
      <c r="C1264" t="s">
        <v>3377</v>
      </c>
      <c r="D1264" t="s">
        <v>562</v>
      </c>
      <c r="E1264" t="s">
        <v>3378</v>
      </c>
      <c r="F1264" t="s">
        <v>562</v>
      </c>
      <c r="G1264" t="s">
        <v>562</v>
      </c>
      <c r="H1264" t="s">
        <v>562</v>
      </c>
      <c r="I1264">
        <v>3888</v>
      </c>
      <c r="J1264" t="s">
        <v>564</v>
      </c>
      <c r="K1264" s="698">
        <v>45957.451388888891</v>
      </c>
      <c r="L1264" s="698">
        <v>45957.451388888891</v>
      </c>
      <c r="M1264" t="s">
        <v>565</v>
      </c>
      <c r="N1264" t="s">
        <v>565</v>
      </c>
      <c r="O1264" t="s">
        <v>566</v>
      </c>
      <c r="P1264" t="s">
        <v>567</v>
      </c>
      <c r="S1264" t="s">
        <v>567</v>
      </c>
      <c r="T1264" t="s">
        <v>567</v>
      </c>
      <c r="Z1264" t="s">
        <v>568</v>
      </c>
      <c r="AA1264" t="s">
        <v>568</v>
      </c>
    </row>
    <row r="1265" spans="1:27">
      <c r="A1265" t="s">
        <v>3379</v>
      </c>
      <c r="B1265" t="s">
        <v>1556</v>
      </c>
      <c r="C1265" t="s">
        <v>2707</v>
      </c>
      <c r="D1265" t="s">
        <v>3380</v>
      </c>
      <c r="E1265" t="s">
        <v>2174</v>
      </c>
      <c r="F1265" t="s">
        <v>562</v>
      </c>
      <c r="G1265" t="s">
        <v>562</v>
      </c>
      <c r="H1265" t="s">
        <v>562</v>
      </c>
      <c r="I1265">
        <v>4347</v>
      </c>
      <c r="J1265" t="s">
        <v>564</v>
      </c>
      <c r="K1265" s="698">
        <v>45957.507638888892</v>
      </c>
      <c r="L1265" s="698">
        <v>45957.507638888892</v>
      </c>
      <c r="M1265" t="s">
        <v>565</v>
      </c>
      <c r="N1265" t="s">
        <v>565</v>
      </c>
      <c r="O1265" t="s">
        <v>566</v>
      </c>
      <c r="P1265" t="s">
        <v>567</v>
      </c>
      <c r="S1265" t="s">
        <v>567</v>
      </c>
      <c r="T1265" t="s">
        <v>567</v>
      </c>
      <c r="Z1265" t="s">
        <v>568</v>
      </c>
      <c r="AA1265" t="s">
        <v>568</v>
      </c>
    </row>
    <row r="1266" spans="1:27">
      <c r="A1266" t="s">
        <v>3379</v>
      </c>
      <c r="B1266" t="s">
        <v>732</v>
      </c>
      <c r="C1266" t="s">
        <v>3381</v>
      </c>
      <c r="D1266" t="s">
        <v>3380</v>
      </c>
      <c r="E1266" t="s">
        <v>3382</v>
      </c>
      <c r="F1266" t="s">
        <v>562</v>
      </c>
      <c r="G1266" t="s">
        <v>562</v>
      </c>
      <c r="H1266" t="s">
        <v>562</v>
      </c>
      <c r="I1266">
        <v>4395</v>
      </c>
      <c r="J1266" t="s">
        <v>564</v>
      </c>
      <c r="K1266" s="698">
        <v>45957.513194444444</v>
      </c>
      <c r="L1266" s="698">
        <v>45957.513194444444</v>
      </c>
      <c r="M1266" t="s">
        <v>565</v>
      </c>
      <c r="N1266" t="s">
        <v>565</v>
      </c>
      <c r="O1266" t="s">
        <v>566</v>
      </c>
      <c r="P1266" t="s">
        <v>567</v>
      </c>
      <c r="S1266" t="s">
        <v>567</v>
      </c>
      <c r="T1266" t="s">
        <v>567</v>
      </c>
      <c r="Z1266" t="s">
        <v>568</v>
      </c>
      <c r="AA1266" t="s">
        <v>568</v>
      </c>
    </row>
    <row r="1267" spans="1:27">
      <c r="A1267" t="s">
        <v>3383</v>
      </c>
      <c r="B1267" t="s">
        <v>3384</v>
      </c>
      <c r="C1267" t="s">
        <v>3385</v>
      </c>
      <c r="D1267" t="s">
        <v>3386</v>
      </c>
      <c r="E1267" t="s">
        <v>3387</v>
      </c>
      <c r="F1267" t="s">
        <v>562</v>
      </c>
      <c r="G1267" t="s">
        <v>562</v>
      </c>
      <c r="H1267" t="s">
        <v>562</v>
      </c>
      <c r="I1267">
        <v>4644</v>
      </c>
      <c r="J1267" t="s">
        <v>564</v>
      </c>
      <c r="K1267" s="698">
        <v>45957.547222222223</v>
      </c>
      <c r="L1267" s="698">
        <v>45957.547222222223</v>
      </c>
      <c r="M1267" t="s">
        <v>565</v>
      </c>
      <c r="N1267" t="s">
        <v>565</v>
      </c>
      <c r="O1267" t="s">
        <v>566</v>
      </c>
      <c r="P1267" t="s">
        <v>567</v>
      </c>
      <c r="S1267" t="s">
        <v>567</v>
      </c>
      <c r="T1267" t="s">
        <v>567</v>
      </c>
      <c r="Z1267" t="s">
        <v>568</v>
      </c>
      <c r="AA1267" t="s">
        <v>568</v>
      </c>
    </row>
    <row r="1268" spans="1:27">
      <c r="A1268" t="s">
        <v>3388</v>
      </c>
      <c r="B1268" t="s">
        <v>562</v>
      </c>
      <c r="C1268" t="s">
        <v>562</v>
      </c>
      <c r="D1268" t="s">
        <v>3389</v>
      </c>
      <c r="E1268" t="s">
        <v>3390</v>
      </c>
      <c r="F1268" t="s">
        <v>562</v>
      </c>
      <c r="G1268" t="s">
        <v>562</v>
      </c>
      <c r="H1268" t="s">
        <v>562</v>
      </c>
      <c r="I1268">
        <v>5045</v>
      </c>
      <c r="J1268" t="s">
        <v>564</v>
      </c>
      <c r="K1268" s="698">
        <v>45957.55972222222</v>
      </c>
      <c r="L1268" s="698">
        <v>45957.55972222222</v>
      </c>
      <c r="M1268" t="s">
        <v>565</v>
      </c>
      <c r="N1268" t="s">
        <v>565</v>
      </c>
      <c r="O1268" t="s">
        <v>566</v>
      </c>
      <c r="P1268" t="s">
        <v>567</v>
      </c>
      <c r="S1268" t="s">
        <v>567</v>
      </c>
      <c r="T1268" t="s">
        <v>567</v>
      </c>
      <c r="Z1268" t="s">
        <v>568</v>
      </c>
      <c r="AA1268" t="s">
        <v>568</v>
      </c>
    </row>
    <row r="1269" spans="1:27">
      <c r="A1269" t="s">
        <v>3391</v>
      </c>
      <c r="B1269" t="s">
        <v>3392</v>
      </c>
      <c r="C1269" t="s">
        <v>3393</v>
      </c>
      <c r="D1269" t="s">
        <v>562</v>
      </c>
      <c r="E1269" t="s">
        <v>3394</v>
      </c>
      <c r="F1269" t="s">
        <v>562</v>
      </c>
      <c r="G1269" t="s">
        <v>562</v>
      </c>
      <c r="H1269" t="s">
        <v>562</v>
      </c>
      <c r="I1269">
        <v>3704</v>
      </c>
      <c r="J1269" t="s">
        <v>564</v>
      </c>
      <c r="K1269" s="698">
        <v>45957.431250000001</v>
      </c>
      <c r="L1269" s="698">
        <v>45957.431250000001</v>
      </c>
      <c r="M1269" t="s">
        <v>565</v>
      </c>
      <c r="N1269" t="s">
        <v>565</v>
      </c>
      <c r="O1269" t="s">
        <v>566</v>
      </c>
      <c r="P1269" t="s">
        <v>567</v>
      </c>
      <c r="S1269" t="s">
        <v>567</v>
      </c>
      <c r="T1269" t="s">
        <v>567</v>
      </c>
      <c r="Z1269" t="s">
        <v>568</v>
      </c>
      <c r="AA1269" t="s">
        <v>568</v>
      </c>
    </row>
    <row r="1270" spans="1:27">
      <c r="A1270" t="s">
        <v>3395</v>
      </c>
      <c r="B1270" t="s">
        <v>3396</v>
      </c>
      <c r="C1270" t="s">
        <v>3397</v>
      </c>
      <c r="D1270" t="s">
        <v>3398</v>
      </c>
      <c r="E1270" t="s">
        <v>562</v>
      </c>
      <c r="F1270" t="s">
        <v>562</v>
      </c>
      <c r="G1270" t="s">
        <v>562</v>
      </c>
      <c r="H1270" t="s">
        <v>562</v>
      </c>
      <c r="I1270">
        <v>3559</v>
      </c>
      <c r="J1270" t="s">
        <v>564</v>
      </c>
      <c r="K1270" s="698">
        <v>45957.415972222225</v>
      </c>
      <c r="L1270" s="698">
        <v>45957.415972222225</v>
      </c>
      <c r="M1270" t="s">
        <v>565</v>
      </c>
      <c r="N1270" t="s">
        <v>565</v>
      </c>
      <c r="O1270" t="s">
        <v>566</v>
      </c>
      <c r="P1270" t="s">
        <v>567</v>
      </c>
      <c r="S1270" t="s">
        <v>567</v>
      </c>
      <c r="T1270" t="s">
        <v>567</v>
      </c>
      <c r="Z1270" t="s">
        <v>568</v>
      </c>
      <c r="AA1270" t="s">
        <v>568</v>
      </c>
    </row>
    <row r="1271" spans="1:27">
      <c r="A1271" t="s">
        <v>3399</v>
      </c>
      <c r="B1271" t="s">
        <v>740</v>
      </c>
      <c r="C1271" t="s">
        <v>3400</v>
      </c>
      <c r="D1271" t="s">
        <v>3401</v>
      </c>
      <c r="E1271" t="s">
        <v>3402</v>
      </c>
      <c r="F1271" t="s">
        <v>562</v>
      </c>
      <c r="G1271" t="s">
        <v>562</v>
      </c>
      <c r="H1271" t="s">
        <v>562</v>
      </c>
      <c r="I1271">
        <v>3935</v>
      </c>
      <c r="J1271" t="s">
        <v>564</v>
      </c>
      <c r="K1271" s="698">
        <v>45957.456250000003</v>
      </c>
      <c r="L1271" s="698">
        <v>45957.456250000003</v>
      </c>
      <c r="M1271" t="s">
        <v>565</v>
      </c>
      <c r="N1271" t="s">
        <v>565</v>
      </c>
      <c r="O1271" t="s">
        <v>566</v>
      </c>
      <c r="P1271" t="s">
        <v>567</v>
      </c>
      <c r="S1271" t="s">
        <v>567</v>
      </c>
      <c r="T1271" t="s">
        <v>567</v>
      </c>
      <c r="Z1271" t="s">
        <v>568</v>
      </c>
      <c r="AA1271" t="s">
        <v>568</v>
      </c>
    </row>
    <row r="1272" spans="1:27">
      <c r="A1272" t="s">
        <v>3403</v>
      </c>
      <c r="B1272" t="s">
        <v>3404</v>
      </c>
      <c r="C1272" t="s">
        <v>3405</v>
      </c>
      <c r="D1272" t="s">
        <v>3406</v>
      </c>
      <c r="E1272" t="s">
        <v>3407</v>
      </c>
      <c r="F1272" t="s">
        <v>562</v>
      </c>
      <c r="G1272" t="s">
        <v>562</v>
      </c>
      <c r="H1272" t="s">
        <v>562</v>
      </c>
      <c r="I1272">
        <v>4456</v>
      </c>
      <c r="J1272" t="s">
        <v>564</v>
      </c>
      <c r="K1272" s="698">
        <v>45957.520833333336</v>
      </c>
      <c r="L1272" s="698">
        <v>45957.520833333336</v>
      </c>
      <c r="M1272" t="s">
        <v>565</v>
      </c>
      <c r="N1272" t="s">
        <v>565</v>
      </c>
      <c r="O1272" t="s">
        <v>566</v>
      </c>
      <c r="P1272" t="s">
        <v>567</v>
      </c>
      <c r="S1272" t="s">
        <v>567</v>
      </c>
      <c r="T1272" t="s">
        <v>567</v>
      </c>
      <c r="Z1272" t="s">
        <v>568</v>
      </c>
      <c r="AA1272" t="s">
        <v>568</v>
      </c>
    </row>
    <row r="1273" spans="1:27">
      <c r="A1273" t="s">
        <v>3408</v>
      </c>
      <c r="B1273" t="s">
        <v>2784</v>
      </c>
      <c r="C1273" t="s">
        <v>3409</v>
      </c>
      <c r="D1273" t="s">
        <v>562</v>
      </c>
      <c r="E1273" t="s">
        <v>3410</v>
      </c>
      <c r="F1273" t="s">
        <v>562</v>
      </c>
      <c r="G1273" t="s">
        <v>562</v>
      </c>
      <c r="H1273" t="s">
        <v>562</v>
      </c>
      <c r="I1273">
        <v>4102</v>
      </c>
      <c r="J1273" t="s">
        <v>564</v>
      </c>
      <c r="K1273" s="698">
        <v>45957.476388888892</v>
      </c>
      <c r="L1273" s="698">
        <v>45957.476388888892</v>
      </c>
      <c r="M1273" t="s">
        <v>565</v>
      </c>
      <c r="N1273" t="s">
        <v>565</v>
      </c>
      <c r="O1273" t="s">
        <v>566</v>
      </c>
      <c r="P1273" t="s">
        <v>567</v>
      </c>
      <c r="S1273" t="s">
        <v>567</v>
      </c>
      <c r="T1273" t="s">
        <v>567</v>
      </c>
      <c r="Z1273" t="s">
        <v>568</v>
      </c>
      <c r="AA1273" t="s">
        <v>568</v>
      </c>
    </row>
    <row r="1274" spans="1:27">
      <c r="A1274" t="s">
        <v>3411</v>
      </c>
      <c r="B1274" t="s">
        <v>3412</v>
      </c>
      <c r="C1274" t="s">
        <v>3413</v>
      </c>
      <c r="D1274" t="s">
        <v>3414</v>
      </c>
      <c r="E1274" t="s">
        <v>3415</v>
      </c>
      <c r="F1274" t="s">
        <v>562</v>
      </c>
      <c r="G1274" t="s">
        <v>562</v>
      </c>
      <c r="H1274" t="s">
        <v>562</v>
      </c>
      <c r="I1274">
        <v>3646</v>
      </c>
      <c r="J1274" t="s">
        <v>564</v>
      </c>
      <c r="K1274" s="698">
        <v>45957.425000000003</v>
      </c>
      <c r="L1274" s="698">
        <v>45957.425000000003</v>
      </c>
      <c r="M1274" t="s">
        <v>565</v>
      </c>
      <c r="N1274" t="s">
        <v>565</v>
      </c>
      <c r="O1274" t="s">
        <v>566</v>
      </c>
      <c r="P1274" t="s">
        <v>567</v>
      </c>
      <c r="S1274" t="s">
        <v>567</v>
      </c>
      <c r="T1274" t="s">
        <v>567</v>
      </c>
      <c r="Z1274" t="s">
        <v>568</v>
      </c>
      <c r="AA1274" t="s">
        <v>568</v>
      </c>
    </row>
    <row r="1275" spans="1:27">
      <c r="A1275" t="s">
        <v>3411</v>
      </c>
      <c r="B1275" t="s">
        <v>562</v>
      </c>
      <c r="C1275" t="s">
        <v>562</v>
      </c>
      <c r="D1275" t="s">
        <v>3414</v>
      </c>
      <c r="E1275" t="s">
        <v>3416</v>
      </c>
      <c r="F1275" t="s">
        <v>562</v>
      </c>
      <c r="G1275" t="s">
        <v>562</v>
      </c>
      <c r="H1275" t="s">
        <v>562</v>
      </c>
      <c r="I1275">
        <v>3747</v>
      </c>
      <c r="J1275" t="s">
        <v>564</v>
      </c>
      <c r="K1275" s="698">
        <v>45957.436111111114</v>
      </c>
      <c r="L1275" s="698">
        <v>45957.436111111114</v>
      </c>
      <c r="M1275" t="s">
        <v>565</v>
      </c>
      <c r="N1275" t="s">
        <v>565</v>
      </c>
      <c r="O1275" t="s">
        <v>566</v>
      </c>
      <c r="P1275" t="s">
        <v>567</v>
      </c>
      <c r="S1275" t="s">
        <v>567</v>
      </c>
      <c r="T1275" t="s">
        <v>567</v>
      </c>
      <c r="Z1275" t="s">
        <v>568</v>
      </c>
      <c r="AA1275" t="s">
        <v>568</v>
      </c>
    </row>
    <row r="1276" spans="1:27">
      <c r="A1276" t="s">
        <v>3411</v>
      </c>
      <c r="B1276" t="s">
        <v>810</v>
      </c>
      <c r="C1276" t="s">
        <v>3417</v>
      </c>
      <c r="D1276" t="s">
        <v>3414</v>
      </c>
      <c r="E1276" t="s">
        <v>3418</v>
      </c>
      <c r="F1276" t="s">
        <v>562</v>
      </c>
      <c r="G1276" t="s">
        <v>562</v>
      </c>
      <c r="H1276" t="s">
        <v>562</v>
      </c>
      <c r="I1276">
        <v>3869</v>
      </c>
      <c r="J1276" t="s">
        <v>564</v>
      </c>
      <c r="K1276" s="698">
        <v>45957.45</v>
      </c>
      <c r="L1276" s="698">
        <v>45957.45</v>
      </c>
      <c r="M1276" t="s">
        <v>565</v>
      </c>
      <c r="N1276" t="s">
        <v>565</v>
      </c>
      <c r="O1276" t="s">
        <v>566</v>
      </c>
      <c r="P1276" t="s">
        <v>567</v>
      </c>
      <c r="S1276" t="s">
        <v>567</v>
      </c>
      <c r="T1276" t="s">
        <v>567</v>
      </c>
      <c r="Z1276" t="s">
        <v>568</v>
      </c>
      <c r="AA1276" t="s">
        <v>568</v>
      </c>
    </row>
    <row r="1277" spans="1:27">
      <c r="A1277" t="s">
        <v>3411</v>
      </c>
      <c r="B1277" t="s">
        <v>562</v>
      </c>
      <c r="C1277" t="s">
        <v>562</v>
      </c>
      <c r="D1277" t="s">
        <v>3414</v>
      </c>
      <c r="E1277" t="s">
        <v>3419</v>
      </c>
      <c r="F1277" t="s">
        <v>562</v>
      </c>
      <c r="G1277" t="s">
        <v>562</v>
      </c>
      <c r="H1277" t="s">
        <v>562</v>
      </c>
      <c r="I1277">
        <v>3956</v>
      </c>
      <c r="J1277" t="s">
        <v>564</v>
      </c>
      <c r="K1277" s="698">
        <v>45957.459027777775</v>
      </c>
      <c r="L1277" s="698">
        <v>45957.459027777775</v>
      </c>
      <c r="M1277" t="s">
        <v>565</v>
      </c>
      <c r="N1277" t="s">
        <v>565</v>
      </c>
      <c r="O1277" t="s">
        <v>566</v>
      </c>
      <c r="P1277" t="s">
        <v>567</v>
      </c>
      <c r="S1277" t="s">
        <v>567</v>
      </c>
      <c r="T1277" t="s">
        <v>567</v>
      </c>
      <c r="Z1277" t="s">
        <v>568</v>
      </c>
      <c r="AA1277" t="s">
        <v>568</v>
      </c>
    </row>
    <row r="1278" spans="1:27">
      <c r="A1278" t="s">
        <v>3411</v>
      </c>
      <c r="B1278" t="s">
        <v>562</v>
      </c>
      <c r="C1278" t="s">
        <v>562</v>
      </c>
      <c r="D1278" t="s">
        <v>3414</v>
      </c>
      <c r="E1278" t="s">
        <v>3420</v>
      </c>
      <c r="F1278" t="s">
        <v>562</v>
      </c>
      <c r="G1278" t="s">
        <v>562</v>
      </c>
      <c r="H1278" t="s">
        <v>562</v>
      </c>
      <c r="I1278">
        <v>3957</v>
      </c>
      <c r="J1278" t="s">
        <v>564</v>
      </c>
      <c r="K1278" s="698">
        <v>45957.459027777775</v>
      </c>
      <c r="L1278" s="698">
        <v>45957.459027777775</v>
      </c>
      <c r="M1278" t="s">
        <v>565</v>
      </c>
      <c r="N1278" t="s">
        <v>565</v>
      </c>
      <c r="O1278" t="s">
        <v>566</v>
      </c>
      <c r="P1278" t="s">
        <v>567</v>
      </c>
      <c r="S1278" t="s">
        <v>567</v>
      </c>
      <c r="T1278" t="s">
        <v>567</v>
      </c>
      <c r="Z1278" t="s">
        <v>568</v>
      </c>
      <c r="AA1278" t="s">
        <v>568</v>
      </c>
    </row>
    <row r="1279" spans="1:27">
      <c r="A1279" t="s">
        <v>3411</v>
      </c>
      <c r="B1279" t="s">
        <v>562</v>
      </c>
      <c r="C1279" t="s">
        <v>562</v>
      </c>
      <c r="D1279" t="s">
        <v>3414</v>
      </c>
      <c r="E1279" t="s">
        <v>3421</v>
      </c>
      <c r="F1279" t="s">
        <v>562</v>
      </c>
      <c r="G1279" t="s">
        <v>562</v>
      </c>
      <c r="H1279" t="s">
        <v>562</v>
      </c>
      <c r="I1279">
        <v>3966</v>
      </c>
      <c r="J1279" t="s">
        <v>564</v>
      </c>
      <c r="K1279" s="698">
        <v>45957.460416666669</v>
      </c>
      <c r="L1279" s="698">
        <v>45957.460416666669</v>
      </c>
      <c r="M1279" t="s">
        <v>565</v>
      </c>
      <c r="N1279" t="s">
        <v>565</v>
      </c>
      <c r="O1279" t="s">
        <v>566</v>
      </c>
      <c r="P1279" t="s">
        <v>567</v>
      </c>
      <c r="S1279" t="s">
        <v>567</v>
      </c>
      <c r="T1279" t="s">
        <v>567</v>
      </c>
      <c r="Z1279" t="s">
        <v>568</v>
      </c>
      <c r="AA1279" t="s">
        <v>568</v>
      </c>
    </row>
    <row r="1280" spans="1:27">
      <c r="A1280" t="s">
        <v>3411</v>
      </c>
      <c r="B1280" t="s">
        <v>562</v>
      </c>
      <c r="C1280" t="s">
        <v>562</v>
      </c>
      <c r="D1280" t="s">
        <v>3414</v>
      </c>
      <c r="E1280" t="s">
        <v>3422</v>
      </c>
      <c r="F1280" t="s">
        <v>562</v>
      </c>
      <c r="G1280" t="s">
        <v>562</v>
      </c>
      <c r="H1280" t="s">
        <v>562</v>
      </c>
      <c r="I1280">
        <v>3967</v>
      </c>
      <c r="J1280" t="s">
        <v>564</v>
      </c>
      <c r="K1280" s="698">
        <v>45957.460416666669</v>
      </c>
      <c r="L1280" s="698">
        <v>45957.460416666669</v>
      </c>
      <c r="M1280" t="s">
        <v>565</v>
      </c>
      <c r="N1280" t="s">
        <v>565</v>
      </c>
      <c r="O1280" t="s">
        <v>566</v>
      </c>
      <c r="P1280" t="s">
        <v>567</v>
      </c>
      <c r="S1280" t="s">
        <v>567</v>
      </c>
      <c r="T1280" t="s">
        <v>567</v>
      </c>
      <c r="Z1280" t="s">
        <v>568</v>
      </c>
      <c r="AA1280" t="s">
        <v>568</v>
      </c>
    </row>
    <row r="1281" spans="1:27">
      <c r="A1281" t="s">
        <v>3411</v>
      </c>
      <c r="B1281" t="s">
        <v>562</v>
      </c>
      <c r="C1281" t="s">
        <v>562</v>
      </c>
      <c r="D1281" t="s">
        <v>3414</v>
      </c>
      <c r="E1281" t="s">
        <v>3423</v>
      </c>
      <c r="F1281" t="s">
        <v>562</v>
      </c>
      <c r="G1281" t="s">
        <v>562</v>
      </c>
      <c r="H1281" t="s">
        <v>562</v>
      </c>
      <c r="I1281">
        <v>3968</v>
      </c>
      <c r="J1281" t="s">
        <v>564</v>
      </c>
      <c r="K1281" s="698">
        <v>45957.460416666669</v>
      </c>
      <c r="L1281" s="698">
        <v>45957.460416666669</v>
      </c>
      <c r="M1281" t="s">
        <v>565</v>
      </c>
      <c r="N1281" t="s">
        <v>565</v>
      </c>
      <c r="O1281" t="s">
        <v>566</v>
      </c>
      <c r="P1281" t="s">
        <v>567</v>
      </c>
      <c r="S1281" t="s">
        <v>567</v>
      </c>
      <c r="T1281" t="s">
        <v>567</v>
      </c>
      <c r="Z1281" t="s">
        <v>568</v>
      </c>
      <c r="AA1281" t="s">
        <v>568</v>
      </c>
    </row>
    <row r="1282" spans="1:27">
      <c r="A1282" t="s">
        <v>3411</v>
      </c>
      <c r="B1282" t="s">
        <v>562</v>
      </c>
      <c r="C1282" t="s">
        <v>562</v>
      </c>
      <c r="D1282" t="s">
        <v>3414</v>
      </c>
      <c r="E1282" t="s">
        <v>3424</v>
      </c>
      <c r="F1282" t="s">
        <v>562</v>
      </c>
      <c r="G1282" t="s">
        <v>562</v>
      </c>
      <c r="H1282" t="s">
        <v>562</v>
      </c>
      <c r="I1282">
        <v>3982</v>
      </c>
      <c r="J1282" t="s">
        <v>564</v>
      </c>
      <c r="K1282" s="698">
        <v>45957.461805555555</v>
      </c>
      <c r="L1282" s="698">
        <v>45957.461805555555</v>
      </c>
      <c r="M1282" t="s">
        <v>565</v>
      </c>
      <c r="N1282" t="s">
        <v>565</v>
      </c>
      <c r="O1282" t="s">
        <v>566</v>
      </c>
      <c r="P1282" t="s">
        <v>567</v>
      </c>
      <c r="S1282" t="s">
        <v>567</v>
      </c>
      <c r="T1282" t="s">
        <v>567</v>
      </c>
      <c r="Z1282" t="s">
        <v>568</v>
      </c>
      <c r="AA1282" t="s">
        <v>568</v>
      </c>
    </row>
    <row r="1283" spans="1:27">
      <c r="A1283" t="s">
        <v>3411</v>
      </c>
      <c r="B1283" t="s">
        <v>562</v>
      </c>
      <c r="C1283" t="s">
        <v>562</v>
      </c>
      <c r="D1283" t="s">
        <v>3414</v>
      </c>
      <c r="E1283" t="s">
        <v>3425</v>
      </c>
      <c r="F1283" t="s">
        <v>562</v>
      </c>
      <c r="G1283" t="s">
        <v>562</v>
      </c>
      <c r="H1283" t="s">
        <v>562</v>
      </c>
      <c r="I1283">
        <v>3988</v>
      </c>
      <c r="J1283" t="s">
        <v>564</v>
      </c>
      <c r="K1283" s="698">
        <v>45957.463194444441</v>
      </c>
      <c r="L1283" s="698">
        <v>45957.463194444441</v>
      </c>
      <c r="M1283" t="s">
        <v>565</v>
      </c>
      <c r="N1283" t="s">
        <v>565</v>
      </c>
      <c r="O1283" t="s">
        <v>566</v>
      </c>
      <c r="P1283" t="s">
        <v>567</v>
      </c>
      <c r="S1283" t="s">
        <v>567</v>
      </c>
      <c r="T1283" t="s">
        <v>567</v>
      </c>
      <c r="Z1283" t="s">
        <v>568</v>
      </c>
      <c r="AA1283" t="s">
        <v>568</v>
      </c>
    </row>
    <row r="1284" spans="1:27">
      <c r="A1284" t="s">
        <v>3411</v>
      </c>
      <c r="B1284" t="s">
        <v>562</v>
      </c>
      <c r="C1284" t="s">
        <v>562</v>
      </c>
      <c r="D1284" t="s">
        <v>3414</v>
      </c>
      <c r="E1284" t="s">
        <v>3426</v>
      </c>
      <c r="F1284" t="s">
        <v>562</v>
      </c>
      <c r="G1284" t="s">
        <v>562</v>
      </c>
      <c r="H1284" t="s">
        <v>562</v>
      </c>
      <c r="I1284">
        <v>3991</v>
      </c>
      <c r="J1284" t="s">
        <v>564</v>
      </c>
      <c r="K1284" s="698">
        <v>45957.463194444441</v>
      </c>
      <c r="L1284" s="698">
        <v>45957.463194444441</v>
      </c>
      <c r="M1284" t="s">
        <v>565</v>
      </c>
      <c r="N1284" t="s">
        <v>565</v>
      </c>
      <c r="O1284" t="s">
        <v>566</v>
      </c>
      <c r="P1284" t="s">
        <v>567</v>
      </c>
      <c r="S1284" t="s">
        <v>567</v>
      </c>
      <c r="T1284" t="s">
        <v>567</v>
      </c>
      <c r="Z1284" t="s">
        <v>568</v>
      </c>
      <c r="AA1284" t="s">
        <v>568</v>
      </c>
    </row>
    <row r="1285" spans="1:27">
      <c r="A1285" t="s">
        <v>3411</v>
      </c>
      <c r="B1285" t="s">
        <v>562</v>
      </c>
      <c r="C1285" t="s">
        <v>562</v>
      </c>
      <c r="D1285" t="s">
        <v>3414</v>
      </c>
      <c r="E1285" t="s">
        <v>3427</v>
      </c>
      <c r="F1285" t="s">
        <v>562</v>
      </c>
      <c r="G1285" t="s">
        <v>562</v>
      </c>
      <c r="H1285" t="s">
        <v>562</v>
      </c>
      <c r="I1285">
        <v>3998</v>
      </c>
      <c r="J1285" t="s">
        <v>564</v>
      </c>
      <c r="K1285" s="698">
        <v>45957.463888888888</v>
      </c>
      <c r="L1285" s="698">
        <v>45957.463888888888</v>
      </c>
      <c r="M1285" t="s">
        <v>565</v>
      </c>
      <c r="N1285" t="s">
        <v>565</v>
      </c>
      <c r="O1285" t="s">
        <v>566</v>
      </c>
      <c r="P1285" t="s">
        <v>567</v>
      </c>
      <c r="S1285" t="s">
        <v>567</v>
      </c>
      <c r="T1285" t="s">
        <v>567</v>
      </c>
      <c r="Z1285" t="s">
        <v>568</v>
      </c>
      <c r="AA1285" t="s">
        <v>568</v>
      </c>
    </row>
    <row r="1286" spans="1:27">
      <c r="A1286" t="s">
        <v>3411</v>
      </c>
      <c r="B1286" t="s">
        <v>562</v>
      </c>
      <c r="C1286" t="s">
        <v>562</v>
      </c>
      <c r="D1286" t="s">
        <v>3414</v>
      </c>
      <c r="E1286" t="s">
        <v>3428</v>
      </c>
      <c r="F1286" t="s">
        <v>562</v>
      </c>
      <c r="G1286" t="s">
        <v>562</v>
      </c>
      <c r="H1286" t="s">
        <v>562</v>
      </c>
      <c r="I1286">
        <v>4004</v>
      </c>
      <c r="J1286" t="s">
        <v>564</v>
      </c>
      <c r="K1286" s="698">
        <v>45957.464583333334</v>
      </c>
      <c r="L1286" s="698">
        <v>45957.464583333334</v>
      </c>
      <c r="M1286" t="s">
        <v>565</v>
      </c>
      <c r="N1286" t="s">
        <v>565</v>
      </c>
      <c r="O1286" t="s">
        <v>566</v>
      </c>
      <c r="P1286" t="s">
        <v>567</v>
      </c>
      <c r="S1286" t="s">
        <v>567</v>
      </c>
      <c r="T1286" t="s">
        <v>567</v>
      </c>
      <c r="Z1286" t="s">
        <v>568</v>
      </c>
      <c r="AA1286" t="s">
        <v>568</v>
      </c>
    </row>
    <row r="1287" spans="1:27">
      <c r="A1287" t="s">
        <v>3411</v>
      </c>
      <c r="B1287" t="s">
        <v>562</v>
      </c>
      <c r="C1287" t="s">
        <v>562</v>
      </c>
      <c r="D1287" t="s">
        <v>3414</v>
      </c>
      <c r="E1287" t="s">
        <v>3429</v>
      </c>
      <c r="F1287" t="s">
        <v>562</v>
      </c>
      <c r="G1287" t="s">
        <v>562</v>
      </c>
      <c r="H1287" t="s">
        <v>562</v>
      </c>
      <c r="I1287">
        <v>4005</v>
      </c>
      <c r="J1287" t="s">
        <v>564</v>
      </c>
      <c r="K1287" s="698">
        <v>45957.464583333334</v>
      </c>
      <c r="L1287" s="698">
        <v>45957.464583333334</v>
      </c>
      <c r="M1287" t="s">
        <v>565</v>
      </c>
      <c r="N1287" t="s">
        <v>565</v>
      </c>
      <c r="O1287" t="s">
        <v>566</v>
      </c>
      <c r="P1287" t="s">
        <v>567</v>
      </c>
      <c r="S1287" t="s">
        <v>567</v>
      </c>
      <c r="T1287" t="s">
        <v>567</v>
      </c>
      <c r="Z1287" t="s">
        <v>568</v>
      </c>
      <c r="AA1287" t="s">
        <v>568</v>
      </c>
    </row>
    <row r="1288" spans="1:27">
      <c r="A1288" t="s">
        <v>3411</v>
      </c>
      <c r="B1288" t="s">
        <v>562</v>
      </c>
      <c r="C1288" t="s">
        <v>562</v>
      </c>
      <c r="D1288" t="s">
        <v>3414</v>
      </c>
      <c r="E1288" t="s">
        <v>3430</v>
      </c>
      <c r="F1288" t="s">
        <v>562</v>
      </c>
      <c r="G1288" t="s">
        <v>562</v>
      </c>
      <c r="H1288" t="s">
        <v>562</v>
      </c>
      <c r="I1288">
        <v>4006</v>
      </c>
      <c r="J1288" t="s">
        <v>564</v>
      </c>
      <c r="K1288" s="698">
        <v>45957.465277777781</v>
      </c>
      <c r="L1288" s="698">
        <v>45957.465277777781</v>
      </c>
      <c r="M1288" t="s">
        <v>565</v>
      </c>
      <c r="N1288" t="s">
        <v>565</v>
      </c>
      <c r="O1288" t="s">
        <v>566</v>
      </c>
      <c r="P1288" t="s">
        <v>567</v>
      </c>
      <c r="S1288" t="s">
        <v>567</v>
      </c>
      <c r="T1288" t="s">
        <v>567</v>
      </c>
      <c r="Z1288" t="s">
        <v>568</v>
      </c>
      <c r="AA1288" t="s">
        <v>568</v>
      </c>
    </row>
    <row r="1289" spans="1:27">
      <c r="A1289" t="s">
        <v>3411</v>
      </c>
      <c r="B1289" t="s">
        <v>562</v>
      </c>
      <c r="C1289" t="s">
        <v>562</v>
      </c>
      <c r="D1289" t="s">
        <v>3414</v>
      </c>
      <c r="E1289" t="s">
        <v>3431</v>
      </c>
      <c r="F1289" t="s">
        <v>562</v>
      </c>
      <c r="G1289" t="s">
        <v>562</v>
      </c>
      <c r="H1289" t="s">
        <v>562</v>
      </c>
      <c r="I1289">
        <v>4020</v>
      </c>
      <c r="J1289" t="s">
        <v>564</v>
      </c>
      <c r="K1289" s="698">
        <v>45957.466666666667</v>
      </c>
      <c r="L1289" s="698">
        <v>45957.466666666667</v>
      </c>
      <c r="M1289" t="s">
        <v>565</v>
      </c>
      <c r="N1289" t="s">
        <v>565</v>
      </c>
      <c r="O1289" t="s">
        <v>566</v>
      </c>
      <c r="P1289" t="s">
        <v>567</v>
      </c>
      <c r="S1289" t="s">
        <v>567</v>
      </c>
      <c r="T1289" t="s">
        <v>567</v>
      </c>
      <c r="Z1289" t="s">
        <v>568</v>
      </c>
      <c r="AA1289" t="s">
        <v>568</v>
      </c>
    </row>
    <row r="1290" spans="1:27">
      <c r="A1290" t="s">
        <v>3411</v>
      </c>
      <c r="B1290" t="s">
        <v>562</v>
      </c>
      <c r="C1290" t="s">
        <v>562</v>
      </c>
      <c r="D1290" t="s">
        <v>3414</v>
      </c>
      <c r="E1290" t="s">
        <v>3432</v>
      </c>
      <c r="F1290" t="s">
        <v>562</v>
      </c>
      <c r="G1290" t="s">
        <v>562</v>
      </c>
      <c r="H1290" t="s">
        <v>562</v>
      </c>
      <c r="I1290">
        <v>4028</v>
      </c>
      <c r="J1290" t="s">
        <v>564</v>
      </c>
      <c r="K1290" s="698">
        <v>45957.468055555553</v>
      </c>
      <c r="L1290" s="698">
        <v>45957.468055555553</v>
      </c>
      <c r="M1290" t="s">
        <v>565</v>
      </c>
      <c r="N1290" t="s">
        <v>565</v>
      </c>
      <c r="O1290" t="s">
        <v>566</v>
      </c>
      <c r="P1290" t="s">
        <v>567</v>
      </c>
      <c r="S1290" t="s">
        <v>567</v>
      </c>
      <c r="T1290" t="s">
        <v>567</v>
      </c>
      <c r="Z1290" t="s">
        <v>568</v>
      </c>
      <c r="AA1290" t="s">
        <v>568</v>
      </c>
    </row>
    <row r="1291" spans="1:27">
      <c r="A1291" t="s">
        <v>3411</v>
      </c>
      <c r="B1291" t="s">
        <v>562</v>
      </c>
      <c r="C1291" t="s">
        <v>562</v>
      </c>
      <c r="D1291" t="s">
        <v>3414</v>
      </c>
      <c r="E1291" t="s">
        <v>3433</v>
      </c>
      <c r="F1291" t="s">
        <v>562</v>
      </c>
      <c r="G1291" t="s">
        <v>562</v>
      </c>
      <c r="H1291" t="s">
        <v>562</v>
      </c>
      <c r="I1291">
        <v>4041</v>
      </c>
      <c r="J1291" t="s">
        <v>564</v>
      </c>
      <c r="K1291" s="698">
        <v>45957.469444444447</v>
      </c>
      <c r="L1291" s="698">
        <v>45957.469444444447</v>
      </c>
      <c r="M1291" t="s">
        <v>565</v>
      </c>
      <c r="N1291" t="s">
        <v>565</v>
      </c>
      <c r="O1291" t="s">
        <v>566</v>
      </c>
      <c r="P1291" t="s">
        <v>567</v>
      </c>
      <c r="S1291" t="s">
        <v>567</v>
      </c>
      <c r="T1291" t="s">
        <v>567</v>
      </c>
      <c r="Z1291" t="s">
        <v>568</v>
      </c>
      <c r="AA1291" t="s">
        <v>568</v>
      </c>
    </row>
    <row r="1292" spans="1:27">
      <c r="A1292" t="s">
        <v>3411</v>
      </c>
      <c r="B1292" t="s">
        <v>562</v>
      </c>
      <c r="C1292" t="s">
        <v>562</v>
      </c>
      <c r="D1292" t="s">
        <v>3414</v>
      </c>
      <c r="E1292" t="s">
        <v>3434</v>
      </c>
      <c r="F1292" t="s">
        <v>562</v>
      </c>
      <c r="G1292" t="s">
        <v>562</v>
      </c>
      <c r="H1292" t="s">
        <v>562</v>
      </c>
      <c r="I1292">
        <v>4062</v>
      </c>
      <c r="J1292" t="s">
        <v>564</v>
      </c>
      <c r="K1292" s="698">
        <v>45957.47152777778</v>
      </c>
      <c r="L1292" s="698">
        <v>45957.47152777778</v>
      </c>
      <c r="M1292" t="s">
        <v>565</v>
      </c>
      <c r="N1292" t="s">
        <v>565</v>
      </c>
      <c r="O1292" t="s">
        <v>566</v>
      </c>
      <c r="P1292" t="s">
        <v>567</v>
      </c>
      <c r="S1292" t="s">
        <v>567</v>
      </c>
      <c r="T1292" t="s">
        <v>567</v>
      </c>
      <c r="Z1292" t="s">
        <v>568</v>
      </c>
      <c r="AA1292" t="s">
        <v>568</v>
      </c>
    </row>
    <row r="1293" spans="1:27">
      <c r="A1293" t="s">
        <v>3411</v>
      </c>
      <c r="B1293" t="s">
        <v>562</v>
      </c>
      <c r="C1293" t="s">
        <v>562</v>
      </c>
      <c r="D1293" t="s">
        <v>3414</v>
      </c>
      <c r="E1293" t="s">
        <v>3435</v>
      </c>
      <c r="F1293" t="s">
        <v>562</v>
      </c>
      <c r="G1293" t="s">
        <v>562</v>
      </c>
      <c r="H1293" t="s">
        <v>562</v>
      </c>
      <c r="I1293">
        <v>4063</v>
      </c>
      <c r="J1293" t="s">
        <v>564</v>
      </c>
      <c r="K1293" s="698">
        <v>45957.472222222219</v>
      </c>
      <c r="L1293" s="698">
        <v>45957.472222222219</v>
      </c>
      <c r="M1293" t="s">
        <v>565</v>
      </c>
      <c r="N1293" t="s">
        <v>565</v>
      </c>
      <c r="O1293" t="s">
        <v>566</v>
      </c>
      <c r="P1293" t="s">
        <v>567</v>
      </c>
      <c r="S1293" t="s">
        <v>567</v>
      </c>
      <c r="T1293" t="s">
        <v>567</v>
      </c>
      <c r="Z1293" t="s">
        <v>568</v>
      </c>
      <c r="AA1293" t="s">
        <v>568</v>
      </c>
    </row>
    <row r="1294" spans="1:27">
      <c r="A1294" t="s">
        <v>3411</v>
      </c>
      <c r="B1294" t="s">
        <v>562</v>
      </c>
      <c r="C1294" t="s">
        <v>562</v>
      </c>
      <c r="D1294" t="s">
        <v>3414</v>
      </c>
      <c r="E1294" t="s">
        <v>3436</v>
      </c>
      <c r="F1294" t="s">
        <v>562</v>
      </c>
      <c r="G1294" t="s">
        <v>562</v>
      </c>
      <c r="H1294" t="s">
        <v>562</v>
      </c>
      <c r="I1294">
        <v>4078</v>
      </c>
      <c r="J1294" t="s">
        <v>564</v>
      </c>
      <c r="K1294" s="698">
        <v>45957.473611111112</v>
      </c>
      <c r="L1294" s="698">
        <v>45957.473611111112</v>
      </c>
      <c r="M1294" t="s">
        <v>565</v>
      </c>
      <c r="N1294" t="s">
        <v>565</v>
      </c>
      <c r="O1294" t="s">
        <v>566</v>
      </c>
      <c r="P1294" t="s">
        <v>567</v>
      </c>
      <c r="S1294" t="s">
        <v>567</v>
      </c>
      <c r="T1294" t="s">
        <v>567</v>
      </c>
      <c r="Z1294" t="s">
        <v>568</v>
      </c>
      <c r="AA1294" t="s">
        <v>568</v>
      </c>
    </row>
    <row r="1295" spans="1:27">
      <c r="A1295" t="s">
        <v>3411</v>
      </c>
      <c r="B1295" t="s">
        <v>562</v>
      </c>
      <c r="C1295" t="s">
        <v>562</v>
      </c>
      <c r="D1295" t="s">
        <v>3414</v>
      </c>
      <c r="E1295" t="s">
        <v>3437</v>
      </c>
      <c r="F1295" t="s">
        <v>562</v>
      </c>
      <c r="G1295" t="s">
        <v>562</v>
      </c>
      <c r="H1295" t="s">
        <v>562</v>
      </c>
      <c r="I1295">
        <v>4079</v>
      </c>
      <c r="J1295" t="s">
        <v>564</v>
      </c>
      <c r="K1295" s="698">
        <v>45957.473611111112</v>
      </c>
      <c r="L1295" s="698">
        <v>45957.473611111112</v>
      </c>
      <c r="M1295" t="s">
        <v>565</v>
      </c>
      <c r="N1295" t="s">
        <v>565</v>
      </c>
      <c r="O1295" t="s">
        <v>566</v>
      </c>
      <c r="P1295" t="s">
        <v>567</v>
      </c>
      <c r="S1295" t="s">
        <v>567</v>
      </c>
      <c r="T1295" t="s">
        <v>567</v>
      </c>
      <c r="Z1295" t="s">
        <v>568</v>
      </c>
      <c r="AA1295" t="s">
        <v>568</v>
      </c>
    </row>
    <row r="1296" spans="1:27">
      <c r="A1296" t="s">
        <v>3411</v>
      </c>
      <c r="B1296" t="s">
        <v>562</v>
      </c>
      <c r="C1296" t="s">
        <v>562</v>
      </c>
      <c r="D1296" t="s">
        <v>3414</v>
      </c>
      <c r="E1296" t="s">
        <v>3438</v>
      </c>
      <c r="F1296" t="s">
        <v>562</v>
      </c>
      <c r="G1296" t="s">
        <v>562</v>
      </c>
      <c r="H1296" t="s">
        <v>562</v>
      </c>
      <c r="I1296">
        <v>4098</v>
      </c>
      <c r="J1296" t="s">
        <v>564</v>
      </c>
      <c r="K1296" s="698">
        <v>45957.475694444445</v>
      </c>
      <c r="L1296" s="698">
        <v>45957.475694444445</v>
      </c>
      <c r="M1296" t="s">
        <v>565</v>
      </c>
      <c r="N1296" t="s">
        <v>565</v>
      </c>
      <c r="O1296" t="s">
        <v>566</v>
      </c>
      <c r="P1296" t="s">
        <v>567</v>
      </c>
      <c r="S1296" t="s">
        <v>567</v>
      </c>
      <c r="T1296" t="s">
        <v>567</v>
      </c>
      <c r="Z1296" t="s">
        <v>568</v>
      </c>
      <c r="AA1296" t="s">
        <v>568</v>
      </c>
    </row>
    <row r="1297" spans="1:27">
      <c r="A1297" t="s">
        <v>3411</v>
      </c>
      <c r="B1297" t="s">
        <v>562</v>
      </c>
      <c r="C1297" t="s">
        <v>562</v>
      </c>
      <c r="D1297" t="s">
        <v>3414</v>
      </c>
      <c r="E1297" t="s">
        <v>3439</v>
      </c>
      <c r="F1297" t="s">
        <v>562</v>
      </c>
      <c r="G1297" t="s">
        <v>562</v>
      </c>
      <c r="H1297" t="s">
        <v>562</v>
      </c>
      <c r="I1297">
        <v>4203</v>
      </c>
      <c r="J1297" t="s">
        <v>564</v>
      </c>
      <c r="K1297" s="698">
        <v>45957.488888888889</v>
      </c>
      <c r="L1297" s="698">
        <v>45957.488888888889</v>
      </c>
      <c r="M1297" t="s">
        <v>565</v>
      </c>
      <c r="N1297" t="s">
        <v>565</v>
      </c>
      <c r="O1297" t="s">
        <v>566</v>
      </c>
      <c r="P1297" t="s">
        <v>567</v>
      </c>
      <c r="S1297" t="s">
        <v>567</v>
      </c>
      <c r="T1297" t="s">
        <v>567</v>
      </c>
      <c r="Z1297" t="s">
        <v>568</v>
      </c>
      <c r="AA1297" t="s">
        <v>568</v>
      </c>
    </row>
    <row r="1298" spans="1:27">
      <c r="A1298" t="s">
        <v>3411</v>
      </c>
      <c r="B1298" t="s">
        <v>562</v>
      </c>
      <c r="C1298" t="s">
        <v>562</v>
      </c>
      <c r="D1298" t="s">
        <v>3414</v>
      </c>
      <c r="E1298" t="s">
        <v>3440</v>
      </c>
      <c r="F1298" t="s">
        <v>562</v>
      </c>
      <c r="G1298" t="s">
        <v>562</v>
      </c>
      <c r="H1298" t="s">
        <v>562</v>
      </c>
      <c r="I1298">
        <v>4270</v>
      </c>
      <c r="J1298" t="s">
        <v>564</v>
      </c>
      <c r="K1298" s="698">
        <v>45957.49722222222</v>
      </c>
      <c r="L1298" s="698">
        <v>45957.49722222222</v>
      </c>
      <c r="M1298" t="s">
        <v>565</v>
      </c>
      <c r="N1298" t="s">
        <v>565</v>
      </c>
      <c r="O1298" t="s">
        <v>566</v>
      </c>
      <c r="P1298" t="s">
        <v>567</v>
      </c>
      <c r="S1298" t="s">
        <v>567</v>
      </c>
      <c r="T1298" t="s">
        <v>567</v>
      </c>
      <c r="Z1298" t="s">
        <v>568</v>
      </c>
      <c r="AA1298" t="s">
        <v>568</v>
      </c>
    </row>
    <row r="1299" spans="1:27">
      <c r="A1299" t="s">
        <v>3411</v>
      </c>
      <c r="B1299" t="s">
        <v>562</v>
      </c>
      <c r="C1299" t="s">
        <v>562</v>
      </c>
      <c r="D1299" t="s">
        <v>3414</v>
      </c>
      <c r="E1299" t="s">
        <v>3441</v>
      </c>
      <c r="F1299" t="s">
        <v>562</v>
      </c>
      <c r="G1299" t="s">
        <v>562</v>
      </c>
      <c r="H1299" t="s">
        <v>562</v>
      </c>
      <c r="I1299">
        <v>4285</v>
      </c>
      <c r="J1299" t="s">
        <v>564</v>
      </c>
      <c r="K1299" s="698">
        <v>45957.499305555553</v>
      </c>
      <c r="L1299" s="698">
        <v>45957.499305555553</v>
      </c>
      <c r="M1299" t="s">
        <v>565</v>
      </c>
      <c r="N1299" t="s">
        <v>565</v>
      </c>
      <c r="O1299" t="s">
        <v>566</v>
      </c>
      <c r="P1299" t="s">
        <v>567</v>
      </c>
      <c r="S1299" t="s">
        <v>567</v>
      </c>
      <c r="T1299" t="s">
        <v>567</v>
      </c>
      <c r="Z1299" t="s">
        <v>568</v>
      </c>
      <c r="AA1299" t="s">
        <v>568</v>
      </c>
    </row>
    <row r="1300" spans="1:27">
      <c r="A1300" t="s">
        <v>3411</v>
      </c>
      <c r="B1300" t="s">
        <v>562</v>
      </c>
      <c r="C1300" t="s">
        <v>3442</v>
      </c>
      <c r="D1300" t="s">
        <v>3414</v>
      </c>
      <c r="E1300" t="s">
        <v>3443</v>
      </c>
      <c r="F1300" t="s">
        <v>562</v>
      </c>
      <c r="G1300" t="s">
        <v>562</v>
      </c>
      <c r="H1300" t="s">
        <v>562</v>
      </c>
      <c r="I1300">
        <v>4286</v>
      </c>
      <c r="J1300" t="s">
        <v>564</v>
      </c>
      <c r="K1300" s="698">
        <v>45957.499305555553</v>
      </c>
      <c r="L1300" s="698">
        <v>45957.499305555553</v>
      </c>
      <c r="M1300" t="s">
        <v>565</v>
      </c>
      <c r="N1300" t="s">
        <v>565</v>
      </c>
      <c r="O1300" t="s">
        <v>566</v>
      </c>
      <c r="P1300" t="s">
        <v>567</v>
      </c>
      <c r="S1300" t="s">
        <v>567</v>
      </c>
      <c r="T1300" t="s">
        <v>567</v>
      </c>
      <c r="Z1300" t="s">
        <v>568</v>
      </c>
      <c r="AA1300" t="s">
        <v>568</v>
      </c>
    </row>
    <row r="1301" spans="1:27">
      <c r="A1301" t="s">
        <v>3411</v>
      </c>
      <c r="B1301" t="s">
        <v>562</v>
      </c>
      <c r="C1301" t="s">
        <v>562</v>
      </c>
      <c r="D1301" t="s">
        <v>3414</v>
      </c>
      <c r="E1301" t="s">
        <v>3444</v>
      </c>
      <c r="F1301" t="s">
        <v>562</v>
      </c>
      <c r="G1301" t="s">
        <v>562</v>
      </c>
      <c r="H1301" t="s">
        <v>562</v>
      </c>
      <c r="I1301">
        <v>4303</v>
      </c>
      <c r="J1301" t="s">
        <v>564</v>
      </c>
      <c r="K1301" s="698">
        <v>45957.501388888886</v>
      </c>
      <c r="L1301" s="698">
        <v>45957.501388888886</v>
      </c>
      <c r="M1301" t="s">
        <v>565</v>
      </c>
      <c r="N1301" t="s">
        <v>565</v>
      </c>
      <c r="O1301" t="s">
        <v>566</v>
      </c>
      <c r="P1301" t="s">
        <v>567</v>
      </c>
      <c r="S1301" t="s">
        <v>567</v>
      </c>
      <c r="T1301" t="s">
        <v>567</v>
      </c>
      <c r="Z1301" t="s">
        <v>568</v>
      </c>
      <c r="AA1301" t="s">
        <v>568</v>
      </c>
    </row>
    <row r="1302" spans="1:27">
      <c r="A1302" t="s">
        <v>3411</v>
      </c>
      <c r="B1302" t="s">
        <v>562</v>
      </c>
      <c r="C1302" t="s">
        <v>562</v>
      </c>
      <c r="D1302" t="s">
        <v>3414</v>
      </c>
      <c r="E1302" t="s">
        <v>3445</v>
      </c>
      <c r="F1302" t="s">
        <v>562</v>
      </c>
      <c r="G1302" t="s">
        <v>562</v>
      </c>
      <c r="H1302" t="s">
        <v>562</v>
      </c>
      <c r="I1302">
        <v>4313</v>
      </c>
      <c r="J1302" t="s">
        <v>564</v>
      </c>
      <c r="K1302" s="698">
        <v>45957.50277777778</v>
      </c>
      <c r="L1302" s="698">
        <v>45957.50277777778</v>
      </c>
      <c r="M1302" t="s">
        <v>565</v>
      </c>
      <c r="N1302" t="s">
        <v>565</v>
      </c>
      <c r="O1302" t="s">
        <v>566</v>
      </c>
      <c r="P1302" t="s">
        <v>567</v>
      </c>
      <c r="S1302" t="s">
        <v>567</v>
      </c>
      <c r="T1302" t="s">
        <v>567</v>
      </c>
      <c r="Z1302" t="s">
        <v>568</v>
      </c>
      <c r="AA1302" t="s">
        <v>568</v>
      </c>
    </row>
    <row r="1303" spans="1:27">
      <c r="A1303" t="s">
        <v>3411</v>
      </c>
      <c r="B1303" t="s">
        <v>562</v>
      </c>
      <c r="C1303" t="s">
        <v>562</v>
      </c>
      <c r="D1303" t="s">
        <v>3414</v>
      </c>
      <c r="E1303" t="s">
        <v>3446</v>
      </c>
      <c r="F1303" t="s">
        <v>562</v>
      </c>
      <c r="G1303" t="s">
        <v>562</v>
      </c>
      <c r="H1303" t="s">
        <v>562</v>
      </c>
      <c r="I1303">
        <v>4314</v>
      </c>
      <c r="J1303" t="s">
        <v>564</v>
      </c>
      <c r="K1303" s="698">
        <v>45957.503472222219</v>
      </c>
      <c r="L1303" s="698">
        <v>45957.503472222219</v>
      </c>
      <c r="M1303" t="s">
        <v>565</v>
      </c>
      <c r="N1303" t="s">
        <v>565</v>
      </c>
      <c r="O1303" t="s">
        <v>566</v>
      </c>
      <c r="P1303" t="s">
        <v>567</v>
      </c>
      <c r="S1303" t="s">
        <v>567</v>
      </c>
      <c r="T1303" t="s">
        <v>567</v>
      </c>
      <c r="Z1303" t="s">
        <v>568</v>
      </c>
      <c r="AA1303" t="s">
        <v>568</v>
      </c>
    </row>
    <row r="1304" spans="1:27">
      <c r="A1304" t="s">
        <v>3411</v>
      </c>
      <c r="B1304" t="s">
        <v>562</v>
      </c>
      <c r="C1304" t="s">
        <v>562</v>
      </c>
      <c r="D1304" t="s">
        <v>3414</v>
      </c>
      <c r="E1304" t="s">
        <v>3447</v>
      </c>
      <c r="F1304" t="s">
        <v>562</v>
      </c>
      <c r="G1304" t="s">
        <v>562</v>
      </c>
      <c r="H1304" t="s">
        <v>562</v>
      </c>
      <c r="I1304">
        <v>4315</v>
      </c>
      <c r="J1304" t="s">
        <v>564</v>
      </c>
      <c r="K1304" s="698">
        <v>45957.503472222219</v>
      </c>
      <c r="L1304" s="698">
        <v>45957.503472222219</v>
      </c>
      <c r="M1304" t="s">
        <v>565</v>
      </c>
      <c r="N1304" t="s">
        <v>565</v>
      </c>
      <c r="O1304" t="s">
        <v>566</v>
      </c>
      <c r="P1304" t="s">
        <v>567</v>
      </c>
      <c r="S1304" t="s">
        <v>567</v>
      </c>
      <c r="T1304" t="s">
        <v>567</v>
      </c>
      <c r="Z1304" t="s">
        <v>568</v>
      </c>
      <c r="AA1304" t="s">
        <v>568</v>
      </c>
    </row>
    <row r="1305" spans="1:27">
      <c r="A1305" t="s">
        <v>3411</v>
      </c>
      <c r="B1305" t="s">
        <v>3448</v>
      </c>
      <c r="C1305" t="s">
        <v>3449</v>
      </c>
      <c r="D1305" t="s">
        <v>3414</v>
      </c>
      <c r="E1305" t="s">
        <v>3450</v>
      </c>
      <c r="F1305" t="s">
        <v>562</v>
      </c>
      <c r="G1305" t="s">
        <v>562</v>
      </c>
      <c r="H1305" t="s">
        <v>562</v>
      </c>
      <c r="I1305">
        <v>4317</v>
      </c>
      <c r="J1305" t="s">
        <v>564</v>
      </c>
      <c r="K1305" s="698">
        <v>45957.503472222219</v>
      </c>
      <c r="L1305" s="698">
        <v>45957.503472222219</v>
      </c>
      <c r="M1305" t="s">
        <v>565</v>
      </c>
      <c r="N1305" t="s">
        <v>565</v>
      </c>
      <c r="O1305" t="s">
        <v>566</v>
      </c>
      <c r="P1305" t="s">
        <v>567</v>
      </c>
      <c r="S1305" t="s">
        <v>567</v>
      </c>
      <c r="T1305" t="s">
        <v>567</v>
      </c>
      <c r="Z1305" t="s">
        <v>568</v>
      </c>
      <c r="AA1305" t="s">
        <v>568</v>
      </c>
    </row>
    <row r="1306" spans="1:27">
      <c r="A1306" t="s">
        <v>3411</v>
      </c>
      <c r="B1306" t="s">
        <v>562</v>
      </c>
      <c r="C1306" t="s">
        <v>562</v>
      </c>
      <c r="D1306" t="s">
        <v>3414</v>
      </c>
      <c r="E1306" t="s">
        <v>3451</v>
      </c>
      <c r="F1306" t="s">
        <v>562</v>
      </c>
      <c r="G1306" t="s">
        <v>562</v>
      </c>
      <c r="H1306" t="s">
        <v>562</v>
      </c>
      <c r="I1306">
        <v>4322</v>
      </c>
      <c r="J1306" t="s">
        <v>564</v>
      </c>
      <c r="K1306" s="698">
        <v>45957.504166666666</v>
      </c>
      <c r="L1306" s="698">
        <v>45957.504166666666</v>
      </c>
      <c r="M1306" t="s">
        <v>565</v>
      </c>
      <c r="N1306" t="s">
        <v>565</v>
      </c>
      <c r="O1306" t="s">
        <v>566</v>
      </c>
      <c r="P1306" t="s">
        <v>567</v>
      </c>
      <c r="S1306" t="s">
        <v>567</v>
      </c>
      <c r="T1306" t="s">
        <v>567</v>
      </c>
      <c r="Z1306" t="s">
        <v>568</v>
      </c>
      <c r="AA1306" t="s">
        <v>568</v>
      </c>
    </row>
    <row r="1307" spans="1:27">
      <c r="A1307" t="s">
        <v>3411</v>
      </c>
      <c r="B1307" t="s">
        <v>562</v>
      </c>
      <c r="C1307" t="s">
        <v>562</v>
      </c>
      <c r="D1307" t="s">
        <v>3414</v>
      </c>
      <c r="E1307" t="s">
        <v>3452</v>
      </c>
      <c r="F1307" t="s">
        <v>562</v>
      </c>
      <c r="G1307" t="s">
        <v>562</v>
      </c>
      <c r="H1307" t="s">
        <v>562</v>
      </c>
      <c r="I1307">
        <v>4334</v>
      </c>
      <c r="J1307" t="s">
        <v>564</v>
      </c>
      <c r="K1307" s="698">
        <v>45957.505555555559</v>
      </c>
      <c r="L1307" s="698">
        <v>45957.505555555559</v>
      </c>
      <c r="M1307" t="s">
        <v>565</v>
      </c>
      <c r="N1307" t="s">
        <v>565</v>
      </c>
      <c r="O1307" t="s">
        <v>566</v>
      </c>
      <c r="P1307" t="s">
        <v>567</v>
      </c>
      <c r="S1307" t="s">
        <v>567</v>
      </c>
      <c r="T1307" t="s">
        <v>567</v>
      </c>
      <c r="Z1307" t="s">
        <v>568</v>
      </c>
      <c r="AA1307" t="s">
        <v>568</v>
      </c>
    </row>
    <row r="1308" spans="1:27">
      <c r="A1308" t="s">
        <v>3411</v>
      </c>
      <c r="B1308" t="s">
        <v>562</v>
      </c>
      <c r="C1308" t="s">
        <v>562</v>
      </c>
      <c r="D1308" t="s">
        <v>3414</v>
      </c>
      <c r="E1308" t="s">
        <v>3453</v>
      </c>
      <c r="F1308" t="s">
        <v>562</v>
      </c>
      <c r="G1308" t="s">
        <v>562</v>
      </c>
      <c r="H1308" t="s">
        <v>562</v>
      </c>
      <c r="I1308">
        <v>4335</v>
      </c>
      <c r="J1308" t="s">
        <v>564</v>
      </c>
      <c r="K1308" s="698">
        <v>45957.505555555559</v>
      </c>
      <c r="L1308" s="698">
        <v>45957.505555555559</v>
      </c>
      <c r="M1308" t="s">
        <v>565</v>
      </c>
      <c r="N1308" t="s">
        <v>565</v>
      </c>
      <c r="O1308" t="s">
        <v>566</v>
      </c>
      <c r="P1308" t="s">
        <v>567</v>
      </c>
      <c r="S1308" t="s">
        <v>567</v>
      </c>
      <c r="T1308" t="s">
        <v>567</v>
      </c>
      <c r="Z1308" t="s">
        <v>568</v>
      </c>
      <c r="AA1308" t="s">
        <v>568</v>
      </c>
    </row>
    <row r="1309" spans="1:27">
      <c r="A1309" t="s">
        <v>3411</v>
      </c>
      <c r="B1309" t="s">
        <v>562</v>
      </c>
      <c r="C1309" t="s">
        <v>562</v>
      </c>
      <c r="D1309" t="s">
        <v>3414</v>
      </c>
      <c r="E1309" t="s">
        <v>3454</v>
      </c>
      <c r="F1309" t="s">
        <v>562</v>
      </c>
      <c r="G1309" t="s">
        <v>562</v>
      </c>
      <c r="H1309" t="s">
        <v>562</v>
      </c>
      <c r="I1309">
        <v>4340</v>
      </c>
      <c r="J1309" t="s">
        <v>564</v>
      </c>
      <c r="K1309" s="698">
        <v>45957.506249999999</v>
      </c>
      <c r="L1309" s="698">
        <v>45957.506249999999</v>
      </c>
      <c r="M1309" t="s">
        <v>565</v>
      </c>
      <c r="N1309" t="s">
        <v>565</v>
      </c>
      <c r="O1309" t="s">
        <v>566</v>
      </c>
      <c r="P1309" t="s">
        <v>567</v>
      </c>
      <c r="S1309" t="s">
        <v>567</v>
      </c>
      <c r="T1309" t="s">
        <v>567</v>
      </c>
      <c r="Z1309" t="s">
        <v>568</v>
      </c>
      <c r="AA1309" t="s">
        <v>568</v>
      </c>
    </row>
    <row r="1310" spans="1:27">
      <c r="A1310" t="s">
        <v>3411</v>
      </c>
      <c r="B1310" t="s">
        <v>562</v>
      </c>
      <c r="C1310" t="s">
        <v>562</v>
      </c>
      <c r="D1310" t="s">
        <v>3414</v>
      </c>
      <c r="E1310" t="s">
        <v>3455</v>
      </c>
      <c r="F1310" t="s">
        <v>562</v>
      </c>
      <c r="G1310" t="s">
        <v>562</v>
      </c>
      <c r="H1310" t="s">
        <v>562</v>
      </c>
      <c r="I1310">
        <v>4344</v>
      </c>
      <c r="J1310" t="s">
        <v>564</v>
      </c>
      <c r="K1310" s="698">
        <v>45957.506944444445</v>
      </c>
      <c r="L1310" s="698">
        <v>45957.506944444445</v>
      </c>
      <c r="M1310" t="s">
        <v>565</v>
      </c>
      <c r="N1310" t="s">
        <v>565</v>
      </c>
      <c r="O1310" t="s">
        <v>566</v>
      </c>
      <c r="P1310" t="s">
        <v>567</v>
      </c>
      <c r="S1310" t="s">
        <v>567</v>
      </c>
      <c r="T1310" t="s">
        <v>567</v>
      </c>
      <c r="Z1310" t="s">
        <v>568</v>
      </c>
      <c r="AA1310" t="s">
        <v>568</v>
      </c>
    </row>
    <row r="1311" spans="1:27">
      <c r="A1311" t="s">
        <v>3411</v>
      </c>
      <c r="B1311" t="s">
        <v>562</v>
      </c>
      <c r="C1311" t="s">
        <v>562</v>
      </c>
      <c r="D1311" t="s">
        <v>3414</v>
      </c>
      <c r="E1311" t="s">
        <v>3456</v>
      </c>
      <c r="F1311" t="s">
        <v>562</v>
      </c>
      <c r="G1311" t="s">
        <v>562</v>
      </c>
      <c r="H1311" t="s">
        <v>562</v>
      </c>
      <c r="I1311">
        <v>4353</v>
      </c>
      <c r="J1311" t="s">
        <v>564</v>
      </c>
      <c r="K1311" s="698">
        <v>45957.508333333331</v>
      </c>
      <c r="L1311" s="698">
        <v>45957.508333333331</v>
      </c>
      <c r="M1311" t="s">
        <v>565</v>
      </c>
      <c r="N1311" t="s">
        <v>565</v>
      </c>
      <c r="O1311" t="s">
        <v>566</v>
      </c>
      <c r="P1311" t="s">
        <v>567</v>
      </c>
      <c r="S1311" t="s">
        <v>567</v>
      </c>
      <c r="T1311" t="s">
        <v>567</v>
      </c>
      <c r="Z1311" t="s">
        <v>568</v>
      </c>
      <c r="AA1311" t="s">
        <v>568</v>
      </c>
    </row>
    <row r="1312" spans="1:27">
      <c r="A1312" t="s">
        <v>3411</v>
      </c>
      <c r="B1312" t="s">
        <v>562</v>
      </c>
      <c r="C1312" t="s">
        <v>562</v>
      </c>
      <c r="D1312" t="s">
        <v>3414</v>
      </c>
      <c r="E1312" t="s">
        <v>3457</v>
      </c>
      <c r="F1312" t="s">
        <v>562</v>
      </c>
      <c r="G1312" t="s">
        <v>562</v>
      </c>
      <c r="H1312" t="s">
        <v>562</v>
      </c>
      <c r="I1312">
        <v>4354</v>
      </c>
      <c r="J1312" t="s">
        <v>564</v>
      </c>
      <c r="K1312" s="698">
        <v>45957.508333333331</v>
      </c>
      <c r="L1312" s="698">
        <v>45957.508333333331</v>
      </c>
      <c r="M1312" t="s">
        <v>565</v>
      </c>
      <c r="N1312" t="s">
        <v>565</v>
      </c>
      <c r="O1312" t="s">
        <v>566</v>
      </c>
      <c r="P1312" t="s">
        <v>567</v>
      </c>
      <c r="S1312" t="s">
        <v>567</v>
      </c>
      <c r="T1312" t="s">
        <v>567</v>
      </c>
      <c r="Z1312" t="s">
        <v>568</v>
      </c>
      <c r="AA1312" t="s">
        <v>568</v>
      </c>
    </row>
    <row r="1313" spans="1:27">
      <c r="A1313" t="s">
        <v>3411</v>
      </c>
      <c r="B1313" t="s">
        <v>562</v>
      </c>
      <c r="C1313" t="s">
        <v>562</v>
      </c>
      <c r="D1313" t="s">
        <v>3414</v>
      </c>
      <c r="E1313" t="s">
        <v>3458</v>
      </c>
      <c r="F1313" t="s">
        <v>562</v>
      </c>
      <c r="G1313" t="s">
        <v>562</v>
      </c>
      <c r="H1313" t="s">
        <v>562</v>
      </c>
      <c r="I1313">
        <v>4367</v>
      </c>
      <c r="J1313" t="s">
        <v>564</v>
      </c>
      <c r="K1313" s="698">
        <v>45957.509722222225</v>
      </c>
      <c r="L1313" s="698">
        <v>45957.509722222225</v>
      </c>
      <c r="M1313" t="s">
        <v>565</v>
      </c>
      <c r="N1313" t="s">
        <v>565</v>
      </c>
      <c r="O1313" t="s">
        <v>566</v>
      </c>
      <c r="P1313" t="s">
        <v>567</v>
      </c>
      <c r="S1313" t="s">
        <v>567</v>
      </c>
      <c r="T1313" t="s">
        <v>567</v>
      </c>
      <c r="Z1313" t="s">
        <v>568</v>
      </c>
      <c r="AA1313" t="s">
        <v>568</v>
      </c>
    </row>
    <row r="1314" spans="1:27">
      <c r="A1314" t="s">
        <v>3411</v>
      </c>
      <c r="B1314" t="s">
        <v>562</v>
      </c>
      <c r="C1314" t="s">
        <v>562</v>
      </c>
      <c r="D1314" t="s">
        <v>3414</v>
      </c>
      <c r="E1314" t="s">
        <v>3459</v>
      </c>
      <c r="F1314" t="s">
        <v>562</v>
      </c>
      <c r="G1314" t="s">
        <v>562</v>
      </c>
      <c r="H1314" t="s">
        <v>562</v>
      </c>
      <c r="I1314">
        <v>4374</v>
      </c>
      <c r="J1314" t="s">
        <v>564</v>
      </c>
      <c r="K1314" s="698">
        <v>45957.510416666664</v>
      </c>
      <c r="L1314" s="698">
        <v>45957.510416666664</v>
      </c>
      <c r="M1314" t="s">
        <v>565</v>
      </c>
      <c r="N1314" t="s">
        <v>565</v>
      </c>
      <c r="O1314" t="s">
        <v>566</v>
      </c>
      <c r="P1314" t="s">
        <v>567</v>
      </c>
      <c r="S1314" t="s">
        <v>567</v>
      </c>
      <c r="T1314" t="s">
        <v>567</v>
      </c>
      <c r="Z1314" t="s">
        <v>568</v>
      </c>
      <c r="AA1314" t="s">
        <v>568</v>
      </c>
    </row>
    <row r="1315" spans="1:27">
      <c r="A1315" t="s">
        <v>3411</v>
      </c>
      <c r="B1315" t="s">
        <v>562</v>
      </c>
      <c r="C1315" t="s">
        <v>562</v>
      </c>
      <c r="D1315" t="s">
        <v>3414</v>
      </c>
      <c r="E1315" t="s">
        <v>3460</v>
      </c>
      <c r="F1315" t="s">
        <v>562</v>
      </c>
      <c r="G1315" t="s">
        <v>562</v>
      </c>
      <c r="H1315" t="s">
        <v>562</v>
      </c>
      <c r="I1315">
        <v>4388</v>
      </c>
      <c r="J1315" t="s">
        <v>564</v>
      </c>
      <c r="K1315" s="698">
        <v>45957.512499999997</v>
      </c>
      <c r="L1315" s="698">
        <v>45957.512499999997</v>
      </c>
      <c r="M1315" t="s">
        <v>565</v>
      </c>
      <c r="N1315" t="s">
        <v>565</v>
      </c>
      <c r="O1315" t="s">
        <v>566</v>
      </c>
      <c r="P1315" t="s">
        <v>567</v>
      </c>
      <c r="S1315" t="s">
        <v>567</v>
      </c>
      <c r="T1315" t="s">
        <v>567</v>
      </c>
      <c r="Z1315" t="s">
        <v>568</v>
      </c>
      <c r="AA1315" t="s">
        <v>568</v>
      </c>
    </row>
    <row r="1316" spans="1:27">
      <c r="A1316" t="s">
        <v>3411</v>
      </c>
      <c r="B1316" t="s">
        <v>562</v>
      </c>
      <c r="C1316" t="s">
        <v>562</v>
      </c>
      <c r="D1316" t="s">
        <v>3414</v>
      </c>
      <c r="E1316" t="s">
        <v>3461</v>
      </c>
      <c r="F1316" t="s">
        <v>562</v>
      </c>
      <c r="G1316" t="s">
        <v>562</v>
      </c>
      <c r="H1316" t="s">
        <v>562</v>
      </c>
      <c r="I1316">
        <v>4391</v>
      </c>
      <c r="J1316" t="s">
        <v>564</v>
      </c>
      <c r="K1316" s="698">
        <v>45957.512499999997</v>
      </c>
      <c r="L1316" s="698">
        <v>45957.512499999997</v>
      </c>
      <c r="M1316" t="s">
        <v>565</v>
      </c>
      <c r="N1316" t="s">
        <v>565</v>
      </c>
      <c r="O1316" t="s">
        <v>566</v>
      </c>
      <c r="P1316" t="s">
        <v>567</v>
      </c>
      <c r="S1316" t="s">
        <v>567</v>
      </c>
      <c r="T1316" t="s">
        <v>567</v>
      </c>
      <c r="Z1316" t="s">
        <v>568</v>
      </c>
      <c r="AA1316" t="s">
        <v>568</v>
      </c>
    </row>
    <row r="1317" spans="1:27">
      <c r="A1317" t="s">
        <v>3411</v>
      </c>
      <c r="B1317" t="s">
        <v>562</v>
      </c>
      <c r="C1317" t="s">
        <v>562</v>
      </c>
      <c r="D1317" t="s">
        <v>3414</v>
      </c>
      <c r="E1317" t="s">
        <v>3462</v>
      </c>
      <c r="F1317" t="s">
        <v>562</v>
      </c>
      <c r="G1317" t="s">
        <v>562</v>
      </c>
      <c r="H1317" t="s">
        <v>562</v>
      </c>
      <c r="I1317">
        <v>4392</v>
      </c>
      <c r="J1317" t="s">
        <v>564</v>
      </c>
      <c r="K1317" s="698">
        <v>45957.513194444444</v>
      </c>
      <c r="L1317" s="698">
        <v>45957.513194444444</v>
      </c>
      <c r="M1317" t="s">
        <v>565</v>
      </c>
      <c r="N1317" t="s">
        <v>565</v>
      </c>
      <c r="O1317" t="s">
        <v>566</v>
      </c>
      <c r="P1317" t="s">
        <v>567</v>
      </c>
      <c r="S1317" t="s">
        <v>567</v>
      </c>
      <c r="T1317" t="s">
        <v>567</v>
      </c>
      <c r="Z1317" t="s">
        <v>568</v>
      </c>
      <c r="AA1317" t="s">
        <v>568</v>
      </c>
    </row>
    <row r="1318" spans="1:27">
      <c r="A1318" t="s">
        <v>3411</v>
      </c>
      <c r="B1318" t="s">
        <v>3463</v>
      </c>
      <c r="C1318" t="s">
        <v>3464</v>
      </c>
      <c r="D1318" t="s">
        <v>3414</v>
      </c>
      <c r="E1318" t="s">
        <v>3465</v>
      </c>
      <c r="F1318" t="s">
        <v>562</v>
      </c>
      <c r="G1318" t="s">
        <v>562</v>
      </c>
      <c r="H1318" t="s">
        <v>562</v>
      </c>
      <c r="I1318">
        <v>4406</v>
      </c>
      <c r="J1318" t="s">
        <v>564</v>
      </c>
      <c r="K1318" s="698">
        <v>45957.51458333333</v>
      </c>
      <c r="L1318" s="698">
        <v>45957.51458333333</v>
      </c>
      <c r="M1318" t="s">
        <v>565</v>
      </c>
      <c r="N1318" t="s">
        <v>565</v>
      </c>
      <c r="O1318" t="s">
        <v>566</v>
      </c>
      <c r="P1318" t="s">
        <v>567</v>
      </c>
      <c r="S1318" t="s">
        <v>567</v>
      </c>
      <c r="T1318" t="s">
        <v>567</v>
      </c>
      <c r="Z1318" t="s">
        <v>568</v>
      </c>
      <c r="AA1318" t="s">
        <v>568</v>
      </c>
    </row>
    <row r="1319" spans="1:27">
      <c r="A1319" t="s">
        <v>3411</v>
      </c>
      <c r="B1319" t="s">
        <v>562</v>
      </c>
      <c r="C1319" t="s">
        <v>562</v>
      </c>
      <c r="D1319" t="s">
        <v>3414</v>
      </c>
      <c r="E1319" t="s">
        <v>3466</v>
      </c>
      <c r="F1319" t="s">
        <v>562</v>
      </c>
      <c r="G1319" t="s">
        <v>562</v>
      </c>
      <c r="H1319" t="s">
        <v>562</v>
      </c>
      <c r="I1319">
        <v>4414</v>
      </c>
      <c r="J1319" t="s">
        <v>564</v>
      </c>
      <c r="K1319" s="698">
        <v>45957.515972222223</v>
      </c>
      <c r="L1319" s="698">
        <v>45957.515972222223</v>
      </c>
      <c r="M1319" t="s">
        <v>565</v>
      </c>
      <c r="N1319" t="s">
        <v>565</v>
      </c>
      <c r="O1319" t="s">
        <v>566</v>
      </c>
      <c r="P1319" t="s">
        <v>567</v>
      </c>
      <c r="S1319" t="s">
        <v>567</v>
      </c>
      <c r="T1319" t="s">
        <v>567</v>
      </c>
      <c r="Z1319" t="s">
        <v>568</v>
      </c>
      <c r="AA1319" t="s">
        <v>568</v>
      </c>
    </row>
    <row r="1320" spans="1:27">
      <c r="A1320" t="s">
        <v>3411</v>
      </c>
      <c r="B1320" t="s">
        <v>562</v>
      </c>
      <c r="C1320" t="s">
        <v>562</v>
      </c>
      <c r="D1320" t="s">
        <v>3414</v>
      </c>
      <c r="E1320" t="s">
        <v>3467</v>
      </c>
      <c r="F1320" t="s">
        <v>562</v>
      </c>
      <c r="G1320" t="s">
        <v>562</v>
      </c>
      <c r="H1320" t="s">
        <v>562</v>
      </c>
      <c r="I1320">
        <v>4453</v>
      </c>
      <c r="J1320" t="s">
        <v>564</v>
      </c>
      <c r="K1320" s="698">
        <v>45957.520138888889</v>
      </c>
      <c r="L1320" s="698">
        <v>45957.520138888889</v>
      </c>
      <c r="M1320" t="s">
        <v>565</v>
      </c>
      <c r="N1320" t="s">
        <v>565</v>
      </c>
      <c r="O1320" t="s">
        <v>566</v>
      </c>
      <c r="P1320" t="s">
        <v>567</v>
      </c>
      <c r="S1320" t="s">
        <v>567</v>
      </c>
      <c r="T1320" t="s">
        <v>567</v>
      </c>
      <c r="Z1320" t="s">
        <v>568</v>
      </c>
      <c r="AA1320" t="s">
        <v>568</v>
      </c>
    </row>
    <row r="1321" spans="1:27">
      <c r="A1321" t="s">
        <v>3411</v>
      </c>
      <c r="B1321" t="s">
        <v>562</v>
      </c>
      <c r="C1321" t="s">
        <v>562</v>
      </c>
      <c r="D1321" t="s">
        <v>3414</v>
      </c>
      <c r="E1321" t="s">
        <v>3468</v>
      </c>
      <c r="F1321" t="s">
        <v>562</v>
      </c>
      <c r="G1321" t="s">
        <v>562</v>
      </c>
      <c r="H1321" t="s">
        <v>562</v>
      </c>
      <c r="I1321">
        <v>4539</v>
      </c>
      <c r="J1321" t="s">
        <v>564</v>
      </c>
      <c r="K1321" s="698">
        <v>45957.530555555553</v>
      </c>
      <c r="L1321" s="698">
        <v>45957.530555555553</v>
      </c>
      <c r="M1321" t="s">
        <v>565</v>
      </c>
      <c r="N1321" t="s">
        <v>565</v>
      </c>
      <c r="O1321" t="s">
        <v>566</v>
      </c>
      <c r="P1321" t="s">
        <v>567</v>
      </c>
      <c r="S1321" t="s">
        <v>567</v>
      </c>
      <c r="T1321" t="s">
        <v>567</v>
      </c>
      <c r="Z1321" t="s">
        <v>568</v>
      </c>
      <c r="AA1321" t="s">
        <v>568</v>
      </c>
    </row>
    <row r="1322" spans="1:27">
      <c r="A1322" t="s">
        <v>3411</v>
      </c>
      <c r="B1322" t="s">
        <v>562</v>
      </c>
      <c r="C1322" t="s">
        <v>562</v>
      </c>
      <c r="D1322" t="s">
        <v>3414</v>
      </c>
      <c r="E1322" t="s">
        <v>3469</v>
      </c>
      <c r="F1322" t="s">
        <v>562</v>
      </c>
      <c r="G1322" t="s">
        <v>562</v>
      </c>
      <c r="H1322" t="s">
        <v>562</v>
      </c>
      <c r="I1322">
        <v>4542</v>
      </c>
      <c r="J1322" t="s">
        <v>564</v>
      </c>
      <c r="K1322" s="698">
        <v>45957.53125</v>
      </c>
      <c r="L1322" s="698">
        <v>45957.53125</v>
      </c>
      <c r="M1322" t="s">
        <v>565</v>
      </c>
      <c r="N1322" t="s">
        <v>565</v>
      </c>
      <c r="O1322" t="s">
        <v>566</v>
      </c>
      <c r="P1322" t="s">
        <v>567</v>
      </c>
      <c r="S1322" t="s">
        <v>567</v>
      </c>
      <c r="T1322" t="s">
        <v>567</v>
      </c>
      <c r="Z1322" t="s">
        <v>568</v>
      </c>
      <c r="AA1322" t="s">
        <v>568</v>
      </c>
    </row>
    <row r="1323" spans="1:27">
      <c r="A1323" t="s">
        <v>3411</v>
      </c>
      <c r="B1323" t="s">
        <v>562</v>
      </c>
      <c r="C1323" t="s">
        <v>562</v>
      </c>
      <c r="D1323" t="s">
        <v>3414</v>
      </c>
      <c r="E1323" t="s">
        <v>3470</v>
      </c>
      <c r="F1323" t="s">
        <v>562</v>
      </c>
      <c r="G1323" t="s">
        <v>562</v>
      </c>
      <c r="H1323" t="s">
        <v>562</v>
      </c>
      <c r="I1323">
        <v>4934</v>
      </c>
      <c r="J1323" t="s">
        <v>564</v>
      </c>
      <c r="K1323" s="698">
        <v>45957.556250000001</v>
      </c>
      <c r="L1323" s="698">
        <v>45957.556250000001</v>
      </c>
      <c r="M1323" t="s">
        <v>565</v>
      </c>
      <c r="N1323" t="s">
        <v>565</v>
      </c>
      <c r="O1323" t="s">
        <v>566</v>
      </c>
      <c r="P1323" t="s">
        <v>567</v>
      </c>
      <c r="S1323" t="s">
        <v>567</v>
      </c>
      <c r="T1323" t="s">
        <v>567</v>
      </c>
      <c r="Z1323" t="s">
        <v>568</v>
      </c>
      <c r="AA1323" t="s">
        <v>568</v>
      </c>
    </row>
    <row r="1324" spans="1:27">
      <c r="A1324" t="s">
        <v>3411</v>
      </c>
      <c r="B1324" t="s">
        <v>562</v>
      </c>
      <c r="C1324" t="s">
        <v>562</v>
      </c>
      <c r="D1324" t="s">
        <v>3414</v>
      </c>
      <c r="E1324" t="s">
        <v>3471</v>
      </c>
      <c r="F1324" t="s">
        <v>562</v>
      </c>
      <c r="G1324" t="s">
        <v>562</v>
      </c>
      <c r="H1324" t="s">
        <v>562</v>
      </c>
      <c r="I1324">
        <v>4937</v>
      </c>
      <c r="J1324" t="s">
        <v>564</v>
      </c>
      <c r="K1324" s="698">
        <v>45957.556250000001</v>
      </c>
      <c r="L1324" s="698">
        <v>45957.556250000001</v>
      </c>
      <c r="M1324" t="s">
        <v>565</v>
      </c>
      <c r="N1324" t="s">
        <v>565</v>
      </c>
      <c r="O1324" t="s">
        <v>566</v>
      </c>
      <c r="P1324" t="s">
        <v>567</v>
      </c>
      <c r="S1324" t="s">
        <v>567</v>
      </c>
      <c r="T1324" t="s">
        <v>567</v>
      </c>
      <c r="Z1324" t="s">
        <v>568</v>
      </c>
      <c r="AA1324" t="s">
        <v>568</v>
      </c>
    </row>
    <row r="1325" spans="1:27">
      <c r="A1325" t="s">
        <v>3411</v>
      </c>
      <c r="B1325" t="s">
        <v>562</v>
      </c>
      <c r="C1325" t="s">
        <v>562</v>
      </c>
      <c r="D1325" t="s">
        <v>3414</v>
      </c>
      <c r="E1325" t="s">
        <v>3472</v>
      </c>
      <c r="F1325" t="s">
        <v>562</v>
      </c>
      <c r="G1325" t="s">
        <v>562</v>
      </c>
      <c r="H1325" t="s">
        <v>562</v>
      </c>
      <c r="I1325">
        <v>4939</v>
      </c>
      <c r="J1325" t="s">
        <v>564</v>
      </c>
      <c r="K1325" s="698">
        <v>45957.556944444441</v>
      </c>
      <c r="L1325" s="698">
        <v>45957.556944444441</v>
      </c>
      <c r="M1325" t="s">
        <v>565</v>
      </c>
      <c r="N1325" t="s">
        <v>565</v>
      </c>
      <c r="O1325" t="s">
        <v>566</v>
      </c>
      <c r="P1325" t="s">
        <v>567</v>
      </c>
      <c r="S1325" t="s">
        <v>567</v>
      </c>
      <c r="T1325" t="s">
        <v>567</v>
      </c>
      <c r="Z1325" t="s">
        <v>568</v>
      </c>
      <c r="AA1325" t="s">
        <v>568</v>
      </c>
    </row>
    <row r="1326" spans="1:27">
      <c r="A1326" t="s">
        <v>3411</v>
      </c>
      <c r="B1326" t="s">
        <v>562</v>
      </c>
      <c r="C1326" t="s">
        <v>562</v>
      </c>
      <c r="D1326" t="s">
        <v>3414</v>
      </c>
      <c r="E1326" t="s">
        <v>1116</v>
      </c>
      <c r="F1326" t="s">
        <v>562</v>
      </c>
      <c r="G1326" t="s">
        <v>562</v>
      </c>
      <c r="H1326" t="s">
        <v>562</v>
      </c>
      <c r="I1326">
        <v>4955</v>
      </c>
      <c r="J1326" t="s">
        <v>564</v>
      </c>
      <c r="K1326" s="698">
        <v>45957.556944444441</v>
      </c>
      <c r="L1326" s="698">
        <v>45957.556944444441</v>
      </c>
      <c r="M1326" t="s">
        <v>565</v>
      </c>
      <c r="N1326" t="s">
        <v>565</v>
      </c>
      <c r="O1326" t="s">
        <v>566</v>
      </c>
      <c r="P1326" t="s">
        <v>567</v>
      </c>
      <c r="S1326" t="s">
        <v>567</v>
      </c>
      <c r="T1326" t="s">
        <v>567</v>
      </c>
      <c r="Z1326" t="s">
        <v>568</v>
      </c>
      <c r="AA1326" t="s">
        <v>568</v>
      </c>
    </row>
    <row r="1327" spans="1:27">
      <c r="A1327" t="s">
        <v>3411</v>
      </c>
      <c r="B1327" t="s">
        <v>562</v>
      </c>
      <c r="C1327" t="s">
        <v>562</v>
      </c>
      <c r="D1327" t="s">
        <v>3414</v>
      </c>
      <c r="E1327" t="s">
        <v>3473</v>
      </c>
      <c r="F1327" t="s">
        <v>562</v>
      </c>
      <c r="G1327" t="s">
        <v>562</v>
      </c>
      <c r="H1327" t="s">
        <v>562</v>
      </c>
      <c r="I1327">
        <v>4964</v>
      </c>
      <c r="J1327" t="s">
        <v>564</v>
      </c>
      <c r="K1327" s="698">
        <v>45957.557638888888</v>
      </c>
      <c r="L1327" s="698">
        <v>45957.557638888888</v>
      </c>
      <c r="M1327" t="s">
        <v>565</v>
      </c>
      <c r="N1327" t="s">
        <v>565</v>
      </c>
      <c r="O1327" t="s">
        <v>566</v>
      </c>
      <c r="P1327" t="s">
        <v>567</v>
      </c>
      <c r="S1327" t="s">
        <v>567</v>
      </c>
      <c r="T1327" t="s">
        <v>567</v>
      </c>
      <c r="Z1327" t="s">
        <v>568</v>
      </c>
      <c r="AA1327" t="s">
        <v>568</v>
      </c>
    </row>
    <row r="1328" spans="1:27">
      <c r="A1328" t="s">
        <v>3411</v>
      </c>
      <c r="B1328" t="s">
        <v>3448</v>
      </c>
      <c r="C1328" t="s">
        <v>3449</v>
      </c>
      <c r="D1328" t="s">
        <v>3414</v>
      </c>
      <c r="E1328" t="s">
        <v>3474</v>
      </c>
      <c r="F1328" t="s">
        <v>562</v>
      </c>
      <c r="G1328" t="s">
        <v>562</v>
      </c>
      <c r="H1328" t="s">
        <v>562</v>
      </c>
      <c r="I1328">
        <v>5028</v>
      </c>
      <c r="J1328" t="s">
        <v>564</v>
      </c>
      <c r="K1328" s="698">
        <v>45957.559027777781</v>
      </c>
      <c r="L1328" s="698">
        <v>45957.559027777781</v>
      </c>
      <c r="M1328" t="s">
        <v>565</v>
      </c>
      <c r="N1328" t="s">
        <v>565</v>
      </c>
      <c r="O1328" t="s">
        <v>566</v>
      </c>
      <c r="P1328" t="s">
        <v>567</v>
      </c>
      <c r="S1328" t="s">
        <v>567</v>
      </c>
      <c r="T1328" t="s">
        <v>567</v>
      </c>
      <c r="Z1328" t="s">
        <v>568</v>
      </c>
      <c r="AA1328" t="s">
        <v>568</v>
      </c>
    </row>
    <row r="1329" spans="1:27">
      <c r="A1329" t="s">
        <v>3411</v>
      </c>
      <c r="B1329" t="s">
        <v>562</v>
      </c>
      <c r="C1329" t="s">
        <v>562</v>
      </c>
      <c r="D1329" t="s">
        <v>3414</v>
      </c>
      <c r="E1329" t="s">
        <v>3475</v>
      </c>
      <c r="F1329" t="s">
        <v>562</v>
      </c>
      <c r="G1329" t="s">
        <v>562</v>
      </c>
      <c r="H1329" t="s">
        <v>562</v>
      </c>
      <c r="I1329">
        <v>5029</v>
      </c>
      <c r="J1329" t="s">
        <v>564</v>
      </c>
      <c r="K1329" s="698">
        <v>45957.559027777781</v>
      </c>
      <c r="L1329" s="698">
        <v>45957.559027777781</v>
      </c>
      <c r="M1329" t="s">
        <v>565</v>
      </c>
      <c r="N1329" t="s">
        <v>565</v>
      </c>
      <c r="O1329" t="s">
        <v>566</v>
      </c>
      <c r="P1329" t="s">
        <v>567</v>
      </c>
      <c r="S1329" t="s">
        <v>567</v>
      </c>
      <c r="T1329" t="s">
        <v>567</v>
      </c>
      <c r="Z1329" t="s">
        <v>568</v>
      </c>
      <c r="AA1329" t="s">
        <v>568</v>
      </c>
    </row>
    <row r="1330" spans="1:27">
      <c r="A1330" t="s">
        <v>3411</v>
      </c>
      <c r="B1330" t="s">
        <v>562</v>
      </c>
      <c r="C1330" t="s">
        <v>562</v>
      </c>
      <c r="D1330" t="s">
        <v>3414</v>
      </c>
      <c r="E1330" t="s">
        <v>3476</v>
      </c>
      <c r="F1330" t="s">
        <v>562</v>
      </c>
      <c r="G1330" t="s">
        <v>562</v>
      </c>
      <c r="H1330" t="s">
        <v>562</v>
      </c>
      <c r="I1330">
        <v>5032</v>
      </c>
      <c r="J1330" t="s">
        <v>564</v>
      </c>
      <c r="K1330" s="698">
        <v>45957.559027777781</v>
      </c>
      <c r="L1330" s="698">
        <v>45957.559027777781</v>
      </c>
      <c r="M1330" t="s">
        <v>565</v>
      </c>
      <c r="N1330" t="s">
        <v>565</v>
      </c>
      <c r="O1330" t="s">
        <v>566</v>
      </c>
      <c r="P1330" t="s">
        <v>567</v>
      </c>
      <c r="S1330" t="s">
        <v>567</v>
      </c>
      <c r="T1330" t="s">
        <v>567</v>
      </c>
      <c r="Z1330" t="s">
        <v>568</v>
      </c>
      <c r="AA1330" t="s">
        <v>568</v>
      </c>
    </row>
    <row r="1331" spans="1:27">
      <c r="A1331" t="s">
        <v>3411</v>
      </c>
      <c r="B1331" t="s">
        <v>562</v>
      </c>
      <c r="C1331" t="s">
        <v>562</v>
      </c>
      <c r="D1331" t="s">
        <v>3414</v>
      </c>
      <c r="E1331" t="s">
        <v>3477</v>
      </c>
      <c r="F1331" t="s">
        <v>562</v>
      </c>
      <c r="G1331" t="s">
        <v>562</v>
      </c>
      <c r="H1331" t="s">
        <v>562</v>
      </c>
      <c r="I1331">
        <v>5051</v>
      </c>
      <c r="J1331" t="s">
        <v>564</v>
      </c>
      <c r="K1331" s="698">
        <v>45957.55972222222</v>
      </c>
      <c r="L1331" s="698">
        <v>45957.55972222222</v>
      </c>
      <c r="M1331" t="s">
        <v>565</v>
      </c>
      <c r="N1331" t="s">
        <v>565</v>
      </c>
      <c r="O1331" t="s">
        <v>566</v>
      </c>
      <c r="P1331" t="s">
        <v>567</v>
      </c>
      <c r="S1331" t="s">
        <v>567</v>
      </c>
      <c r="T1331" t="s">
        <v>567</v>
      </c>
      <c r="Z1331" t="s">
        <v>568</v>
      </c>
      <c r="AA1331" t="s">
        <v>568</v>
      </c>
    </row>
    <row r="1332" spans="1:27">
      <c r="A1332" t="s">
        <v>3411</v>
      </c>
      <c r="B1332" t="s">
        <v>562</v>
      </c>
      <c r="C1332" t="s">
        <v>562</v>
      </c>
      <c r="D1332" t="s">
        <v>3414</v>
      </c>
      <c r="E1332" t="s">
        <v>3478</v>
      </c>
      <c r="F1332" t="s">
        <v>562</v>
      </c>
      <c r="G1332" t="s">
        <v>562</v>
      </c>
      <c r="H1332" t="s">
        <v>562</v>
      </c>
      <c r="I1332">
        <v>5052</v>
      </c>
      <c r="J1332" t="s">
        <v>564</v>
      </c>
      <c r="K1332" s="698">
        <v>45957.55972222222</v>
      </c>
      <c r="L1332" s="698">
        <v>45957.55972222222</v>
      </c>
      <c r="M1332" t="s">
        <v>565</v>
      </c>
      <c r="N1332" t="s">
        <v>565</v>
      </c>
      <c r="O1332" t="s">
        <v>566</v>
      </c>
      <c r="P1332" t="s">
        <v>567</v>
      </c>
      <c r="S1332" t="s">
        <v>567</v>
      </c>
      <c r="T1332" t="s">
        <v>567</v>
      </c>
      <c r="Z1332" t="s">
        <v>568</v>
      </c>
      <c r="AA1332" t="s">
        <v>568</v>
      </c>
    </row>
    <row r="1333" spans="1:27">
      <c r="A1333" t="s">
        <v>3411</v>
      </c>
      <c r="B1333" t="s">
        <v>562</v>
      </c>
      <c r="C1333" t="s">
        <v>562</v>
      </c>
      <c r="D1333" t="s">
        <v>3414</v>
      </c>
      <c r="E1333" t="s">
        <v>3479</v>
      </c>
      <c r="F1333" t="s">
        <v>562</v>
      </c>
      <c r="G1333" t="s">
        <v>562</v>
      </c>
      <c r="H1333" t="s">
        <v>562</v>
      </c>
      <c r="I1333">
        <v>5055</v>
      </c>
      <c r="J1333" t="s">
        <v>564</v>
      </c>
      <c r="K1333" s="698">
        <v>45957.55972222222</v>
      </c>
      <c r="L1333" s="698">
        <v>45957.55972222222</v>
      </c>
      <c r="M1333" t="s">
        <v>565</v>
      </c>
      <c r="N1333" t="s">
        <v>565</v>
      </c>
      <c r="O1333" t="s">
        <v>566</v>
      </c>
      <c r="P1333" t="s">
        <v>567</v>
      </c>
      <c r="S1333" t="s">
        <v>567</v>
      </c>
      <c r="T1333" t="s">
        <v>567</v>
      </c>
      <c r="Z1333" t="s">
        <v>568</v>
      </c>
      <c r="AA1333" t="s">
        <v>568</v>
      </c>
    </row>
    <row r="1334" spans="1:27">
      <c r="A1334" t="s">
        <v>3411</v>
      </c>
      <c r="B1334" t="s">
        <v>562</v>
      </c>
      <c r="C1334" t="s">
        <v>562</v>
      </c>
      <c r="D1334" t="s">
        <v>3414</v>
      </c>
      <c r="E1334" t="s">
        <v>3480</v>
      </c>
      <c r="F1334" t="s">
        <v>562</v>
      </c>
      <c r="G1334" t="s">
        <v>562</v>
      </c>
      <c r="H1334" t="s">
        <v>562</v>
      </c>
      <c r="I1334">
        <v>5063</v>
      </c>
      <c r="J1334" t="s">
        <v>564</v>
      </c>
      <c r="K1334" s="698">
        <v>45957.560416666667</v>
      </c>
      <c r="L1334" s="698">
        <v>45957.560416666667</v>
      </c>
      <c r="M1334" t="s">
        <v>565</v>
      </c>
      <c r="N1334" t="s">
        <v>565</v>
      </c>
      <c r="O1334" t="s">
        <v>566</v>
      </c>
      <c r="P1334" t="s">
        <v>567</v>
      </c>
      <c r="S1334" t="s">
        <v>567</v>
      </c>
      <c r="T1334" t="s">
        <v>567</v>
      </c>
      <c r="Z1334" t="s">
        <v>568</v>
      </c>
      <c r="AA1334" t="s">
        <v>568</v>
      </c>
    </row>
    <row r="1335" spans="1:27">
      <c r="A1335" t="s">
        <v>3411</v>
      </c>
      <c r="B1335" t="s">
        <v>562</v>
      </c>
      <c r="C1335" t="s">
        <v>562</v>
      </c>
      <c r="D1335" t="s">
        <v>3414</v>
      </c>
      <c r="E1335" t="s">
        <v>3481</v>
      </c>
      <c r="F1335" t="s">
        <v>562</v>
      </c>
      <c r="G1335" t="s">
        <v>562</v>
      </c>
      <c r="H1335" t="s">
        <v>562</v>
      </c>
      <c r="I1335">
        <v>5064</v>
      </c>
      <c r="J1335" t="s">
        <v>564</v>
      </c>
      <c r="K1335" s="698">
        <v>45957.560416666667</v>
      </c>
      <c r="L1335" s="698">
        <v>45957.560416666667</v>
      </c>
      <c r="M1335" t="s">
        <v>565</v>
      </c>
      <c r="N1335" t="s">
        <v>565</v>
      </c>
      <c r="O1335" t="s">
        <v>566</v>
      </c>
      <c r="P1335" t="s">
        <v>567</v>
      </c>
      <c r="S1335" t="s">
        <v>567</v>
      </c>
      <c r="T1335" t="s">
        <v>567</v>
      </c>
      <c r="Z1335" t="s">
        <v>568</v>
      </c>
      <c r="AA1335" t="s">
        <v>568</v>
      </c>
    </row>
    <row r="1336" spans="1:27">
      <c r="A1336" t="s">
        <v>3411</v>
      </c>
      <c r="B1336" t="s">
        <v>562</v>
      </c>
      <c r="C1336" t="s">
        <v>562</v>
      </c>
      <c r="D1336" t="s">
        <v>3414</v>
      </c>
      <c r="E1336" t="s">
        <v>3482</v>
      </c>
      <c r="F1336" t="s">
        <v>562</v>
      </c>
      <c r="G1336" t="s">
        <v>562</v>
      </c>
      <c r="H1336" t="s">
        <v>562</v>
      </c>
      <c r="I1336">
        <v>5065</v>
      </c>
      <c r="J1336" t="s">
        <v>564</v>
      </c>
      <c r="K1336" s="698">
        <v>45957.560416666667</v>
      </c>
      <c r="L1336" s="698">
        <v>45957.560416666667</v>
      </c>
      <c r="M1336" t="s">
        <v>565</v>
      </c>
      <c r="N1336" t="s">
        <v>565</v>
      </c>
      <c r="O1336" t="s">
        <v>566</v>
      </c>
      <c r="P1336" t="s">
        <v>567</v>
      </c>
      <c r="S1336" t="s">
        <v>567</v>
      </c>
      <c r="T1336" t="s">
        <v>567</v>
      </c>
      <c r="Z1336" t="s">
        <v>568</v>
      </c>
      <c r="AA1336" t="s">
        <v>568</v>
      </c>
    </row>
    <row r="1337" spans="1:27">
      <c r="A1337" t="s">
        <v>3411</v>
      </c>
      <c r="B1337" t="s">
        <v>562</v>
      </c>
      <c r="C1337" t="s">
        <v>562</v>
      </c>
      <c r="D1337" t="s">
        <v>3414</v>
      </c>
      <c r="E1337" t="s">
        <v>3483</v>
      </c>
      <c r="F1337" t="s">
        <v>562</v>
      </c>
      <c r="G1337" t="s">
        <v>562</v>
      </c>
      <c r="H1337" t="s">
        <v>562</v>
      </c>
      <c r="I1337">
        <v>5070</v>
      </c>
      <c r="J1337" t="s">
        <v>564</v>
      </c>
      <c r="K1337" s="698">
        <v>45957.560416666667</v>
      </c>
      <c r="L1337" s="698">
        <v>45957.560416666667</v>
      </c>
      <c r="M1337" t="s">
        <v>565</v>
      </c>
      <c r="N1337" t="s">
        <v>565</v>
      </c>
      <c r="O1337" t="s">
        <v>566</v>
      </c>
      <c r="P1337" t="s">
        <v>567</v>
      </c>
      <c r="S1337" t="s">
        <v>567</v>
      </c>
      <c r="T1337" t="s">
        <v>567</v>
      </c>
      <c r="Z1337" t="s">
        <v>568</v>
      </c>
      <c r="AA1337" t="s">
        <v>568</v>
      </c>
    </row>
    <row r="1338" spans="1:27">
      <c r="A1338" t="s">
        <v>3411</v>
      </c>
      <c r="B1338" t="s">
        <v>562</v>
      </c>
      <c r="C1338" t="s">
        <v>3484</v>
      </c>
      <c r="D1338" t="s">
        <v>3414</v>
      </c>
      <c r="E1338" t="s">
        <v>3485</v>
      </c>
      <c r="F1338" t="s">
        <v>562</v>
      </c>
      <c r="G1338" t="s">
        <v>562</v>
      </c>
      <c r="H1338" t="s">
        <v>562</v>
      </c>
      <c r="I1338">
        <v>5076</v>
      </c>
      <c r="J1338" t="s">
        <v>564</v>
      </c>
      <c r="K1338" s="698">
        <v>45957.560416666667</v>
      </c>
      <c r="L1338" s="698">
        <v>45957.560416666667</v>
      </c>
      <c r="M1338" t="s">
        <v>565</v>
      </c>
      <c r="N1338" t="s">
        <v>565</v>
      </c>
      <c r="O1338" t="s">
        <v>566</v>
      </c>
      <c r="P1338" t="s">
        <v>567</v>
      </c>
      <c r="S1338" t="s">
        <v>567</v>
      </c>
      <c r="T1338" t="s">
        <v>567</v>
      </c>
      <c r="Z1338" t="s">
        <v>568</v>
      </c>
      <c r="AA1338" t="s">
        <v>568</v>
      </c>
    </row>
    <row r="1339" spans="1:27">
      <c r="A1339" t="s">
        <v>3411</v>
      </c>
      <c r="B1339" t="s">
        <v>562</v>
      </c>
      <c r="C1339" t="s">
        <v>562</v>
      </c>
      <c r="D1339" t="s">
        <v>3414</v>
      </c>
      <c r="E1339" t="s">
        <v>3486</v>
      </c>
      <c r="F1339" t="s">
        <v>562</v>
      </c>
      <c r="G1339" t="s">
        <v>562</v>
      </c>
      <c r="H1339" t="s">
        <v>562</v>
      </c>
      <c r="I1339">
        <v>5081</v>
      </c>
      <c r="J1339" t="s">
        <v>564</v>
      </c>
      <c r="K1339" s="698">
        <v>45957.561111111114</v>
      </c>
      <c r="L1339" s="698">
        <v>45957.561111111114</v>
      </c>
      <c r="M1339" t="s">
        <v>565</v>
      </c>
      <c r="N1339" t="s">
        <v>565</v>
      </c>
      <c r="O1339" t="s">
        <v>566</v>
      </c>
      <c r="P1339" t="s">
        <v>567</v>
      </c>
      <c r="S1339" t="s">
        <v>567</v>
      </c>
      <c r="T1339" t="s">
        <v>567</v>
      </c>
      <c r="Z1339" t="s">
        <v>568</v>
      </c>
      <c r="AA1339" t="s">
        <v>568</v>
      </c>
    </row>
    <row r="1340" spans="1:27">
      <c r="A1340" t="s">
        <v>3411</v>
      </c>
      <c r="B1340" t="s">
        <v>562</v>
      </c>
      <c r="C1340" t="s">
        <v>562</v>
      </c>
      <c r="D1340" t="s">
        <v>3414</v>
      </c>
      <c r="E1340" t="s">
        <v>3487</v>
      </c>
      <c r="F1340" t="s">
        <v>562</v>
      </c>
      <c r="G1340" t="s">
        <v>562</v>
      </c>
      <c r="H1340" t="s">
        <v>562</v>
      </c>
      <c r="I1340">
        <v>5086</v>
      </c>
      <c r="J1340" t="s">
        <v>564</v>
      </c>
      <c r="K1340" s="698">
        <v>45957.561111111114</v>
      </c>
      <c r="L1340" s="698">
        <v>45957.561111111114</v>
      </c>
      <c r="M1340" t="s">
        <v>565</v>
      </c>
      <c r="N1340" t="s">
        <v>565</v>
      </c>
      <c r="O1340" t="s">
        <v>566</v>
      </c>
      <c r="P1340" t="s">
        <v>567</v>
      </c>
      <c r="S1340" t="s">
        <v>567</v>
      </c>
      <c r="T1340" t="s">
        <v>567</v>
      </c>
      <c r="Z1340" t="s">
        <v>568</v>
      </c>
      <c r="AA1340" t="s">
        <v>568</v>
      </c>
    </row>
    <row r="1341" spans="1:27">
      <c r="A1341" t="s">
        <v>3411</v>
      </c>
      <c r="B1341" t="s">
        <v>562</v>
      </c>
      <c r="C1341" t="s">
        <v>562</v>
      </c>
      <c r="D1341" t="s">
        <v>3414</v>
      </c>
      <c r="E1341" t="s">
        <v>3488</v>
      </c>
      <c r="F1341" t="s">
        <v>562</v>
      </c>
      <c r="G1341" t="s">
        <v>562</v>
      </c>
      <c r="H1341" t="s">
        <v>562</v>
      </c>
      <c r="I1341">
        <v>5088</v>
      </c>
      <c r="J1341" t="s">
        <v>564</v>
      </c>
      <c r="K1341" s="698">
        <v>45957.561111111114</v>
      </c>
      <c r="L1341" s="698">
        <v>45957.561111111114</v>
      </c>
      <c r="M1341" t="s">
        <v>565</v>
      </c>
      <c r="N1341" t="s">
        <v>565</v>
      </c>
      <c r="O1341" t="s">
        <v>566</v>
      </c>
      <c r="P1341" t="s">
        <v>567</v>
      </c>
      <c r="S1341" t="s">
        <v>567</v>
      </c>
      <c r="T1341" t="s">
        <v>567</v>
      </c>
      <c r="Z1341" t="s">
        <v>568</v>
      </c>
      <c r="AA1341" t="s">
        <v>568</v>
      </c>
    </row>
    <row r="1342" spans="1:27">
      <c r="A1342" t="s">
        <v>3411</v>
      </c>
      <c r="B1342" t="s">
        <v>562</v>
      </c>
      <c r="C1342" t="s">
        <v>562</v>
      </c>
      <c r="D1342" t="s">
        <v>3414</v>
      </c>
      <c r="E1342" t="s">
        <v>3489</v>
      </c>
      <c r="F1342" t="s">
        <v>562</v>
      </c>
      <c r="G1342" t="s">
        <v>562</v>
      </c>
      <c r="H1342" t="s">
        <v>562</v>
      </c>
      <c r="I1342">
        <v>5091</v>
      </c>
      <c r="J1342" t="s">
        <v>564</v>
      </c>
      <c r="K1342" s="698">
        <v>45957.561111111114</v>
      </c>
      <c r="L1342" s="698">
        <v>45957.561111111114</v>
      </c>
      <c r="M1342" t="s">
        <v>565</v>
      </c>
      <c r="N1342" t="s">
        <v>565</v>
      </c>
      <c r="O1342" t="s">
        <v>566</v>
      </c>
      <c r="P1342" t="s">
        <v>567</v>
      </c>
      <c r="S1342" t="s">
        <v>567</v>
      </c>
      <c r="T1342" t="s">
        <v>567</v>
      </c>
      <c r="Z1342" t="s">
        <v>568</v>
      </c>
      <c r="AA1342" t="s">
        <v>568</v>
      </c>
    </row>
    <row r="1343" spans="1:27">
      <c r="A1343" t="s">
        <v>3490</v>
      </c>
      <c r="B1343" t="s">
        <v>3491</v>
      </c>
      <c r="C1343" t="s">
        <v>3492</v>
      </c>
      <c r="D1343" t="s">
        <v>562</v>
      </c>
      <c r="E1343" t="s">
        <v>3493</v>
      </c>
      <c r="F1343" t="s">
        <v>562</v>
      </c>
      <c r="G1343" t="s">
        <v>562</v>
      </c>
      <c r="H1343" t="s">
        <v>562</v>
      </c>
      <c r="I1343">
        <v>4463</v>
      </c>
      <c r="J1343" t="s">
        <v>564</v>
      </c>
      <c r="K1343" s="698">
        <v>45957.521527777775</v>
      </c>
      <c r="L1343" s="698">
        <v>45957.521527777775</v>
      </c>
      <c r="M1343" t="s">
        <v>565</v>
      </c>
      <c r="N1343" t="s">
        <v>565</v>
      </c>
      <c r="O1343" t="s">
        <v>566</v>
      </c>
      <c r="P1343" t="s">
        <v>567</v>
      </c>
      <c r="S1343" t="s">
        <v>567</v>
      </c>
      <c r="T1343" t="s">
        <v>567</v>
      </c>
      <c r="Z1343" t="s">
        <v>568</v>
      </c>
      <c r="AA1343" t="s">
        <v>568</v>
      </c>
    </row>
    <row r="1344" spans="1:27">
      <c r="A1344" t="s">
        <v>3490</v>
      </c>
      <c r="B1344" t="s">
        <v>3494</v>
      </c>
      <c r="C1344" t="s">
        <v>3495</v>
      </c>
      <c r="D1344" t="s">
        <v>562</v>
      </c>
      <c r="E1344" t="s">
        <v>3496</v>
      </c>
      <c r="F1344" t="s">
        <v>562</v>
      </c>
      <c r="G1344" t="s">
        <v>562</v>
      </c>
      <c r="H1344" t="s">
        <v>562</v>
      </c>
      <c r="I1344">
        <v>4680</v>
      </c>
      <c r="J1344" t="s">
        <v>564</v>
      </c>
      <c r="K1344" s="698">
        <v>45957.548611111109</v>
      </c>
      <c r="L1344" s="698">
        <v>45957.548611111109</v>
      </c>
      <c r="M1344" t="s">
        <v>565</v>
      </c>
      <c r="N1344" t="s">
        <v>565</v>
      </c>
      <c r="O1344" t="s">
        <v>566</v>
      </c>
      <c r="P1344" t="s">
        <v>567</v>
      </c>
      <c r="S1344" t="s">
        <v>567</v>
      </c>
      <c r="T1344" t="s">
        <v>567</v>
      </c>
      <c r="Z1344" t="s">
        <v>568</v>
      </c>
      <c r="AA1344" t="s">
        <v>568</v>
      </c>
    </row>
    <row r="1345" spans="1:27">
      <c r="A1345" t="s">
        <v>3490</v>
      </c>
      <c r="B1345" t="s">
        <v>3497</v>
      </c>
      <c r="C1345" t="s">
        <v>3498</v>
      </c>
      <c r="D1345" t="s">
        <v>562</v>
      </c>
      <c r="E1345" t="s">
        <v>1116</v>
      </c>
      <c r="F1345" t="s">
        <v>562</v>
      </c>
      <c r="G1345" t="s">
        <v>562</v>
      </c>
      <c r="H1345" t="s">
        <v>562</v>
      </c>
      <c r="I1345">
        <v>4750</v>
      </c>
      <c r="J1345" t="s">
        <v>564</v>
      </c>
      <c r="K1345" s="698">
        <v>45957.550694444442</v>
      </c>
      <c r="L1345" s="698">
        <v>45957.550694444442</v>
      </c>
      <c r="M1345" t="s">
        <v>565</v>
      </c>
      <c r="N1345" t="s">
        <v>565</v>
      </c>
      <c r="O1345" t="s">
        <v>566</v>
      </c>
      <c r="P1345" t="s">
        <v>567</v>
      </c>
      <c r="S1345" t="s">
        <v>567</v>
      </c>
      <c r="T1345" t="s">
        <v>567</v>
      </c>
      <c r="Z1345" t="s">
        <v>568</v>
      </c>
      <c r="AA1345" t="s">
        <v>568</v>
      </c>
    </row>
    <row r="1346" spans="1:27">
      <c r="A1346" t="s">
        <v>3490</v>
      </c>
      <c r="B1346" t="s">
        <v>3497</v>
      </c>
      <c r="C1346" t="s">
        <v>3498</v>
      </c>
      <c r="D1346" t="s">
        <v>562</v>
      </c>
      <c r="E1346" t="s">
        <v>3499</v>
      </c>
      <c r="F1346" t="s">
        <v>562</v>
      </c>
      <c r="G1346" t="s">
        <v>562</v>
      </c>
      <c r="H1346" t="s">
        <v>562</v>
      </c>
      <c r="I1346">
        <v>4870</v>
      </c>
      <c r="J1346" t="s">
        <v>564</v>
      </c>
      <c r="K1346" s="698">
        <v>45957.554166666669</v>
      </c>
      <c r="L1346" s="698">
        <v>45957.554166666669</v>
      </c>
      <c r="M1346" t="s">
        <v>565</v>
      </c>
      <c r="N1346" t="s">
        <v>565</v>
      </c>
      <c r="O1346" t="s">
        <v>566</v>
      </c>
      <c r="P1346" t="s">
        <v>567</v>
      </c>
      <c r="S1346" t="s">
        <v>567</v>
      </c>
      <c r="T1346" t="s">
        <v>567</v>
      </c>
      <c r="Z1346" t="s">
        <v>568</v>
      </c>
      <c r="AA1346" t="s">
        <v>568</v>
      </c>
    </row>
    <row r="1347" spans="1:27">
      <c r="A1347" t="s">
        <v>3490</v>
      </c>
      <c r="B1347" t="s">
        <v>3500</v>
      </c>
      <c r="C1347" t="s">
        <v>3501</v>
      </c>
      <c r="D1347" t="s">
        <v>562</v>
      </c>
      <c r="E1347" t="s">
        <v>3502</v>
      </c>
      <c r="F1347" t="s">
        <v>562</v>
      </c>
      <c r="G1347" t="s">
        <v>562</v>
      </c>
      <c r="H1347" t="s">
        <v>562</v>
      </c>
      <c r="I1347">
        <v>4900</v>
      </c>
      <c r="J1347" t="s">
        <v>564</v>
      </c>
      <c r="K1347" s="698">
        <v>45957.555555555555</v>
      </c>
      <c r="L1347" s="698">
        <v>45957.555555555555</v>
      </c>
      <c r="M1347" t="s">
        <v>565</v>
      </c>
      <c r="N1347" t="s">
        <v>565</v>
      </c>
      <c r="O1347" t="s">
        <v>566</v>
      </c>
      <c r="P1347" t="s">
        <v>567</v>
      </c>
      <c r="S1347" t="s">
        <v>567</v>
      </c>
      <c r="T1347" t="s">
        <v>567</v>
      </c>
      <c r="Z1347" t="s">
        <v>568</v>
      </c>
      <c r="AA1347" t="s">
        <v>568</v>
      </c>
    </row>
    <row r="1348" spans="1:27">
      <c r="A1348" t="s">
        <v>3490</v>
      </c>
      <c r="B1348" t="s">
        <v>3500</v>
      </c>
      <c r="C1348" t="s">
        <v>3501</v>
      </c>
      <c r="D1348" t="s">
        <v>562</v>
      </c>
      <c r="E1348" t="s">
        <v>3503</v>
      </c>
      <c r="F1348" t="s">
        <v>562</v>
      </c>
      <c r="G1348" t="s">
        <v>562</v>
      </c>
      <c r="H1348" t="s">
        <v>562</v>
      </c>
      <c r="I1348">
        <v>4909</v>
      </c>
      <c r="J1348" t="s">
        <v>564</v>
      </c>
      <c r="K1348" s="698">
        <v>45957.555555555555</v>
      </c>
      <c r="L1348" s="698">
        <v>45957.555555555555</v>
      </c>
      <c r="M1348" t="s">
        <v>565</v>
      </c>
      <c r="N1348" t="s">
        <v>565</v>
      </c>
      <c r="O1348" t="s">
        <v>566</v>
      </c>
      <c r="P1348" t="s">
        <v>567</v>
      </c>
      <c r="S1348" t="s">
        <v>567</v>
      </c>
      <c r="T1348" t="s">
        <v>567</v>
      </c>
      <c r="Z1348" t="s">
        <v>568</v>
      </c>
      <c r="AA1348" t="s">
        <v>568</v>
      </c>
    </row>
    <row r="1349" spans="1:27">
      <c r="A1349" t="s">
        <v>3490</v>
      </c>
      <c r="B1349" t="s">
        <v>3500</v>
      </c>
      <c r="C1349" t="s">
        <v>562</v>
      </c>
      <c r="D1349" t="s">
        <v>3504</v>
      </c>
      <c r="E1349" t="s">
        <v>3505</v>
      </c>
      <c r="F1349" t="s">
        <v>562</v>
      </c>
      <c r="G1349" t="s">
        <v>562</v>
      </c>
      <c r="H1349" t="s">
        <v>562</v>
      </c>
      <c r="I1349">
        <v>5243</v>
      </c>
      <c r="J1349" t="s">
        <v>564</v>
      </c>
      <c r="K1349" s="698">
        <v>46050.352777777778</v>
      </c>
      <c r="L1349" s="698">
        <v>46050.352777777778</v>
      </c>
      <c r="M1349" t="s">
        <v>565</v>
      </c>
      <c r="N1349" t="s">
        <v>565</v>
      </c>
      <c r="O1349" t="s">
        <v>566</v>
      </c>
      <c r="P1349" t="s">
        <v>567</v>
      </c>
      <c r="S1349" t="s">
        <v>567</v>
      </c>
      <c r="T1349" t="s">
        <v>567</v>
      </c>
      <c r="Z1349" t="s">
        <v>826</v>
      </c>
      <c r="AA1349" t="s">
        <v>826</v>
      </c>
    </row>
    <row r="1350" spans="1:27">
      <c r="A1350" t="s">
        <v>3490</v>
      </c>
      <c r="B1350" t="s">
        <v>3506</v>
      </c>
      <c r="C1350" t="s">
        <v>562</v>
      </c>
      <c r="D1350" t="s">
        <v>3507</v>
      </c>
      <c r="E1350" t="s">
        <v>3508</v>
      </c>
      <c r="F1350" t="s">
        <v>562</v>
      </c>
      <c r="G1350" t="s">
        <v>562</v>
      </c>
      <c r="H1350" t="s">
        <v>562</v>
      </c>
      <c r="I1350">
        <v>5248</v>
      </c>
      <c r="J1350" t="s">
        <v>564</v>
      </c>
      <c r="K1350" s="698">
        <v>46071.45416666667</v>
      </c>
      <c r="L1350" s="698">
        <v>46071.45416666667</v>
      </c>
      <c r="M1350" t="s">
        <v>565</v>
      </c>
      <c r="N1350" t="s">
        <v>565</v>
      </c>
      <c r="O1350" t="s">
        <v>566</v>
      </c>
      <c r="P1350" t="s">
        <v>567</v>
      </c>
      <c r="S1350" t="s">
        <v>567</v>
      </c>
      <c r="T1350" t="s">
        <v>567</v>
      </c>
      <c r="Z1350" t="s">
        <v>826</v>
      </c>
      <c r="AA1350" t="s">
        <v>826</v>
      </c>
    </row>
    <row r="1351" spans="1:27">
      <c r="A1351" t="s">
        <v>3509</v>
      </c>
      <c r="B1351" t="s">
        <v>1133</v>
      </c>
      <c r="C1351" t="s">
        <v>3510</v>
      </c>
      <c r="D1351" t="s">
        <v>562</v>
      </c>
      <c r="E1351" t="s">
        <v>3511</v>
      </c>
      <c r="F1351" t="s">
        <v>562</v>
      </c>
      <c r="G1351" t="s">
        <v>562</v>
      </c>
      <c r="H1351" t="s">
        <v>562</v>
      </c>
      <c r="I1351">
        <v>5017</v>
      </c>
      <c r="J1351" t="s">
        <v>564</v>
      </c>
      <c r="K1351" s="698">
        <v>45957.559027777781</v>
      </c>
      <c r="L1351" s="698">
        <v>45957.559027777781</v>
      </c>
      <c r="M1351" t="s">
        <v>565</v>
      </c>
      <c r="N1351" t="s">
        <v>565</v>
      </c>
      <c r="O1351" t="s">
        <v>566</v>
      </c>
      <c r="P1351" t="s">
        <v>567</v>
      </c>
      <c r="S1351" t="s">
        <v>567</v>
      </c>
      <c r="T1351" t="s">
        <v>567</v>
      </c>
      <c r="Z1351" t="s">
        <v>568</v>
      </c>
      <c r="AA1351" t="s">
        <v>568</v>
      </c>
    </row>
    <row r="1352" spans="1:27">
      <c r="A1352" t="s">
        <v>3512</v>
      </c>
      <c r="B1352" t="s">
        <v>3512</v>
      </c>
      <c r="C1352" t="s">
        <v>562</v>
      </c>
      <c r="D1352" t="s">
        <v>3513</v>
      </c>
      <c r="E1352" t="s">
        <v>562</v>
      </c>
      <c r="F1352" t="s">
        <v>562</v>
      </c>
      <c r="G1352" t="s">
        <v>562</v>
      </c>
      <c r="H1352" t="s">
        <v>562</v>
      </c>
      <c r="I1352">
        <v>3560</v>
      </c>
      <c r="J1352" t="s">
        <v>564</v>
      </c>
      <c r="K1352" s="698">
        <v>45957.415972222225</v>
      </c>
      <c r="L1352" s="698">
        <v>45957.415972222225</v>
      </c>
      <c r="M1352" t="s">
        <v>565</v>
      </c>
      <c r="N1352" t="s">
        <v>565</v>
      </c>
      <c r="O1352" t="s">
        <v>566</v>
      </c>
      <c r="P1352" t="s">
        <v>567</v>
      </c>
      <c r="S1352" t="s">
        <v>567</v>
      </c>
      <c r="T1352" t="s">
        <v>567</v>
      </c>
      <c r="Z1352" t="s">
        <v>568</v>
      </c>
      <c r="AA1352" t="s">
        <v>568</v>
      </c>
    </row>
    <row r="1353" spans="1:27">
      <c r="A1353" t="s">
        <v>3514</v>
      </c>
      <c r="B1353" t="s">
        <v>3515</v>
      </c>
      <c r="C1353" t="s">
        <v>3516</v>
      </c>
      <c r="D1353" t="s">
        <v>562</v>
      </c>
      <c r="E1353" t="s">
        <v>3517</v>
      </c>
      <c r="F1353" t="s">
        <v>562</v>
      </c>
      <c r="G1353" t="s">
        <v>562</v>
      </c>
      <c r="H1353" t="s">
        <v>562</v>
      </c>
      <c r="I1353">
        <v>4687</v>
      </c>
      <c r="J1353" t="s">
        <v>564</v>
      </c>
      <c r="K1353" s="698">
        <v>45957.548611111109</v>
      </c>
      <c r="L1353" s="698">
        <v>45957.548611111109</v>
      </c>
      <c r="M1353" t="s">
        <v>565</v>
      </c>
      <c r="N1353" t="s">
        <v>565</v>
      </c>
      <c r="O1353" t="s">
        <v>566</v>
      </c>
      <c r="P1353" t="s">
        <v>567</v>
      </c>
      <c r="S1353" t="s">
        <v>567</v>
      </c>
      <c r="T1353" t="s">
        <v>567</v>
      </c>
      <c r="Z1353" t="s">
        <v>568</v>
      </c>
      <c r="AA1353" t="s">
        <v>568</v>
      </c>
    </row>
    <row r="1354" spans="1:27">
      <c r="A1354" t="s">
        <v>3518</v>
      </c>
      <c r="B1354" t="s">
        <v>3519</v>
      </c>
      <c r="C1354" t="s">
        <v>3520</v>
      </c>
      <c r="D1354" t="s">
        <v>3521</v>
      </c>
      <c r="E1354" t="s">
        <v>3522</v>
      </c>
      <c r="F1354" t="s">
        <v>562</v>
      </c>
      <c r="G1354" t="s">
        <v>562</v>
      </c>
      <c r="H1354" t="s">
        <v>562</v>
      </c>
      <c r="I1354">
        <v>4524</v>
      </c>
      <c r="J1354" t="s">
        <v>564</v>
      </c>
      <c r="K1354" s="698">
        <v>45957.529166666667</v>
      </c>
      <c r="L1354" s="698">
        <v>45957.529166666667</v>
      </c>
      <c r="M1354" t="s">
        <v>565</v>
      </c>
      <c r="N1354" t="s">
        <v>565</v>
      </c>
      <c r="O1354" t="s">
        <v>566</v>
      </c>
      <c r="P1354" t="s">
        <v>567</v>
      </c>
      <c r="S1354" t="s">
        <v>567</v>
      </c>
      <c r="T1354" t="s">
        <v>567</v>
      </c>
      <c r="Z1354" t="s">
        <v>568</v>
      </c>
      <c r="AA1354" t="s">
        <v>568</v>
      </c>
    </row>
    <row r="1355" spans="1:27">
      <c r="A1355" t="s">
        <v>3523</v>
      </c>
      <c r="B1355" t="s">
        <v>708</v>
      </c>
      <c r="C1355" t="s">
        <v>3524</v>
      </c>
      <c r="D1355" t="s">
        <v>562</v>
      </c>
      <c r="E1355" t="s">
        <v>651</v>
      </c>
      <c r="F1355" t="s">
        <v>562</v>
      </c>
      <c r="G1355" t="s">
        <v>562</v>
      </c>
      <c r="H1355" t="s">
        <v>562</v>
      </c>
      <c r="I1355">
        <v>4208</v>
      </c>
      <c r="J1355" t="s">
        <v>564</v>
      </c>
      <c r="K1355" s="698">
        <v>45957.489583333336</v>
      </c>
      <c r="L1355" s="698">
        <v>45957.489583333336</v>
      </c>
      <c r="M1355" t="s">
        <v>565</v>
      </c>
      <c r="N1355" t="s">
        <v>565</v>
      </c>
      <c r="O1355" t="s">
        <v>566</v>
      </c>
      <c r="P1355" t="s">
        <v>567</v>
      </c>
      <c r="S1355" t="s">
        <v>567</v>
      </c>
      <c r="T1355" t="s">
        <v>567</v>
      </c>
      <c r="Z1355" t="s">
        <v>568</v>
      </c>
      <c r="AA1355" t="s">
        <v>568</v>
      </c>
    </row>
    <row r="1356" spans="1:27">
      <c r="A1356" t="s">
        <v>3523</v>
      </c>
      <c r="B1356" t="s">
        <v>3525</v>
      </c>
      <c r="C1356" t="s">
        <v>3526</v>
      </c>
      <c r="D1356" t="s">
        <v>562</v>
      </c>
      <c r="E1356" t="s">
        <v>3527</v>
      </c>
      <c r="F1356" t="s">
        <v>562</v>
      </c>
      <c r="G1356" t="s">
        <v>562</v>
      </c>
      <c r="H1356" t="s">
        <v>562</v>
      </c>
      <c r="I1356">
        <v>4441</v>
      </c>
      <c r="J1356" t="s">
        <v>564</v>
      </c>
      <c r="K1356" s="698">
        <v>45957.518750000003</v>
      </c>
      <c r="L1356" s="698">
        <v>45957.518750000003</v>
      </c>
      <c r="M1356" t="s">
        <v>565</v>
      </c>
      <c r="N1356" t="s">
        <v>565</v>
      </c>
      <c r="O1356" t="s">
        <v>566</v>
      </c>
      <c r="P1356" t="s">
        <v>567</v>
      </c>
      <c r="S1356" t="s">
        <v>567</v>
      </c>
      <c r="T1356" t="s">
        <v>567</v>
      </c>
      <c r="Z1356" t="s">
        <v>568</v>
      </c>
      <c r="AA1356" t="s">
        <v>568</v>
      </c>
    </row>
    <row r="1357" spans="1:27">
      <c r="A1357" t="s">
        <v>3528</v>
      </c>
      <c r="B1357" t="s">
        <v>3528</v>
      </c>
      <c r="C1357" t="s">
        <v>3529</v>
      </c>
      <c r="D1357" t="s">
        <v>562</v>
      </c>
      <c r="E1357" t="s">
        <v>3530</v>
      </c>
      <c r="F1357" t="s">
        <v>562</v>
      </c>
      <c r="G1357" t="s">
        <v>562</v>
      </c>
      <c r="H1357" t="s">
        <v>562</v>
      </c>
      <c r="I1357">
        <v>4999</v>
      </c>
      <c r="J1357" t="s">
        <v>564</v>
      </c>
      <c r="K1357" s="698">
        <v>45957.558333333334</v>
      </c>
      <c r="L1357" s="698">
        <v>45957.558333333334</v>
      </c>
      <c r="M1357" t="s">
        <v>565</v>
      </c>
      <c r="N1357" t="s">
        <v>565</v>
      </c>
      <c r="O1357" t="s">
        <v>566</v>
      </c>
      <c r="P1357" t="s">
        <v>567</v>
      </c>
      <c r="S1357" t="s">
        <v>567</v>
      </c>
      <c r="T1357" t="s">
        <v>567</v>
      </c>
      <c r="Z1357" t="s">
        <v>568</v>
      </c>
      <c r="AA1357" t="s">
        <v>568</v>
      </c>
    </row>
    <row r="1358" spans="1:27">
      <c r="A1358" t="s">
        <v>3531</v>
      </c>
      <c r="B1358" t="s">
        <v>3532</v>
      </c>
      <c r="C1358" t="s">
        <v>3533</v>
      </c>
      <c r="D1358" t="s">
        <v>562</v>
      </c>
      <c r="E1358" t="s">
        <v>1049</v>
      </c>
      <c r="F1358" t="s">
        <v>562</v>
      </c>
      <c r="G1358" t="s">
        <v>562</v>
      </c>
      <c r="H1358" t="s">
        <v>562</v>
      </c>
      <c r="I1358">
        <v>4654</v>
      </c>
      <c r="J1358" t="s">
        <v>564</v>
      </c>
      <c r="K1358" s="698">
        <v>45957.54791666667</v>
      </c>
      <c r="L1358" s="698">
        <v>45957.54791666667</v>
      </c>
      <c r="M1358" t="s">
        <v>565</v>
      </c>
      <c r="N1358" t="s">
        <v>565</v>
      </c>
      <c r="O1358" t="s">
        <v>566</v>
      </c>
      <c r="P1358" t="s">
        <v>567</v>
      </c>
      <c r="S1358" t="s">
        <v>567</v>
      </c>
      <c r="T1358" t="s">
        <v>567</v>
      </c>
      <c r="Z1358" t="s">
        <v>568</v>
      </c>
      <c r="AA1358" t="s">
        <v>568</v>
      </c>
    </row>
    <row r="1359" spans="1:27">
      <c r="A1359" t="s">
        <v>3534</v>
      </c>
      <c r="B1359" t="s">
        <v>3535</v>
      </c>
      <c r="C1359" t="s">
        <v>3536</v>
      </c>
      <c r="D1359" t="s">
        <v>3537</v>
      </c>
      <c r="E1359" t="s">
        <v>3538</v>
      </c>
      <c r="F1359" t="s">
        <v>562</v>
      </c>
      <c r="G1359" t="s">
        <v>562</v>
      </c>
      <c r="H1359" t="s">
        <v>562</v>
      </c>
      <c r="I1359">
        <v>4523</v>
      </c>
      <c r="J1359" t="s">
        <v>564</v>
      </c>
      <c r="K1359" s="698">
        <v>45957.529166666667</v>
      </c>
      <c r="L1359" s="698">
        <v>45957.529166666667</v>
      </c>
      <c r="M1359" t="s">
        <v>565</v>
      </c>
      <c r="N1359" t="s">
        <v>565</v>
      </c>
      <c r="O1359" t="s">
        <v>566</v>
      </c>
      <c r="P1359" t="s">
        <v>567</v>
      </c>
      <c r="S1359" t="s">
        <v>567</v>
      </c>
      <c r="T1359" t="s">
        <v>567</v>
      </c>
      <c r="Z1359" t="s">
        <v>568</v>
      </c>
      <c r="AA1359" t="s">
        <v>568</v>
      </c>
    </row>
    <row r="1360" spans="1:27">
      <c r="A1360" t="s">
        <v>3539</v>
      </c>
      <c r="B1360" t="s">
        <v>3540</v>
      </c>
      <c r="C1360" t="s">
        <v>3541</v>
      </c>
      <c r="D1360" t="s">
        <v>562</v>
      </c>
      <c r="E1360" t="s">
        <v>3542</v>
      </c>
      <c r="F1360" t="s">
        <v>562</v>
      </c>
      <c r="G1360" t="s">
        <v>562</v>
      </c>
      <c r="H1360" t="s">
        <v>562</v>
      </c>
      <c r="I1360">
        <v>4892</v>
      </c>
      <c r="J1360" t="s">
        <v>564</v>
      </c>
      <c r="K1360" s="698">
        <v>45957.554861111108</v>
      </c>
      <c r="L1360" s="698">
        <v>45957.554861111108</v>
      </c>
      <c r="M1360" t="s">
        <v>565</v>
      </c>
      <c r="N1360" t="s">
        <v>565</v>
      </c>
      <c r="O1360" t="s">
        <v>566</v>
      </c>
      <c r="P1360" t="s">
        <v>567</v>
      </c>
      <c r="S1360" t="s">
        <v>567</v>
      </c>
      <c r="T1360" t="s">
        <v>567</v>
      </c>
      <c r="Z1360" t="s">
        <v>568</v>
      </c>
      <c r="AA1360" t="s">
        <v>568</v>
      </c>
    </row>
    <row r="1361" spans="1:27">
      <c r="A1361" t="s">
        <v>3543</v>
      </c>
      <c r="B1361" t="s">
        <v>562</v>
      </c>
      <c r="C1361" t="s">
        <v>562</v>
      </c>
      <c r="D1361" t="s">
        <v>3544</v>
      </c>
      <c r="E1361" t="s">
        <v>3545</v>
      </c>
      <c r="F1361" t="s">
        <v>562</v>
      </c>
      <c r="G1361" t="s">
        <v>562</v>
      </c>
      <c r="H1361" t="s">
        <v>562</v>
      </c>
      <c r="I1361">
        <v>5030</v>
      </c>
      <c r="J1361" t="s">
        <v>564</v>
      </c>
      <c r="K1361" s="698">
        <v>45957.559027777781</v>
      </c>
      <c r="L1361" s="698">
        <v>45957.559027777781</v>
      </c>
      <c r="M1361" t="s">
        <v>565</v>
      </c>
      <c r="N1361" t="s">
        <v>565</v>
      </c>
      <c r="O1361" t="s">
        <v>566</v>
      </c>
      <c r="P1361" t="s">
        <v>567</v>
      </c>
      <c r="S1361" t="s">
        <v>567</v>
      </c>
      <c r="T1361" t="s">
        <v>567</v>
      </c>
      <c r="Z1361" t="s">
        <v>568</v>
      </c>
      <c r="AA1361" t="s">
        <v>568</v>
      </c>
    </row>
    <row r="1362" spans="1:27">
      <c r="A1362" t="s">
        <v>3546</v>
      </c>
      <c r="B1362" t="s">
        <v>2306</v>
      </c>
      <c r="C1362" t="s">
        <v>3547</v>
      </c>
      <c r="D1362" t="s">
        <v>562</v>
      </c>
      <c r="E1362" t="s">
        <v>3548</v>
      </c>
      <c r="F1362" t="s">
        <v>562</v>
      </c>
      <c r="G1362" t="s">
        <v>562</v>
      </c>
      <c r="H1362" t="s">
        <v>562</v>
      </c>
      <c r="I1362">
        <v>4991</v>
      </c>
      <c r="J1362" t="s">
        <v>564</v>
      </c>
      <c r="K1362" s="698">
        <v>45957.558333333334</v>
      </c>
      <c r="L1362" s="698">
        <v>45957.558333333334</v>
      </c>
      <c r="M1362" t="s">
        <v>565</v>
      </c>
      <c r="N1362" t="s">
        <v>565</v>
      </c>
      <c r="O1362" t="s">
        <v>566</v>
      </c>
      <c r="P1362" t="s">
        <v>567</v>
      </c>
      <c r="S1362" t="s">
        <v>567</v>
      </c>
      <c r="T1362" t="s">
        <v>567</v>
      </c>
      <c r="Z1362" t="s">
        <v>568</v>
      </c>
      <c r="AA1362" t="s">
        <v>568</v>
      </c>
    </row>
    <row r="1363" spans="1:27">
      <c r="A1363" t="s">
        <v>3549</v>
      </c>
      <c r="B1363" t="s">
        <v>3550</v>
      </c>
      <c r="C1363" t="s">
        <v>3551</v>
      </c>
      <c r="D1363" t="s">
        <v>562</v>
      </c>
      <c r="E1363" t="s">
        <v>3552</v>
      </c>
      <c r="F1363" t="s">
        <v>562</v>
      </c>
      <c r="G1363" t="s">
        <v>562</v>
      </c>
      <c r="H1363" t="s">
        <v>562</v>
      </c>
      <c r="I1363">
        <v>5014</v>
      </c>
      <c r="J1363" t="s">
        <v>564</v>
      </c>
      <c r="K1363" s="698">
        <v>45957.559027777781</v>
      </c>
      <c r="L1363" s="698">
        <v>45957.559027777781</v>
      </c>
      <c r="M1363" t="s">
        <v>565</v>
      </c>
      <c r="N1363" t="s">
        <v>565</v>
      </c>
      <c r="O1363" t="s">
        <v>566</v>
      </c>
      <c r="P1363" t="s">
        <v>567</v>
      </c>
      <c r="S1363" t="s">
        <v>567</v>
      </c>
      <c r="T1363" t="s">
        <v>567</v>
      </c>
      <c r="Z1363" t="s">
        <v>568</v>
      </c>
      <c r="AA1363" t="s">
        <v>568</v>
      </c>
    </row>
    <row r="1364" spans="1:27">
      <c r="A1364" t="s">
        <v>3553</v>
      </c>
      <c r="B1364" t="s">
        <v>3554</v>
      </c>
      <c r="C1364" t="s">
        <v>562</v>
      </c>
      <c r="D1364" t="s">
        <v>562</v>
      </c>
      <c r="E1364" t="s">
        <v>3555</v>
      </c>
      <c r="F1364" t="s">
        <v>562</v>
      </c>
      <c r="G1364" t="s">
        <v>562</v>
      </c>
      <c r="H1364" t="s">
        <v>562</v>
      </c>
      <c r="I1364">
        <v>3664</v>
      </c>
      <c r="J1364" t="s">
        <v>564</v>
      </c>
      <c r="K1364" s="698">
        <v>45957.427083333336</v>
      </c>
      <c r="L1364" s="698">
        <v>45957.427083333336</v>
      </c>
      <c r="M1364" t="s">
        <v>565</v>
      </c>
      <c r="N1364" t="s">
        <v>565</v>
      </c>
      <c r="O1364" t="s">
        <v>566</v>
      </c>
      <c r="P1364" t="s">
        <v>567</v>
      </c>
      <c r="S1364" t="s">
        <v>567</v>
      </c>
      <c r="T1364" t="s">
        <v>567</v>
      </c>
      <c r="Z1364" t="s">
        <v>568</v>
      </c>
      <c r="AA1364" t="s">
        <v>568</v>
      </c>
    </row>
    <row r="1365" spans="1:27">
      <c r="A1365" t="s">
        <v>3553</v>
      </c>
      <c r="B1365" t="s">
        <v>3556</v>
      </c>
      <c r="C1365" t="s">
        <v>3557</v>
      </c>
      <c r="D1365" t="s">
        <v>562</v>
      </c>
      <c r="E1365" t="s">
        <v>3558</v>
      </c>
      <c r="F1365" t="s">
        <v>562</v>
      </c>
      <c r="G1365" t="s">
        <v>562</v>
      </c>
      <c r="H1365" t="s">
        <v>562</v>
      </c>
      <c r="I1365">
        <v>4815</v>
      </c>
      <c r="J1365" t="s">
        <v>564</v>
      </c>
      <c r="K1365" s="698">
        <v>45957.552777777775</v>
      </c>
      <c r="L1365" s="698">
        <v>45957.552777777775</v>
      </c>
      <c r="M1365" t="s">
        <v>565</v>
      </c>
      <c r="N1365" t="s">
        <v>565</v>
      </c>
      <c r="O1365" t="s">
        <v>566</v>
      </c>
      <c r="P1365" t="s">
        <v>567</v>
      </c>
      <c r="S1365" t="s">
        <v>567</v>
      </c>
      <c r="T1365" t="s">
        <v>567</v>
      </c>
      <c r="Z1365" t="s">
        <v>568</v>
      </c>
      <c r="AA1365" t="s">
        <v>568</v>
      </c>
    </row>
    <row r="1366" spans="1:27">
      <c r="A1366" t="s">
        <v>3553</v>
      </c>
      <c r="B1366" t="s">
        <v>3559</v>
      </c>
      <c r="C1366" t="s">
        <v>562</v>
      </c>
      <c r="D1366" t="s">
        <v>562</v>
      </c>
      <c r="E1366" t="s">
        <v>3560</v>
      </c>
      <c r="F1366" t="s">
        <v>562</v>
      </c>
      <c r="G1366" t="s">
        <v>562</v>
      </c>
      <c r="H1366" t="s">
        <v>562</v>
      </c>
      <c r="I1366">
        <v>4877</v>
      </c>
      <c r="J1366" t="s">
        <v>564</v>
      </c>
      <c r="K1366" s="698">
        <v>45957.554861111108</v>
      </c>
      <c r="L1366" s="698">
        <v>45957.554861111108</v>
      </c>
      <c r="M1366" t="s">
        <v>565</v>
      </c>
      <c r="N1366" t="s">
        <v>565</v>
      </c>
      <c r="O1366" t="s">
        <v>566</v>
      </c>
      <c r="P1366" t="s">
        <v>567</v>
      </c>
      <c r="S1366" t="s">
        <v>567</v>
      </c>
      <c r="T1366" t="s">
        <v>567</v>
      </c>
      <c r="Z1366" t="s">
        <v>568</v>
      </c>
      <c r="AA1366" t="s">
        <v>568</v>
      </c>
    </row>
    <row r="1367" spans="1:27">
      <c r="A1367" t="s">
        <v>3553</v>
      </c>
      <c r="B1367" t="s">
        <v>3554</v>
      </c>
      <c r="C1367" t="s">
        <v>562</v>
      </c>
      <c r="D1367" t="s">
        <v>562</v>
      </c>
      <c r="E1367" t="s">
        <v>2352</v>
      </c>
      <c r="F1367" t="s">
        <v>562</v>
      </c>
      <c r="G1367" t="s">
        <v>562</v>
      </c>
      <c r="H1367" t="s">
        <v>562</v>
      </c>
      <c r="I1367">
        <v>4922</v>
      </c>
      <c r="J1367" t="s">
        <v>564</v>
      </c>
      <c r="K1367" s="698">
        <v>45957.556250000001</v>
      </c>
      <c r="L1367" s="698">
        <v>45957.556250000001</v>
      </c>
      <c r="M1367" t="s">
        <v>565</v>
      </c>
      <c r="N1367" t="s">
        <v>565</v>
      </c>
      <c r="O1367" t="s">
        <v>566</v>
      </c>
      <c r="P1367" t="s">
        <v>567</v>
      </c>
      <c r="S1367" t="s">
        <v>567</v>
      </c>
      <c r="T1367" t="s">
        <v>567</v>
      </c>
      <c r="Z1367" t="s">
        <v>568</v>
      </c>
      <c r="AA1367" t="s">
        <v>568</v>
      </c>
    </row>
    <row r="1368" spans="1:27">
      <c r="A1368" t="s">
        <v>3553</v>
      </c>
      <c r="B1368" t="s">
        <v>3554</v>
      </c>
      <c r="C1368" t="s">
        <v>562</v>
      </c>
      <c r="D1368" t="s">
        <v>562</v>
      </c>
      <c r="E1368" t="s">
        <v>3120</v>
      </c>
      <c r="F1368" t="s">
        <v>562</v>
      </c>
      <c r="G1368" t="s">
        <v>562</v>
      </c>
      <c r="H1368" t="s">
        <v>562</v>
      </c>
      <c r="I1368">
        <v>4923</v>
      </c>
      <c r="J1368" t="s">
        <v>564</v>
      </c>
      <c r="K1368" s="698">
        <v>45957.556250000001</v>
      </c>
      <c r="L1368" s="698">
        <v>45957.556250000001</v>
      </c>
      <c r="M1368" t="s">
        <v>565</v>
      </c>
      <c r="N1368" t="s">
        <v>565</v>
      </c>
      <c r="O1368" t="s">
        <v>566</v>
      </c>
      <c r="P1368" t="s">
        <v>567</v>
      </c>
      <c r="S1368" t="s">
        <v>567</v>
      </c>
      <c r="T1368" t="s">
        <v>567</v>
      </c>
      <c r="Z1368" t="s">
        <v>568</v>
      </c>
      <c r="AA1368" t="s">
        <v>568</v>
      </c>
    </row>
    <row r="1369" spans="1:27">
      <c r="A1369" t="s">
        <v>3553</v>
      </c>
      <c r="B1369" t="s">
        <v>3554</v>
      </c>
      <c r="C1369" t="s">
        <v>562</v>
      </c>
      <c r="D1369" t="s">
        <v>562</v>
      </c>
      <c r="E1369" t="s">
        <v>3561</v>
      </c>
      <c r="F1369" t="s">
        <v>562</v>
      </c>
      <c r="G1369" t="s">
        <v>562</v>
      </c>
      <c r="H1369" t="s">
        <v>562</v>
      </c>
      <c r="I1369">
        <v>4935</v>
      </c>
      <c r="J1369" t="s">
        <v>564</v>
      </c>
      <c r="K1369" s="698">
        <v>45957.556250000001</v>
      </c>
      <c r="L1369" s="698">
        <v>45957.556250000001</v>
      </c>
      <c r="M1369" t="s">
        <v>565</v>
      </c>
      <c r="N1369" t="s">
        <v>565</v>
      </c>
      <c r="O1369" t="s">
        <v>566</v>
      </c>
      <c r="P1369" t="s">
        <v>567</v>
      </c>
      <c r="S1369" t="s">
        <v>567</v>
      </c>
      <c r="T1369" t="s">
        <v>567</v>
      </c>
      <c r="Z1369" t="s">
        <v>568</v>
      </c>
      <c r="AA1369" t="s">
        <v>568</v>
      </c>
    </row>
    <row r="1370" spans="1:27">
      <c r="A1370" t="s">
        <v>3553</v>
      </c>
      <c r="B1370" t="s">
        <v>3554</v>
      </c>
      <c r="C1370" t="s">
        <v>562</v>
      </c>
      <c r="D1370" t="s">
        <v>562</v>
      </c>
      <c r="E1370" t="s">
        <v>3562</v>
      </c>
      <c r="F1370" t="s">
        <v>562</v>
      </c>
      <c r="G1370" t="s">
        <v>562</v>
      </c>
      <c r="H1370" t="s">
        <v>562</v>
      </c>
      <c r="I1370">
        <v>4941</v>
      </c>
      <c r="J1370" t="s">
        <v>564</v>
      </c>
      <c r="K1370" s="698">
        <v>45957.556944444441</v>
      </c>
      <c r="L1370" s="698">
        <v>45957.556944444441</v>
      </c>
      <c r="M1370" t="s">
        <v>565</v>
      </c>
      <c r="N1370" t="s">
        <v>565</v>
      </c>
      <c r="O1370" t="s">
        <v>566</v>
      </c>
      <c r="P1370" t="s">
        <v>567</v>
      </c>
      <c r="S1370" t="s">
        <v>567</v>
      </c>
      <c r="T1370" t="s">
        <v>567</v>
      </c>
      <c r="Z1370" t="s">
        <v>568</v>
      </c>
      <c r="AA1370" t="s">
        <v>568</v>
      </c>
    </row>
    <row r="1371" spans="1:27">
      <c r="A1371" t="s">
        <v>3553</v>
      </c>
      <c r="B1371" t="s">
        <v>3563</v>
      </c>
      <c r="C1371" t="s">
        <v>562</v>
      </c>
      <c r="D1371" t="s">
        <v>562</v>
      </c>
      <c r="E1371" t="s">
        <v>3564</v>
      </c>
      <c r="F1371" t="s">
        <v>562</v>
      </c>
      <c r="G1371" t="s">
        <v>562</v>
      </c>
      <c r="H1371" t="s">
        <v>562</v>
      </c>
      <c r="I1371">
        <v>5001</v>
      </c>
      <c r="J1371" t="s">
        <v>564</v>
      </c>
      <c r="K1371" s="698">
        <v>45957.558333333334</v>
      </c>
      <c r="L1371" s="698">
        <v>45957.558333333334</v>
      </c>
      <c r="M1371" t="s">
        <v>565</v>
      </c>
      <c r="N1371" t="s">
        <v>565</v>
      </c>
      <c r="O1371" t="s">
        <v>566</v>
      </c>
      <c r="P1371" t="s">
        <v>567</v>
      </c>
      <c r="S1371" t="s">
        <v>567</v>
      </c>
      <c r="T1371" t="s">
        <v>567</v>
      </c>
      <c r="Z1371" t="s">
        <v>568</v>
      </c>
      <c r="AA1371" t="s">
        <v>568</v>
      </c>
    </row>
    <row r="1372" spans="1:27">
      <c r="A1372" t="s">
        <v>3553</v>
      </c>
      <c r="B1372" t="s">
        <v>3565</v>
      </c>
      <c r="C1372" t="s">
        <v>3566</v>
      </c>
      <c r="D1372" t="s">
        <v>562</v>
      </c>
      <c r="E1372" t="s">
        <v>3567</v>
      </c>
      <c r="F1372" t="s">
        <v>562</v>
      </c>
      <c r="G1372" t="s">
        <v>562</v>
      </c>
      <c r="H1372" t="s">
        <v>562</v>
      </c>
      <c r="I1372">
        <v>5006</v>
      </c>
      <c r="J1372" t="s">
        <v>564</v>
      </c>
      <c r="K1372" s="698">
        <v>45957.558333333334</v>
      </c>
      <c r="L1372" s="698">
        <v>45957.558333333334</v>
      </c>
      <c r="M1372" t="s">
        <v>565</v>
      </c>
      <c r="N1372" t="s">
        <v>565</v>
      </c>
      <c r="O1372" t="s">
        <v>566</v>
      </c>
      <c r="P1372" t="s">
        <v>567</v>
      </c>
      <c r="S1372" t="s">
        <v>567</v>
      </c>
      <c r="T1372" t="s">
        <v>567</v>
      </c>
      <c r="Z1372" t="s">
        <v>568</v>
      </c>
      <c r="AA1372" t="s">
        <v>568</v>
      </c>
    </row>
    <row r="1373" spans="1:27">
      <c r="A1373" t="s">
        <v>3553</v>
      </c>
      <c r="B1373" t="s">
        <v>3568</v>
      </c>
      <c r="C1373" t="s">
        <v>3569</v>
      </c>
      <c r="D1373" t="s">
        <v>562</v>
      </c>
      <c r="E1373" t="s">
        <v>3570</v>
      </c>
      <c r="F1373" t="s">
        <v>562</v>
      </c>
      <c r="G1373" t="s">
        <v>562</v>
      </c>
      <c r="H1373" t="s">
        <v>562</v>
      </c>
      <c r="I1373">
        <v>5128</v>
      </c>
      <c r="J1373" t="s">
        <v>564</v>
      </c>
      <c r="K1373" s="698">
        <v>45957.5625</v>
      </c>
      <c r="L1373" s="698">
        <v>45957.5625</v>
      </c>
      <c r="M1373" t="s">
        <v>565</v>
      </c>
      <c r="N1373" t="s">
        <v>565</v>
      </c>
      <c r="O1373" t="s">
        <v>566</v>
      </c>
      <c r="P1373" t="s">
        <v>567</v>
      </c>
      <c r="S1373" t="s">
        <v>567</v>
      </c>
      <c r="T1373" t="s">
        <v>567</v>
      </c>
      <c r="Z1373" t="s">
        <v>568</v>
      </c>
      <c r="AA1373" t="s">
        <v>568</v>
      </c>
    </row>
    <row r="1374" spans="1:27">
      <c r="A1374" t="s">
        <v>3553</v>
      </c>
      <c r="B1374" t="s">
        <v>3571</v>
      </c>
      <c r="C1374" t="s">
        <v>3572</v>
      </c>
      <c r="D1374" t="s">
        <v>562</v>
      </c>
      <c r="E1374" t="s">
        <v>3573</v>
      </c>
      <c r="F1374" t="s">
        <v>562</v>
      </c>
      <c r="G1374" t="s">
        <v>562</v>
      </c>
      <c r="H1374" t="s">
        <v>562</v>
      </c>
      <c r="I1374">
        <v>5145</v>
      </c>
      <c r="J1374" t="s">
        <v>564</v>
      </c>
      <c r="K1374" s="698">
        <v>45957.5625</v>
      </c>
      <c r="L1374" s="698">
        <v>45957.5625</v>
      </c>
      <c r="M1374" t="s">
        <v>565</v>
      </c>
      <c r="N1374" t="s">
        <v>565</v>
      </c>
      <c r="O1374" t="s">
        <v>566</v>
      </c>
      <c r="P1374" t="s">
        <v>567</v>
      </c>
      <c r="S1374" t="s">
        <v>567</v>
      </c>
      <c r="T1374" t="s">
        <v>567</v>
      </c>
      <c r="Z1374" t="s">
        <v>568</v>
      </c>
      <c r="AA1374" t="s">
        <v>568</v>
      </c>
    </row>
    <row r="1375" spans="1:27">
      <c r="A1375" t="s">
        <v>3553</v>
      </c>
      <c r="B1375" t="s">
        <v>3554</v>
      </c>
      <c r="C1375" t="s">
        <v>562</v>
      </c>
      <c r="D1375" t="s">
        <v>562</v>
      </c>
      <c r="E1375" t="s">
        <v>3574</v>
      </c>
      <c r="F1375" t="s">
        <v>562</v>
      </c>
      <c r="G1375" t="s">
        <v>562</v>
      </c>
      <c r="H1375" t="s">
        <v>562</v>
      </c>
      <c r="I1375">
        <v>5169</v>
      </c>
      <c r="J1375" t="s">
        <v>564</v>
      </c>
      <c r="K1375" s="698">
        <v>45957.563194444447</v>
      </c>
      <c r="L1375" s="698">
        <v>45957.563194444447</v>
      </c>
      <c r="M1375" t="s">
        <v>565</v>
      </c>
      <c r="N1375" t="s">
        <v>565</v>
      </c>
      <c r="O1375" t="s">
        <v>566</v>
      </c>
      <c r="P1375" t="s">
        <v>567</v>
      </c>
      <c r="S1375" t="s">
        <v>567</v>
      </c>
      <c r="T1375" t="s">
        <v>567</v>
      </c>
      <c r="Z1375" t="s">
        <v>568</v>
      </c>
      <c r="AA1375" t="s">
        <v>568</v>
      </c>
    </row>
    <row r="1376" spans="1:27">
      <c r="A1376" t="s">
        <v>3553</v>
      </c>
      <c r="B1376" t="s">
        <v>562</v>
      </c>
      <c r="C1376" t="s">
        <v>562</v>
      </c>
      <c r="D1376" t="s">
        <v>3575</v>
      </c>
      <c r="E1376" t="s">
        <v>3576</v>
      </c>
      <c r="F1376" t="s">
        <v>562</v>
      </c>
      <c r="G1376" t="s">
        <v>562</v>
      </c>
      <c r="H1376" t="s">
        <v>562</v>
      </c>
      <c r="I1376">
        <v>5219</v>
      </c>
      <c r="J1376" t="s">
        <v>564</v>
      </c>
      <c r="K1376" s="698">
        <v>45957.564583333333</v>
      </c>
      <c r="L1376" s="698">
        <v>45957.564583333333</v>
      </c>
      <c r="M1376" t="s">
        <v>565</v>
      </c>
      <c r="N1376" t="s">
        <v>565</v>
      </c>
      <c r="O1376" t="s">
        <v>566</v>
      </c>
      <c r="P1376" t="s">
        <v>567</v>
      </c>
      <c r="S1376" t="s">
        <v>567</v>
      </c>
      <c r="T1376" t="s">
        <v>567</v>
      </c>
      <c r="Z1376" t="s">
        <v>568</v>
      </c>
      <c r="AA1376" t="s">
        <v>568</v>
      </c>
    </row>
    <row r="1377" spans="1:27">
      <c r="A1377" t="s">
        <v>3577</v>
      </c>
      <c r="B1377" t="s">
        <v>562</v>
      </c>
      <c r="C1377" t="s">
        <v>3578</v>
      </c>
      <c r="D1377" t="s">
        <v>3579</v>
      </c>
      <c r="E1377" t="s">
        <v>562</v>
      </c>
      <c r="F1377" t="s">
        <v>562</v>
      </c>
      <c r="G1377" t="s">
        <v>562</v>
      </c>
      <c r="H1377" t="s">
        <v>562</v>
      </c>
      <c r="I1377">
        <v>3561</v>
      </c>
      <c r="J1377" t="s">
        <v>564</v>
      </c>
      <c r="K1377" s="698">
        <v>45957.415972222225</v>
      </c>
      <c r="L1377" s="698">
        <v>45957.415972222225</v>
      </c>
      <c r="M1377" t="s">
        <v>565</v>
      </c>
      <c r="N1377" t="s">
        <v>565</v>
      </c>
      <c r="O1377" t="s">
        <v>566</v>
      </c>
      <c r="P1377" t="s">
        <v>567</v>
      </c>
      <c r="S1377" t="s">
        <v>567</v>
      </c>
      <c r="T1377" t="s">
        <v>567</v>
      </c>
      <c r="Z1377" t="s">
        <v>568</v>
      </c>
      <c r="AA1377" t="s">
        <v>568</v>
      </c>
    </row>
    <row r="1378" spans="1:27">
      <c r="A1378" t="s">
        <v>3577</v>
      </c>
      <c r="B1378" t="s">
        <v>3295</v>
      </c>
      <c r="C1378" t="s">
        <v>3580</v>
      </c>
      <c r="D1378" t="s">
        <v>3579</v>
      </c>
      <c r="E1378" t="s">
        <v>3581</v>
      </c>
      <c r="F1378" t="s">
        <v>562</v>
      </c>
      <c r="G1378" t="s">
        <v>562</v>
      </c>
      <c r="H1378" t="s">
        <v>562</v>
      </c>
      <c r="I1378">
        <v>3671</v>
      </c>
      <c r="J1378" t="s">
        <v>564</v>
      </c>
      <c r="K1378" s="698">
        <v>45957.427777777775</v>
      </c>
      <c r="L1378" s="698">
        <v>45957.427777777775</v>
      </c>
      <c r="M1378" t="s">
        <v>565</v>
      </c>
      <c r="N1378" t="s">
        <v>565</v>
      </c>
      <c r="O1378" t="s">
        <v>566</v>
      </c>
      <c r="P1378" t="s">
        <v>567</v>
      </c>
      <c r="S1378" t="s">
        <v>567</v>
      </c>
      <c r="T1378" t="s">
        <v>567</v>
      </c>
      <c r="Z1378" t="s">
        <v>568</v>
      </c>
      <c r="AA1378" t="s">
        <v>568</v>
      </c>
    </row>
    <row r="1379" spans="1:27">
      <c r="A1379" t="s">
        <v>3577</v>
      </c>
      <c r="B1379" t="s">
        <v>562</v>
      </c>
      <c r="C1379" t="s">
        <v>562</v>
      </c>
      <c r="D1379" t="s">
        <v>3579</v>
      </c>
      <c r="E1379" t="s">
        <v>3582</v>
      </c>
      <c r="F1379" t="s">
        <v>562</v>
      </c>
      <c r="G1379" t="s">
        <v>562</v>
      </c>
      <c r="H1379" t="s">
        <v>562</v>
      </c>
      <c r="I1379">
        <v>3690</v>
      </c>
      <c r="J1379" t="s">
        <v>564</v>
      </c>
      <c r="K1379" s="698">
        <v>45957.429861111108</v>
      </c>
      <c r="L1379" s="698">
        <v>45957.429861111108</v>
      </c>
      <c r="M1379" t="s">
        <v>565</v>
      </c>
      <c r="N1379" t="s">
        <v>565</v>
      </c>
      <c r="O1379" t="s">
        <v>566</v>
      </c>
      <c r="P1379" t="s">
        <v>567</v>
      </c>
      <c r="S1379" t="s">
        <v>567</v>
      </c>
      <c r="T1379" t="s">
        <v>567</v>
      </c>
      <c r="Z1379" t="s">
        <v>568</v>
      </c>
      <c r="AA1379" t="s">
        <v>568</v>
      </c>
    </row>
    <row r="1380" spans="1:27">
      <c r="A1380" t="s">
        <v>3577</v>
      </c>
      <c r="B1380" t="s">
        <v>3583</v>
      </c>
      <c r="C1380" t="s">
        <v>3580</v>
      </c>
      <c r="D1380" t="s">
        <v>3579</v>
      </c>
      <c r="E1380" t="s">
        <v>3584</v>
      </c>
      <c r="F1380" t="s">
        <v>562</v>
      </c>
      <c r="G1380" t="s">
        <v>562</v>
      </c>
      <c r="H1380" t="s">
        <v>562</v>
      </c>
      <c r="I1380">
        <v>3730</v>
      </c>
      <c r="J1380" t="s">
        <v>564</v>
      </c>
      <c r="K1380" s="698">
        <v>45957.434027777781</v>
      </c>
      <c r="L1380" s="698">
        <v>45957.434027777781</v>
      </c>
      <c r="M1380" t="s">
        <v>565</v>
      </c>
      <c r="N1380" t="s">
        <v>565</v>
      </c>
      <c r="O1380" t="s">
        <v>566</v>
      </c>
      <c r="P1380" t="s">
        <v>567</v>
      </c>
      <c r="S1380" t="s">
        <v>567</v>
      </c>
      <c r="T1380" t="s">
        <v>567</v>
      </c>
      <c r="Z1380" t="s">
        <v>568</v>
      </c>
      <c r="AA1380" t="s">
        <v>568</v>
      </c>
    </row>
    <row r="1381" spans="1:27">
      <c r="A1381" t="s">
        <v>3577</v>
      </c>
      <c r="B1381" t="s">
        <v>3585</v>
      </c>
      <c r="C1381" t="s">
        <v>3586</v>
      </c>
      <c r="D1381" t="s">
        <v>3579</v>
      </c>
      <c r="E1381" t="s">
        <v>3587</v>
      </c>
      <c r="F1381" t="s">
        <v>562</v>
      </c>
      <c r="G1381" t="s">
        <v>562</v>
      </c>
      <c r="H1381" t="s">
        <v>562</v>
      </c>
      <c r="I1381">
        <v>4007</v>
      </c>
      <c r="J1381" t="s">
        <v>564</v>
      </c>
      <c r="K1381" s="698">
        <v>45957.465277777781</v>
      </c>
      <c r="L1381" s="698">
        <v>45957.465277777781</v>
      </c>
      <c r="M1381" t="s">
        <v>565</v>
      </c>
      <c r="N1381" t="s">
        <v>565</v>
      </c>
      <c r="O1381" t="s">
        <v>566</v>
      </c>
      <c r="P1381" t="s">
        <v>567</v>
      </c>
      <c r="S1381" t="s">
        <v>567</v>
      </c>
      <c r="T1381" t="s">
        <v>567</v>
      </c>
      <c r="Z1381" t="s">
        <v>568</v>
      </c>
      <c r="AA1381" t="s">
        <v>568</v>
      </c>
    </row>
    <row r="1382" spans="1:27">
      <c r="A1382" t="s">
        <v>3577</v>
      </c>
      <c r="B1382" t="s">
        <v>3588</v>
      </c>
      <c r="C1382" t="s">
        <v>3589</v>
      </c>
      <c r="D1382" t="s">
        <v>3579</v>
      </c>
      <c r="E1382" t="s">
        <v>3590</v>
      </c>
      <c r="F1382" t="s">
        <v>562</v>
      </c>
      <c r="G1382" t="s">
        <v>562</v>
      </c>
      <c r="H1382" t="s">
        <v>562</v>
      </c>
      <c r="I1382">
        <v>4274</v>
      </c>
      <c r="J1382" t="s">
        <v>564</v>
      </c>
      <c r="K1382" s="698">
        <v>45957.497916666667</v>
      </c>
      <c r="L1382" s="698">
        <v>45957.497916666667</v>
      </c>
      <c r="M1382" t="s">
        <v>565</v>
      </c>
      <c r="N1382" t="s">
        <v>565</v>
      </c>
      <c r="O1382" t="s">
        <v>566</v>
      </c>
      <c r="P1382" t="s">
        <v>567</v>
      </c>
      <c r="S1382" t="s">
        <v>567</v>
      </c>
      <c r="T1382" t="s">
        <v>567</v>
      </c>
      <c r="Z1382" t="s">
        <v>568</v>
      </c>
      <c r="AA1382" t="s">
        <v>568</v>
      </c>
    </row>
    <row r="1383" spans="1:27">
      <c r="A1383" t="s">
        <v>3577</v>
      </c>
      <c r="B1383" t="s">
        <v>3588</v>
      </c>
      <c r="C1383" t="s">
        <v>3589</v>
      </c>
      <c r="D1383" t="s">
        <v>3579</v>
      </c>
      <c r="E1383" t="s">
        <v>3591</v>
      </c>
      <c r="F1383" t="s">
        <v>562</v>
      </c>
      <c r="G1383" t="s">
        <v>562</v>
      </c>
      <c r="H1383" t="s">
        <v>562</v>
      </c>
      <c r="I1383">
        <v>4275</v>
      </c>
      <c r="J1383" t="s">
        <v>564</v>
      </c>
      <c r="K1383" s="698">
        <v>45957.497916666667</v>
      </c>
      <c r="L1383" s="698">
        <v>45957.497916666667</v>
      </c>
      <c r="M1383" t="s">
        <v>565</v>
      </c>
      <c r="N1383" t="s">
        <v>565</v>
      </c>
      <c r="O1383" t="s">
        <v>566</v>
      </c>
      <c r="P1383" t="s">
        <v>567</v>
      </c>
      <c r="S1383" t="s">
        <v>567</v>
      </c>
      <c r="T1383" t="s">
        <v>567</v>
      </c>
      <c r="Z1383" t="s">
        <v>568</v>
      </c>
      <c r="AA1383" t="s">
        <v>568</v>
      </c>
    </row>
    <row r="1384" spans="1:27">
      <c r="A1384" t="s">
        <v>3577</v>
      </c>
      <c r="B1384" t="s">
        <v>3588</v>
      </c>
      <c r="C1384" t="s">
        <v>3589</v>
      </c>
      <c r="D1384" t="s">
        <v>3579</v>
      </c>
      <c r="E1384" t="s">
        <v>3592</v>
      </c>
      <c r="F1384" t="s">
        <v>562</v>
      </c>
      <c r="G1384" t="s">
        <v>562</v>
      </c>
      <c r="H1384" t="s">
        <v>562</v>
      </c>
      <c r="I1384">
        <v>4276</v>
      </c>
      <c r="J1384" t="s">
        <v>564</v>
      </c>
      <c r="K1384" s="698">
        <v>45957.497916666667</v>
      </c>
      <c r="L1384" s="698">
        <v>45957.497916666667</v>
      </c>
      <c r="M1384" t="s">
        <v>565</v>
      </c>
      <c r="N1384" t="s">
        <v>565</v>
      </c>
      <c r="O1384" t="s">
        <v>566</v>
      </c>
      <c r="P1384" t="s">
        <v>567</v>
      </c>
      <c r="S1384" t="s">
        <v>567</v>
      </c>
      <c r="T1384" t="s">
        <v>567</v>
      </c>
      <c r="Z1384" t="s">
        <v>568</v>
      </c>
      <c r="AA1384" t="s">
        <v>568</v>
      </c>
    </row>
    <row r="1385" spans="1:27">
      <c r="A1385" t="s">
        <v>3577</v>
      </c>
      <c r="B1385" t="s">
        <v>562</v>
      </c>
      <c r="C1385" t="s">
        <v>562</v>
      </c>
      <c r="D1385" t="s">
        <v>3579</v>
      </c>
      <c r="E1385" t="s">
        <v>3593</v>
      </c>
      <c r="F1385" t="s">
        <v>562</v>
      </c>
      <c r="G1385" t="s">
        <v>562</v>
      </c>
      <c r="H1385" t="s">
        <v>562</v>
      </c>
      <c r="I1385">
        <v>4461</v>
      </c>
      <c r="J1385" t="s">
        <v>564</v>
      </c>
      <c r="K1385" s="698">
        <v>45957.521527777775</v>
      </c>
      <c r="L1385" s="698">
        <v>45957.521527777775</v>
      </c>
      <c r="M1385" t="s">
        <v>565</v>
      </c>
      <c r="N1385" t="s">
        <v>565</v>
      </c>
      <c r="O1385" t="s">
        <v>566</v>
      </c>
      <c r="P1385" t="s">
        <v>567</v>
      </c>
      <c r="S1385" t="s">
        <v>567</v>
      </c>
      <c r="T1385" t="s">
        <v>567</v>
      </c>
      <c r="Z1385" t="s">
        <v>568</v>
      </c>
      <c r="AA1385" t="s">
        <v>568</v>
      </c>
    </row>
    <row r="1386" spans="1:27">
      <c r="A1386" t="s">
        <v>3577</v>
      </c>
      <c r="B1386" t="s">
        <v>562</v>
      </c>
      <c r="C1386" t="s">
        <v>562</v>
      </c>
      <c r="D1386" t="s">
        <v>3579</v>
      </c>
      <c r="E1386" t="s">
        <v>3594</v>
      </c>
      <c r="F1386" t="s">
        <v>562</v>
      </c>
      <c r="G1386" t="s">
        <v>562</v>
      </c>
      <c r="H1386" t="s">
        <v>562</v>
      </c>
      <c r="I1386">
        <v>4462</v>
      </c>
      <c r="J1386" t="s">
        <v>564</v>
      </c>
      <c r="K1386" s="698">
        <v>45957.521527777775</v>
      </c>
      <c r="L1386" s="698">
        <v>45957.521527777775</v>
      </c>
      <c r="M1386" t="s">
        <v>565</v>
      </c>
      <c r="N1386" t="s">
        <v>565</v>
      </c>
      <c r="O1386" t="s">
        <v>566</v>
      </c>
      <c r="P1386" t="s">
        <v>567</v>
      </c>
      <c r="S1386" t="s">
        <v>567</v>
      </c>
      <c r="T1386" t="s">
        <v>567</v>
      </c>
      <c r="Z1386" t="s">
        <v>568</v>
      </c>
      <c r="AA1386" t="s">
        <v>568</v>
      </c>
    </row>
    <row r="1387" spans="1:27">
      <c r="A1387" t="s">
        <v>3577</v>
      </c>
      <c r="B1387" t="s">
        <v>1240</v>
      </c>
      <c r="C1387" t="s">
        <v>3595</v>
      </c>
      <c r="D1387" t="s">
        <v>3579</v>
      </c>
      <c r="E1387" t="s">
        <v>3596</v>
      </c>
      <c r="F1387" t="s">
        <v>562</v>
      </c>
      <c r="G1387" t="s">
        <v>562</v>
      </c>
      <c r="H1387" t="s">
        <v>562</v>
      </c>
      <c r="I1387">
        <v>4498</v>
      </c>
      <c r="J1387" t="s">
        <v>564</v>
      </c>
      <c r="K1387" s="698">
        <v>45957.525694444441</v>
      </c>
      <c r="L1387" s="698">
        <v>45957.525694444441</v>
      </c>
      <c r="M1387" t="s">
        <v>565</v>
      </c>
      <c r="N1387" t="s">
        <v>565</v>
      </c>
      <c r="O1387" t="s">
        <v>566</v>
      </c>
      <c r="P1387" t="s">
        <v>567</v>
      </c>
      <c r="S1387" t="s">
        <v>567</v>
      </c>
      <c r="T1387" t="s">
        <v>567</v>
      </c>
      <c r="Z1387" t="s">
        <v>568</v>
      </c>
      <c r="AA1387" t="s">
        <v>568</v>
      </c>
    </row>
    <row r="1388" spans="1:27">
      <c r="A1388" t="s">
        <v>3577</v>
      </c>
      <c r="B1388" t="s">
        <v>3295</v>
      </c>
      <c r="C1388" t="s">
        <v>3597</v>
      </c>
      <c r="D1388" t="s">
        <v>3579</v>
      </c>
      <c r="E1388" t="s">
        <v>3598</v>
      </c>
      <c r="F1388" t="s">
        <v>562</v>
      </c>
      <c r="G1388" t="s">
        <v>562</v>
      </c>
      <c r="H1388" t="s">
        <v>562</v>
      </c>
      <c r="I1388">
        <v>4507</v>
      </c>
      <c r="J1388" t="s">
        <v>564</v>
      </c>
      <c r="K1388" s="698">
        <v>45957.527083333334</v>
      </c>
      <c r="L1388" s="698">
        <v>45957.527083333334</v>
      </c>
      <c r="M1388" t="s">
        <v>565</v>
      </c>
      <c r="N1388" t="s">
        <v>565</v>
      </c>
      <c r="O1388" t="s">
        <v>566</v>
      </c>
      <c r="P1388" t="s">
        <v>567</v>
      </c>
      <c r="S1388" t="s">
        <v>567</v>
      </c>
      <c r="T1388" t="s">
        <v>567</v>
      </c>
      <c r="Z1388" t="s">
        <v>568</v>
      </c>
      <c r="AA1388" t="s">
        <v>568</v>
      </c>
    </row>
    <row r="1389" spans="1:27">
      <c r="A1389" t="s">
        <v>3577</v>
      </c>
      <c r="B1389" t="s">
        <v>562</v>
      </c>
      <c r="C1389" t="s">
        <v>562</v>
      </c>
      <c r="D1389" t="s">
        <v>3579</v>
      </c>
      <c r="E1389" t="s">
        <v>3599</v>
      </c>
      <c r="F1389" t="s">
        <v>562</v>
      </c>
      <c r="G1389" t="s">
        <v>562</v>
      </c>
      <c r="H1389" t="s">
        <v>562</v>
      </c>
      <c r="I1389">
        <v>4519</v>
      </c>
      <c r="J1389" t="s">
        <v>564</v>
      </c>
      <c r="K1389" s="698">
        <v>45957.52847222222</v>
      </c>
      <c r="L1389" s="698">
        <v>45957.52847222222</v>
      </c>
      <c r="M1389" t="s">
        <v>565</v>
      </c>
      <c r="N1389" t="s">
        <v>565</v>
      </c>
      <c r="O1389" t="s">
        <v>566</v>
      </c>
      <c r="P1389" t="s">
        <v>567</v>
      </c>
      <c r="S1389" t="s">
        <v>567</v>
      </c>
      <c r="T1389" t="s">
        <v>567</v>
      </c>
      <c r="Z1389" t="s">
        <v>568</v>
      </c>
      <c r="AA1389" t="s">
        <v>568</v>
      </c>
    </row>
    <row r="1390" spans="1:27">
      <c r="A1390" t="s">
        <v>3577</v>
      </c>
      <c r="B1390" t="s">
        <v>3600</v>
      </c>
      <c r="C1390" t="s">
        <v>3597</v>
      </c>
      <c r="D1390" t="s">
        <v>3579</v>
      </c>
      <c r="E1390" t="s">
        <v>3601</v>
      </c>
      <c r="F1390" t="s">
        <v>562</v>
      </c>
      <c r="G1390" t="s">
        <v>562</v>
      </c>
      <c r="H1390" t="s">
        <v>562</v>
      </c>
      <c r="I1390">
        <v>4569</v>
      </c>
      <c r="J1390" t="s">
        <v>564</v>
      </c>
      <c r="K1390" s="698">
        <v>45957.534722222219</v>
      </c>
      <c r="L1390" s="698">
        <v>45957.534722222219</v>
      </c>
      <c r="M1390" t="s">
        <v>565</v>
      </c>
      <c r="N1390" t="s">
        <v>565</v>
      </c>
      <c r="O1390" t="s">
        <v>566</v>
      </c>
      <c r="P1390" t="s">
        <v>567</v>
      </c>
      <c r="S1390" t="s">
        <v>567</v>
      </c>
      <c r="T1390" t="s">
        <v>567</v>
      </c>
      <c r="Z1390" t="s">
        <v>568</v>
      </c>
      <c r="AA1390" t="s">
        <v>568</v>
      </c>
    </row>
    <row r="1391" spans="1:27">
      <c r="A1391" t="s">
        <v>3577</v>
      </c>
      <c r="B1391" t="s">
        <v>3585</v>
      </c>
      <c r="C1391" t="s">
        <v>3586</v>
      </c>
      <c r="D1391" t="s">
        <v>3579</v>
      </c>
      <c r="E1391" t="s">
        <v>3602</v>
      </c>
      <c r="F1391" t="s">
        <v>562</v>
      </c>
      <c r="G1391" t="s">
        <v>562</v>
      </c>
      <c r="H1391" t="s">
        <v>562</v>
      </c>
      <c r="I1391">
        <v>4596</v>
      </c>
      <c r="J1391" t="s">
        <v>564</v>
      </c>
      <c r="K1391" s="698">
        <v>45957.538194444445</v>
      </c>
      <c r="L1391" s="698">
        <v>45957.538194444445</v>
      </c>
      <c r="M1391" t="s">
        <v>565</v>
      </c>
      <c r="N1391" t="s">
        <v>565</v>
      </c>
      <c r="O1391" t="s">
        <v>566</v>
      </c>
      <c r="P1391" t="s">
        <v>567</v>
      </c>
      <c r="S1391" t="s">
        <v>567</v>
      </c>
      <c r="T1391" t="s">
        <v>567</v>
      </c>
      <c r="Z1391" t="s">
        <v>568</v>
      </c>
      <c r="AA1391" t="s">
        <v>568</v>
      </c>
    </row>
    <row r="1392" spans="1:27">
      <c r="A1392" t="s">
        <v>3577</v>
      </c>
      <c r="B1392" t="s">
        <v>3588</v>
      </c>
      <c r="C1392" t="s">
        <v>3589</v>
      </c>
      <c r="D1392" t="s">
        <v>3579</v>
      </c>
      <c r="E1392" t="s">
        <v>3603</v>
      </c>
      <c r="F1392" t="s">
        <v>562</v>
      </c>
      <c r="G1392" t="s">
        <v>562</v>
      </c>
      <c r="H1392" t="s">
        <v>562</v>
      </c>
      <c r="I1392">
        <v>4629</v>
      </c>
      <c r="J1392" t="s">
        <v>564</v>
      </c>
      <c r="K1392" s="698">
        <v>45957.542361111111</v>
      </c>
      <c r="L1392" s="698">
        <v>45957.542361111111</v>
      </c>
      <c r="M1392" t="s">
        <v>565</v>
      </c>
      <c r="N1392" t="s">
        <v>565</v>
      </c>
      <c r="O1392" t="s">
        <v>566</v>
      </c>
      <c r="P1392" t="s">
        <v>567</v>
      </c>
      <c r="S1392" t="s">
        <v>567</v>
      </c>
      <c r="T1392" t="s">
        <v>567</v>
      </c>
      <c r="Z1392" t="s">
        <v>568</v>
      </c>
      <c r="AA1392" t="s">
        <v>568</v>
      </c>
    </row>
    <row r="1393" spans="1:27">
      <c r="A1393" t="s">
        <v>3577</v>
      </c>
      <c r="B1393" t="s">
        <v>562</v>
      </c>
      <c r="C1393" t="s">
        <v>3597</v>
      </c>
      <c r="D1393" t="s">
        <v>3579</v>
      </c>
      <c r="E1393" t="s">
        <v>3604</v>
      </c>
      <c r="F1393" t="s">
        <v>562</v>
      </c>
      <c r="G1393" t="s">
        <v>562</v>
      </c>
      <c r="H1393" t="s">
        <v>562</v>
      </c>
      <c r="I1393">
        <v>4635</v>
      </c>
      <c r="J1393" t="s">
        <v>564</v>
      </c>
      <c r="K1393" s="698">
        <v>45957.543055555558</v>
      </c>
      <c r="L1393" s="698">
        <v>45957.543055555558</v>
      </c>
      <c r="M1393" t="s">
        <v>565</v>
      </c>
      <c r="N1393" t="s">
        <v>565</v>
      </c>
      <c r="O1393" t="s">
        <v>566</v>
      </c>
      <c r="P1393" t="s">
        <v>567</v>
      </c>
      <c r="S1393" t="s">
        <v>567</v>
      </c>
      <c r="T1393" t="s">
        <v>567</v>
      </c>
      <c r="Z1393" t="s">
        <v>568</v>
      </c>
      <c r="AA1393" t="s">
        <v>568</v>
      </c>
    </row>
    <row r="1394" spans="1:27">
      <c r="A1394" t="s">
        <v>3577</v>
      </c>
      <c r="B1394" t="s">
        <v>3295</v>
      </c>
      <c r="C1394" t="s">
        <v>3597</v>
      </c>
      <c r="D1394" t="s">
        <v>3579</v>
      </c>
      <c r="E1394" t="s">
        <v>3605</v>
      </c>
      <c r="F1394" t="s">
        <v>562</v>
      </c>
      <c r="G1394" t="s">
        <v>562</v>
      </c>
      <c r="H1394" t="s">
        <v>562</v>
      </c>
      <c r="I1394">
        <v>4659</v>
      </c>
      <c r="J1394" t="s">
        <v>564</v>
      </c>
      <c r="K1394" s="698">
        <v>45957.54791666667</v>
      </c>
      <c r="L1394" s="698">
        <v>45957.54791666667</v>
      </c>
      <c r="M1394" t="s">
        <v>565</v>
      </c>
      <c r="N1394" t="s">
        <v>565</v>
      </c>
      <c r="O1394" t="s">
        <v>566</v>
      </c>
      <c r="P1394" t="s">
        <v>567</v>
      </c>
      <c r="S1394" t="s">
        <v>567</v>
      </c>
      <c r="T1394" t="s">
        <v>567</v>
      </c>
      <c r="Z1394" t="s">
        <v>568</v>
      </c>
      <c r="AA1394" t="s">
        <v>568</v>
      </c>
    </row>
    <row r="1395" spans="1:27">
      <c r="A1395" t="s">
        <v>3577</v>
      </c>
      <c r="B1395" t="s">
        <v>562</v>
      </c>
      <c r="C1395" t="s">
        <v>3597</v>
      </c>
      <c r="D1395" t="s">
        <v>3579</v>
      </c>
      <c r="E1395" t="s">
        <v>3606</v>
      </c>
      <c r="F1395" t="s">
        <v>562</v>
      </c>
      <c r="G1395" t="s">
        <v>562</v>
      </c>
      <c r="H1395" t="s">
        <v>562</v>
      </c>
      <c r="I1395">
        <v>4660</v>
      </c>
      <c r="J1395" t="s">
        <v>564</v>
      </c>
      <c r="K1395" s="698">
        <v>45957.54791666667</v>
      </c>
      <c r="L1395" s="698">
        <v>45957.54791666667</v>
      </c>
      <c r="M1395" t="s">
        <v>565</v>
      </c>
      <c r="N1395" t="s">
        <v>565</v>
      </c>
      <c r="O1395" t="s">
        <v>566</v>
      </c>
      <c r="P1395" t="s">
        <v>567</v>
      </c>
      <c r="S1395" t="s">
        <v>567</v>
      </c>
      <c r="T1395" t="s">
        <v>567</v>
      </c>
      <c r="Z1395" t="s">
        <v>568</v>
      </c>
      <c r="AA1395" t="s">
        <v>568</v>
      </c>
    </row>
    <row r="1396" spans="1:27">
      <c r="A1396" t="s">
        <v>3577</v>
      </c>
      <c r="B1396" t="s">
        <v>3295</v>
      </c>
      <c r="C1396" t="s">
        <v>3580</v>
      </c>
      <c r="D1396" t="s">
        <v>3579</v>
      </c>
      <c r="E1396" t="s">
        <v>3607</v>
      </c>
      <c r="F1396" t="s">
        <v>562</v>
      </c>
      <c r="G1396" t="s">
        <v>562</v>
      </c>
      <c r="H1396" t="s">
        <v>562</v>
      </c>
      <c r="I1396">
        <v>4664</v>
      </c>
      <c r="J1396" t="s">
        <v>564</v>
      </c>
      <c r="K1396" s="698">
        <v>45957.54791666667</v>
      </c>
      <c r="L1396" s="698">
        <v>45957.54791666667</v>
      </c>
      <c r="M1396" t="s">
        <v>565</v>
      </c>
      <c r="N1396" t="s">
        <v>565</v>
      </c>
      <c r="O1396" t="s">
        <v>566</v>
      </c>
      <c r="P1396" t="s">
        <v>567</v>
      </c>
      <c r="S1396" t="s">
        <v>567</v>
      </c>
      <c r="T1396" t="s">
        <v>567</v>
      </c>
      <c r="Z1396" t="s">
        <v>568</v>
      </c>
      <c r="AA1396" t="s">
        <v>568</v>
      </c>
    </row>
    <row r="1397" spans="1:27">
      <c r="A1397" t="s">
        <v>3577</v>
      </c>
      <c r="B1397" t="s">
        <v>3295</v>
      </c>
      <c r="C1397" t="s">
        <v>3597</v>
      </c>
      <c r="D1397" t="s">
        <v>3579</v>
      </c>
      <c r="E1397" t="s">
        <v>3608</v>
      </c>
      <c r="F1397" t="s">
        <v>562</v>
      </c>
      <c r="G1397" t="s">
        <v>562</v>
      </c>
      <c r="H1397" t="s">
        <v>562</v>
      </c>
      <c r="I1397">
        <v>4668</v>
      </c>
      <c r="J1397" t="s">
        <v>564</v>
      </c>
      <c r="K1397" s="698">
        <v>45957.54791666667</v>
      </c>
      <c r="L1397" s="698">
        <v>45957.54791666667</v>
      </c>
      <c r="M1397" t="s">
        <v>565</v>
      </c>
      <c r="N1397" t="s">
        <v>565</v>
      </c>
      <c r="O1397" t="s">
        <v>566</v>
      </c>
      <c r="P1397" t="s">
        <v>567</v>
      </c>
      <c r="S1397" t="s">
        <v>567</v>
      </c>
      <c r="T1397" t="s">
        <v>567</v>
      </c>
      <c r="Z1397" t="s">
        <v>568</v>
      </c>
      <c r="AA1397" t="s">
        <v>568</v>
      </c>
    </row>
    <row r="1398" spans="1:27">
      <c r="A1398" t="s">
        <v>3577</v>
      </c>
      <c r="B1398" t="s">
        <v>3609</v>
      </c>
      <c r="C1398" t="s">
        <v>3580</v>
      </c>
      <c r="D1398" t="s">
        <v>3579</v>
      </c>
      <c r="E1398" t="s">
        <v>3610</v>
      </c>
      <c r="F1398" t="s">
        <v>562</v>
      </c>
      <c r="G1398" t="s">
        <v>562</v>
      </c>
      <c r="H1398" t="s">
        <v>562</v>
      </c>
      <c r="I1398">
        <v>4674</v>
      </c>
      <c r="J1398" t="s">
        <v>564</v>
      </c>
      <c r="K1398" s="698">
        <v>45957.548611111109</v>
      </c>
      <c r="L1398" s="698">
        <v>45957.548611111109</v>
      </c>
      <c r="M1398" t="s">
        <v>565</v>
      </c>
      <c r="N1398" t="s">
        <v>565</v>
      </c>
      <c r="O1398" t="s">
        <v>566</v>
      </c>
      <c r="P1398" t="s">
        <v>567</v>
      </c>
      <c r="S1398" t="s">
        <v>567</v>
      </c>
      <c r="T1398" t="s">
        <v>567</v>
      </c>
      <c r="Z1398" t="s">
        <v>568</v>
      </c>
      <c r="AA1398" t="s">
        <v>568</v>
      </c>
    </row>
    <row r="1399" spans="1:27">
      <c r="A1399" t="s">
        <v>3577</v>
      </c>
      <c r="B1399" t="s">
        <v>3611</v>
      </c>
      <c r="C1399" t="s">
        <v>3580</v>
      </c>
      <c r="D1399" t="s">
        <v>3579</v>
      </c>
      <c r="E1399" t="s">
        <v>3612</v>
      </c>
      <c r="F1399" t="s">
        <v>562</v>
      </c>
      <c r="G1399" t="s">
        <v>562</v>
      </c>
      <c r="H1399" t="s">
        <v>562</v>
      </c>
      <c r="I1399">
        <v>4675</v>
      </c>
      <c r="J1399" t="s">
        <v>564</v>
      </c>
      <c r="K1399" s="698">
        <v>45957.548611111109</v>
      </c>
      <c r="L1399" s="698">
        <v>45957.548611111109</v>
      </c>
      <c r="M1399" t="s">
        <v>565</v>
      </c>
      <c r="N1399" t="s">
        <v>565</v>
      </c>
      <c r="O1399" t="s">
        <v>566</v>
      </c>
      <c r="P1399" t="s">
        <v>567</v>
      </c>
      <c r="S1399" t="s">
        <v>567</v>
      </c>
      <c r="T1399" t="s">
        <v>567</v>
      </c>
      <c r="Z1399" t="s">
        <v>568</v>
      </c>
      <c r="AA1399" t="s">
        <v>568</v>
      </c>
    </row>
    <row r="1400" spans="1:27">
      <c r="A1400" t="s">
        <v>3577</v>
      </c>
      <c r="B1400" t="s">
        <v>3588</v>
      </c>
      <c r="C1400" t="s">
        <v>3589</v>
      </c>
      <c r="D1400" t="s">
        <v>3579</v>
      </c>
      <c r="E1400" t="s">
        <v>3613</v>
      </c>
      <c r="F1400" t="s">
        <v>562</v>
      </c>
      <c r="G1400" t="s">
        <v>562</v>
      </c>
      <c r="H1400" t="s">
        <v>562</v>
      </c>
      <c r="I1400">
        <v>4708</v>
      </c>
      <c r="J1400" t="s">
        <v>564</v>
      </c>
      <c r="K1400" s="698">
        <v>45957.549305555556</v>
      </c>
      <c r="L1400" s="698">
        <v>45957.549305555556</v>
      </c>
      <c r="M1400" t="s">
        <v>565</v>
      </c>
      <c r="N1400" t="s">
        <v>565</v>
      </c>
      <c r="O1400" t="s">
        <v>566</v>
      </c>
      <c r="P1400" t="s">
        <v>567</v>
      </c>
      <c r="S1400" t="s">
        <v>567</v>
      </c>
      <c r="T1400" t="s">
        <v>567</v>
      </c>
      <c r="Z1400" t="s">
        <v>568</v>
      </c>
      <c r="AA1400" t="s">
        <v>568</v>
      </c>
    </row>
    <row r="1401" spans="1:27">
      <c r="A1401" t="s">
        <v>3577</v>
      </c>
      <c r="B1401" t="s">
        <v>3295</v>
      </c>
      <c r="C1401" t="s">
        <v>3597</v>
      </c>
      <c r="D1401" t="s">
        <v>3579</v>
      </c>
      <c r="E1401" t="s">
        <v>3614</v>
      </c>
      <c r="F1401" t="s">
        <v>562</v>
      </c>
      <c r="G1401" t="s">
        <v>562</v>
      </c>
      <c r="H1401" t="s">
        <v>562</v>
      </c>
      <c r="I1401">
        <v>4709</v>
      </c>
      <c r="J1401" t="s">
        <v>564</v>
      </c>
      <c r="K1401" s="698">
        <v>45957.549305555556</v>
      </c>
      <c r="L1401" s="698">
        <v>45957.549305555556</v>
      </c>
      <c r="M1401" t="s">
        <v>565</v>
      </c>
      <c r="N1401" t="s">
        <v>565</v>
      </c>
      <c r="O1401" t="s">
        <v>566</v>
      </c>
      <c r="P1401" t="s">
        <v>567</v>
      </c>
      <c r="S1401" t="s">
        <v>567</v>
      </c>
      <c r="T1401" t="s">
        <v>567</v>
      </c>
      <c r="Z1401" t="s">
        <v>568</v>
      </c>
      <c r="AA1401" t="s">
        <v>568</v>
      </c>
    </row>
    <row r="1402" spans="1:27">
      <c r="A1402" t="s">
        <v>3577</v>
      </c>
      <c r="B1402" t="s">
        <v>3615</v>
      </c>
      <c r="C1402" t="s">
        <v>3580</v>
      </c>
      <c r="D1402" t="s">
        <v>3579</v>
      </c>
      <c r="E1402" t="s">
        <v>3616</v>
      </c>
      <c r="F1402" t="s">
        <v>562</v>
      </c>
      <c r="G1402" t="s">
        <v>562</v>
      </c>
      <c r="H1402" t="s">
        <v>562</v>
      </c>
      <c r="I1402">
        <v>4744</v>
      </c>
      <c r="J1402" t="s">
        <v>564</v>
      </c>
      <c r="K1402" s="698">
        <v>45957.550694444442</v>
      </c>
      <c r="L1402" s="698">
        <v>45957.550694444442</v>
      </c>
      <c r="M1402" t="s">
        <v>565</v>
      </c>
      <c r="N1402" t="s">
        <v>565</v>
      </c>
      <c r="O1402" t="s">
        <v>566</v>
      </c>
      <c r="P1402" t="s">
        <v>567</v>
      </c>
      <c r="S1402" t="s">
        <v>567</v>
      </c>
      <c r="T1402" t="s">
        <v>567</v>
      </c>
      <c r="Z1402" t="s">
        <v>568</v>
      </c>
      <c r="AA1402" t="s">
        <v>568</v>
      </c>
    </row>
    <row r="1403" spans="1:27">
      <c r="A1403" t="s">
        <v>3577</v>
      </c>
      <c r="B1403" t="s">
        <v>3588</v>
      </c>
      <c r="C1403" t="s">
        <v>3589</v>
      </c>
      <c r="D1403" t="s">
        <v>3579</v>
      </c>
      <c r="E1403" t="s">
        <v>3617</v>
      </c>
      <c r="F1403" t="s">
        <v>562</v>
      </c>
      <c r="G1403" t="s">
        <v>562</v>
      </c>
      <c r="H1403" t="s">
        <v>562</v>
      </c>
      <c r="I1403">
        <v>4817</v>
      </c>
      <c r="J1403" t="s">
        <v>564</v>
      </c>
      <c r="K1403" s="698">
        <v>45957.552777777775</v>
      </c>
      <c r="L1403" s="698">
        <v>45957.552777777775</v>
      </c>
      <c r="M1403" t="s">
        <v>565</v>
      </c>
      <c r="N1403" t="s">
        <v>565</v>
      </c>
      <c r="O1403" t="s">
        <v>566</v>
      </c>
      <c r="P1403" t="s">
        <v>567</v>
      </c>
      <c r="S1403" t="s">
        <v>567</v>
      </c>
      <c r="T1403" t="s">
        <v>567</v>
      </c>
      <c r="Z1403" t="s">
        <v>568</v>
      </c>
      <c r="AA1403" t="s">
        <v>568</v>
      </c>
    </row>
    <row r="1404" spans="1:27">
      <c r="A1404" t="s">
        <v>3577</v>
      </c>
      <c r="B1404" t="s">
        <v>562</v>
      </c>
      <c r="C1404" t="s">
        <v>562</v>
      </c>
      <c r="D1404" t="s">
        <v>3579</v>
      </c>
      <c r="E1404" t="s">
        <v>3618</v>
      </c>
      <c r="F1404" t="s">
        <v>562</v>
      </c>
      <c r="G1404" t="s">
        <v>562</v>
      </c>
      <c r="H1404" t="s">
        <v>562</v>
      </c>
      <c r="I1404">
        <v>4827</v>
      </c>
      <c r="J1404" t="s">
        <v>564</v>
      </c>
      <c r="K1404" s="698">
        <v>45957.553472222222</v>
      </c>
      <c r="L1404" s="698">
        <v>45957.553472222222</v>
      </c>
      <c r="M1404" t="s">
        <v>565</v>
      </c>
      <c r="N1404" t="s">
        <v>565</v>
      </c>
      <c r="O1404" t="s">
        <v>566</v>
      </c>
      <c r="P1404" t="s">
        <v>567</v>
      </c>
      <c r="S1404" t="s">
        <v>567</v>
      </c>
      <c r="T1404" t="s">
        <v>567</v>
      </c>
      <c r="Z1404" t="s">
        <v>568</v>
      </c>
      <c r="AA1404" t="s">
        <v>568</v>
      </c>
    </row>
    <row r="1405" spans="1:27">
      <c r="A1405" t="s">
        <v>3577</v>
      </c>
      <c r="B1405" t="s">
        <v>3295</v>
      </c>
      <c r="C1405" t="s">
        <v>3580</v>
      </c>
      <c r="D1405" t="s">
        <v>3579</v>
      </c>
      <c r="E1405" t="s">
        <v>3619</v>
      </c>
      <c r="F1405" t="s">
        <v>562</v>
      </c>
      <c r="G1405" t="s">
        <v>562</v>
      </c>
      <c r="H1405" t="s">
        <v>562</v>
      </c>
      <c r="I1405">
        <v>4855</v>
      </c>
      <c r="J1405" t="s">
        <v>564</v>
      </c>
      <c r="K1405" s="698">
        <v>45957.554166666669</v>
      </c>
      <c r="L1405" s="698">
        <v>45957.554166666669</v>
      </c>
      <c r="M1405" t="s">
        <v>565</v>
      </c>
      <c r="N1405" t="s">
        <v>565</v>
      </c>
      <c r="O1405" t="s">
        <v>566</v>
      </c>
      <c r="P1405" t="s">
        <v>567</v>
      </c>
      <c r="S1405" t="s">
        <v>567</v>
      </c>
      <c r="T1405" t="s">
        <v>567</v>
      </c>
      <c r="Z1405" t="s">
        <v>568</v>
      </c>
      <c r="AA1405" t="s">
        <v>568</v>
      </c>
    </row>
    <row r="1406" spans="1:27">
      <c r="A1406" t="s">
        <v>3577</v>
      </c>
      <c r="B1406" t="s">
        <v>562</v>
      </c>
      <c r="C1406" t="s">
        <v>3597</v>
      </c>
      <c r="D1406" t="s">
        <v>3579</v>
      </c>
      <c r="E1406" t="s">
        <v>3620</v>
      </c>
      <c r="F1406" t="s">
        <v>562</v>
      </c>
      <c r="G1406" t="s">
        <v>562</v>
      </c>
      <c r="H1406" t="s">
        <v>562</v>
      </c>
      <c r="I1406">
        <v>4921</v>
      </c>
      <c r="J1406" t="s">
        <v>564</v>
      </c>
      <c r="K1406" s="698">
        <v>45957.556250000001</v>
      </c>
      <c r="L1406" s="698">
        <v>45957.556250000001</v>
      </c>
      <c r="M1406" t="s">
        <v>565</v>
      </c>
      <c r="N1406" t="s">
        <v>565</v>
      </c>
      <c r="O1406" t="s">
        <v>566</v>
      </c>
      <c r="P1406" t="s">
        <v>567</v>
      </c>
      <c r="S1406" t="s">
        <v>567</v>
      </c>
      <c r="T1406" t="s">
        <v>567</v>
      </c>
      <c r="Z1406" t="s">
        <v>568</v>
      </c>
      <c r="AA1406" t="s">
        <v>568</v>
      </c>
    </row>
    <row r="1407" spans="1:27">
      <c r="A1407" t="s">
        <v>3577</v>
      </c>
      <c r="B1407" t="s">
        <v>562</v>
      </c>
      <c r="C1407" t="s">
        <v>562</v>
      </c>
      <c r="D1407" t="s">
        <v>3579</v>
      </c>
      <c r="E1407" t="s">
        <v>3621</v>
      </c>
      <c r="F1407" t="s">
        <v>562</v>
      </c>
      <c r="G1407" t="s">
        <v>562</v>
      </c>
      <c r="H1407" t="s">
        <v>562</v>
      </c>
      <c r="I1407">
        <v>4957</v>
      </c>
      <c r="J1407" t="s">
        <v>564</v>
      </c>
      <c r="K1407" s="698">
        <v>45957.556944444441</v>
      </c>
      <c r="L1407" s="698">
        <v>45957.556944444441</v>
      </c>
      <c r="M1407" t="s">
        <v>565</v>
      </c>
      <c r="N1407" t="s">
        <v>565</v>
      </c>
      <c r="O1407" t="s">
        <v>566</v>
      </c>
      <c r="P1407" t="s">
        <v>567</v>
      </c>
      <c r="S1407" t="s">
        <v>567</v>
      </c>
      <c r="T1407" t="s">
        <v>567</v>
      </c>
      <c r="Z1407" t="s">
        <v>568</v>
      </c>
      <c r="AA1407" t="s">
        <v>568</v>
      </c>
    </row>
    <row r="1408" spans="1:27">
      <c r="A1408" t="s">
        <v>3577</v>
      </c>
      <c r="B1408" t="s">
        <v>3585</v>
      </c>
      <c r="C1408" t="s">
        <v>3586</v>
      </c>
      <c r="D1408" t="s">
        <v>3579</v>
      </c>
      <c r="E1408" t="s">
        <v>1116</v>
      </c>
      <c r="F1408" t="s">
        <v>562</v>
      </c>
      <c r="G1408" t="s">
        <v>562</v>
      </c>
      <c r="H1408" t="s">
        <v>562</v>
      </c>
      <c r="I1408">
        <v>5004</v>
      </c>
      <c r="J1408" t="s">
        <v>564</v>
      </c>
      <c r="K1408" s="698">
        <v>45957.558333333334</v>
      </c>
      <c r="L1408" s="698">
        <v>45957.558333333334</v>
      </c>
      <c r="M1408" t="s">
        <v>565</v>
      </c>
      <c r="N1408" t="s">
        <v>565</v>
      </c>
      <c r="O1408" t="s">
        <v>566</v>
      </c>
      <c r="P1408" t="s">
        <v>567</v>
      </c>
      <c r="S1408" t="s">
        <v>567</v>
      </c>
      <c r="T1408" t="s">
        <v>567</v>
      </c>
      <c r="Z1408" t="s">
        <v>568</v>
      </c>
      <c r="AA1408" t="s">
        <v>568</v>
      </c>
    </row>
    <row r="1409" spans="1:27">
      <c r="A1409" t="s">
        <v>3577</v>
      </c>
      <c r="B1409" t="s">
        <v>3588</v>
      </c>
      <c r="C1409" t="s">
        <v>3589</v>
      </c>
      <c r="D1409" t="s">
        <v>3579</v>
      </c>
      <c r="E1409" t="s">
        <v>3622</v>
      </c>
      <c r="F1409" t="s">
        <v>562</v>
      </c>
      <c r="G1409" t="s">
        <v>562</v>
      </c>
      <c r="H1409" t="s">
        <v>562</v>
      </c>
      <c r="I1409">
        <v>5122</v>
      </c>
      <c r="J1409" t="s">
        <v>564</v>
      </c>
      <c r="K1409" s="698">
        <v>45957.561805555553</v>
      </c>
      <c r="L1409" s="698">
        <v>45957.561805555553</v>
      </c>
      <c r="M1409" t="s">
        <v>565</v>
      </c>
      <c r="N1409" t="s">
        <v>565</v>
      </c>
      <c r="O1409" t="s">
        <v>566</v>
      </c>
      <c r="P1409" t="s">
        <v>567</v>
      </c>
      <c r="S1409" t="s">
        <v>567</v>
      </c>
      <c r="T1409" t="s">
        <v>567</v>
      </c>
      <c r="Z1409" t="s">
        <v>568</v>
      </c>
      <c r="AA1409" t="s">
        <v>568</v>
      </c>
    </row>
    <row r="1410" spans="1:27">
      <c r="A1410" t="s">
        <v>3577</v>
      </c>
      <c r="B1410" t="s">
        <v>3583</v>
      </c>
      <c r="C1410" t="s">
        <v>3580</v>
      </c>
      <c r="D1410" t="s">
        <v>3579</v>
      </c>
      <c r="E1410" t="s">
        <v>3623</v>
      </c>
      <c r="F1410" t="s">
        <v>562</v>
      </c>
      <c r="G1410" t="s">
        <v>562</v>
      </c>
      <c r="H1410" t="s">
        <v>562</v>
      </c>
      <c r="I1410">
        <v>5137</v>
      </c>
      <c r="J1410" t="s">
        <v>564</v>
      </c>
      <c r="K1410" s="698">
        <v>45957.5625</v>
      </c>
      <c r="L1410" s="698">
        <v>45957.5625</v>
      </c>
      <c r="M1410" t="s">
        <v>565</v>
      </c>
      <c r="N1410" t="s">
        <v>565</v>
      </c>
      <c r="O1410" t="s">
        <v>566</v>
      </c>
      <c r="P1410" t="s">
        <v>567</v>
      </c>
      <c r="S1410" t="s">
        <v>567</v>
      </c>
      <c r="T1410" t="s">
        <v>567</v>
      </c>
      <c r="Z1410" t="s">
        <v>568</v>
      </c>
      <c r="AA1410" t="s">
        <v>568</v>
      </c>
    </row>
    <row r="1411" spans="1:27">
      <c r="A1411" t="s">
        <v>3624</v>
      </c>
      <c r="B1411" t="s">
        <v>3624</v>
      </c>
      <c r="C1411" t="s">
        <v>3625</v>
      </c>
      <c r="D1411" t="s">
        <v>562</v>
      </c>
      <c r="E1411" t="s">
        <v>3626</v>
      </c>
      <c r="F1411" t="s">
        <v>562</v>
      </c>
      <c r="G1411" t="s">
        <v>562</v>
      </c>
      <c r="H1411" t="s">
        <v>562</v>
      </c>
      <c r="I1411">
        <v>4423</v>
      </c>
      <c r="J1411" t="s">
        <v>564</v>
      </c>
      <c r="K1411" s="698">
        <v>45957.51666666667</v>
      </c>
      <c r="L1411" s="698">
        <v>45957.51666666667</v>
      </c>
      <c r="M1411" t="s">
        <v>565</v>
      </c>
      <c r="N1411" t="s">
        <v>565</v>
      </c>
      <c r="O1411" t="s">
        <v>566</v>
      </c>
      <c r="P1411" t="s">
        <v>567</v>
      </c>
      <c r="S1411" t="s">
        <v>567</v>
      </c>
      <c r="T1411" t="s">
        <v>567</v>
      </c>
      <c r="Z1411" t="s">
        <v>568</v>
      </c>
      <c r="AA1411" t="s">
        <v>568</v>
      </c>
    </row>
    <row r="1412" spans="1:27">
      <c r="A1412" t="s">
        <v>3627</v>
      </c>
      <c r="B1412" t="s">
        <v>3627</v>
      </c>
      <c r="C1412" t="s">
        <v>562</v>
      </c>
      <c r="D1412" t="s">
        <v>562</v>
      </c>
      <c r="E1412" t="s">
        <v>3628</v>
      </c>
      <c r="F1412" t="s">
        <v>562</v>
      </c>
      <c r="G1412" t="s">
        <v>562</v>
      </c>
      <c r="H1412" t="s">
        <v>562</v>
      </c>
      <c r="I1412">
        <v>5083</v>
      </c>
      <c r="J1412" t="s">
        <v>564</v>
      </c>
      <c r="K1412" s="698">
        <v>45957.561111111114</v>
      </c>
      <c r="L1412" s="698">
        <v>45957.561111111114</v>
      </c>
      <c r="M1412" t="s">
        <v>565</v>
      </c>
      <c r="N1412" t="s">
        <v>565</v>
      </c>
      <c r="O1412" t="s">
        <v>566</v>
      </c>
      <c r="P1412" t="s">
        <v>567</v>
      </c>
      <c r="S1412" t="s">
        <v>567</v>
      </c>
      <c r="T1412" t="s">
        <v>567</v>
      </c>
      <c r="Z1412" t="s">
        <v>568</v>
      </c>
      <c r="AA1412" t="s">
        <v>568</v>
      </c>
    </row>
    <row r="1413" spans="1:27">
      <c r="A1413" t="s">
        <v>3629</v>
      </c>
      <c r="B1413" t="s">
        <v>3630</v>
      </c>
      <c r="C1413" t="s">
        <v>3631</v>
      </c>
      <c r="D1413" t="s">
        <v>562</v>
      </c>
      <c r="E1413" t="s">
        <v>3632</v>
      </c>
      <c r="F1413" t="s">
        <v>562</v>
      </c>
      <c r="G1413" t="s">
        <v>562</v>
      </c>
      <c r="H1413" t="s">
        <v>562</v>
      </c>
      <c r="I1413">
        <v>4787</v>
      </c>
      <c r="J1413" t="s">
        <v>564</v>
      </c>
      <c r="K1413" s="698">
        <v>45957.552083333336</v>
      </c>
      <c r="L1413" s="698">
        <v>45957.552083333336</v>
      </c>
      <c r="M1413" t="s">
        <v>565</v>
      </c>
      <c r="N1413" t="s">
        <v>565</v>
      </c>
      <c r="O1413" t="s">
        <v>566</v>
      </c>
      <c r="P1413" t="s">
        <v>567</v>
      </c>
      <c r="S1413" t="s">
        <v>567</v>
      </c>
      <c r="T1413" t="s">
        <v>567</v>
      </c>
      <c r="Z1413" t="s">
        <v>568</v>
      </c>
      <c r="AA1413" t="s">
        <v>568</v>
      </c>
    </row>
    <row r="1414" spans="1:27">
      <c r="A1414" t="s">
        <v>3633</v>
      </c>
      <c r="B1414" t="s">
        <v>562</v>
      </c>
      <c r="C1414" t="s">
        <v>3634</v>
      </c>
      <c r="D1414" t="s">
        <v>3635</v>
      </c>
      <c r="E1414" t="s">
        <v>562</v>
      </c>
      <c r="F1414" t="s">
        <v>562</v>
      </c>
      <c r="G1414" t="s">
        <v>562</v>
      </c>
      <c r="H1414" t="s">
        <v>562</v>
      </c>
      <c r="I1414">
        <v>3562</v>
      </c>
      <c r="J1414" t="s">
        <v>564</v>
      </c>
      <c r="K1414" s="698">
        <v>45957.415972222225</v>
      </c>
      <c r="L1414" s="698">
        <v>45957.415972222225</v>
      </c>
      <c r="M1414" t="s">
        <v>565</v>
      </c>
      <c r="N1414" t="s">
        <v>565</v>
      </c>
      <c r="O1414" t="s">
        <v>566</v>
      </c>
      <c r="P1414" t="s">
        <v>567</v>
      </c>
      <c r="S1414" t="s">
        <v>567</v>
      </c>
      <c r="T1414" t="s">
        <v>567</v>
      </c>
      <c r="Z1414" t="s">
        <v>568</v>
      </c>
      <c r="AA1414" t="s">
        <v>568</v>
      </c>
    </row>
    <row r="1415" spans="1:27">
      <c r="A1415" t="s">
        <v>3636</v>
      </c>
      <c r="B1415" t="s">
        <v>3637</v>
      </c>
      <c r="C1415" t="s">
        <v>562</v>
      </c>
      <c r="D1415" t="s">
        <v>3638</v>
      </c>
      <c r="E1415" t="s">
        <v>3639</v>
      </c>
      <c r="F1415" t="s">
        <v>562</v>
      </c>
      <c r="G1415" t="s">
        <v>562</v>
      </c>
      <c r="H1415" t="s">
        <v>562</v>
      </c>
      <c r="I1415">
        <v>3754</v>
      </c>
      <c r="J1415" t="s">
        <v>564</v>
      </c>
      <c r="K1415" s="698">
        <v>45957.436805555553</v>
      </c>
      <c r="L1415" s="698">
        <v>45957.436805555553</v>
      </c>
      <c r="M1415" t="s">
        <v>565</v>
      </c>
      <c r="N1415" t="s">
        <v>565</v>
      </c>
      <c r="O1415" t="s">
        <v>566</v>
      </c>
      <c r="P1415" t="s">
        <v>567</v>
      </c>
      <c r="S1415" t="s">
        <v>567</v>
      </c>
      <c r="T1415" t="s">
        <v>567</v>
      </c>
      <c r="Z1415" t="s">
        <v>568</v>
      </c>
      <c r="AA1415" t="s">
        <v>568</v>
      </c>
    </row>
    <row r="1416" spans="1:27">
      <c r="A1416" t="s">
        <v>3636</v>
      </c>
      <c r="B1416" t="s">
        <v>562</v>
      </c>
      <c r="C1416" t="s">
        <v>3640</v>
      </c>
      <c r="D1416" t="s">
        <v>3638</v>
      </c>
      <c r="E1416" t="s">
        <v>3641</v>
      </c>
      <c r="F1416" t="s">
        <v>562</v>
      </c>
      <c r="G1416" t="s">
        <v>562</v>
      </c>
      <c r="H1416" t="s">
        <v>562</v>
      </c>
      <c r="I1416">
        <v>4248</v>
      </c>
      <c r="J1416" t="s">
        <v>564</v>
      </c>
      <c r="K1416" s="698">
        <v>45957.494444444441</v>
      </c>
      <c r="L1416" s="698">
        <v>45957.494444444441</v>
      </c>
      <c r="M1416" t="s">
        <v>565</v>
      </c>
      <c r="N1416" t="s">
        <v>565</v>
      </c>
      <c r="O1416" t="s">
        <v>566</v>
      </c>
      <c r="P1416" t="s">
        <v>567</v>
      </c>
      <c r="S1416" t="s">
        <v>567</v>
      </c>
      <c r="T1416" t="s">
        <v>567</v>
      </c>
      <c r="Z1416" t="s">
        <v>568</v>
      </c>
      <c r="AA1416" t="s">
        <v>568</v>
      </c>
    </row>
    <row r="1417" spans="1:27">
      <c r="A1417" t="s">
        <v>3642</v>
      </c>
      <c r="B1417" t="s">
        <v>3643</v>
      </c>
      <c r="C1417" t="s">
        <v>3644</v>
      </c>
      <c r="D1417" t="s">
        <v>562</v>
      </c>
      <c r="E1417" t="s">
        <v>3645</v>
      </c>
      <c r="F1417" t="s">
        <v>562</v>
      </c>
      <c r="G1417" t="s">
        <v>562</v>
      </c>
      <c r="H1417" t="s">
        <v>562</v>
      </c>
      <c r="I1417">
        <v>3823</v>
      </c>
      <c r="J1417" t="s">
        <v>564</v>
      </c>
      <c r="K1417" s="698">
        <v>45957.444444444445</v>
      </c>
      <c r="L1417" s="698">
        <v>45957.444444444445</v>
      </c>
      <c r="M1417" t="s">
        <v>565</v>
      </c>
      <c r="N1417" t="s">
        <v>565</v>
      </c>
      <c r="O1417" t="s">
        <v>566</v>
      </c>
      <c r="P1417" t="s">
        <v>567</v>
      </c>
      <c r="S1417" t="s">
        <v>567</v>
      </c>
      <c r="T1417" t="s">
        <v>567</v>
      </c>
      <c r="Z1417" t="s">
        <v>568</v>
      </c>
      <c r="AA1417" t="s">
        <v>568</v>
      </c>
    </row>
    <row r="1418" spans="1:27">
      <c r="A1418" t="s">
        <v>3646</v>
      </c>
      <c r="B1418" t="s">
        <v>3647</v>
      </c>
      <c r="C1418" t="s">
        <v>3648</v>
      </c>
      <c r="D1418" t="s">
        <v>3649</v>
      </c>
      <c r="E1418" t="s">
        <v>562</v>
      </c>
      <c r="F1418" t="s">
        <v>562</v>
      </c>
      <c r="G1418" t="s">
        <v>562</v>
      </c>
      <c r="H1418" t="s">
        <v>562</v>
      </c>
      <c r="I1418">
        <v>3563</v>
      </c>
      <c r="J1418" t="s">
        <v>564</v>
      </c>
      <c r="K1418" s="698">
        <v>45957.415972222225</v>
      </c>
      <c r="L1418" s="698">
        <v>45957.415972222225</v>
      </c>
      <c r="M1418" t="s">
        <v>565</v>
      </c>
      <c r="N1418" t="s">
        <v>565</v>
      </c>
      <c r="O1418" t="s">
        <v>566</v>
      </c>
      <c r="P1418" t="s">
        <v>567</v>
      </c>
      <c r="S1418" t="s">
        <v>567</v>
      </c>
      <c r="T1418" t="s">
        <v>567</v>
      </c>
      <c r="Z1418" t="s">
        <v>568</v>
      </c>
      <c r="AA1418" t="s">
        <v>568</v>
      </c>
    </row>
    <row r="1419" spans="1:27">
      <c r="A1419" t="s">
        <v>3650</v>
      </c>
      <c r="B1419" t="s">
        <v>562</v>
      </c>
      <c r="C1419" t="s">
        <v>562</v>
      </c>
      <c r="D1419" t="s">
        <v>3651</v>
      </c>
      <c r="E1419" t="s">
        <v>3652</v>
      </c>
      <c r="F1419" t="s">
        <v>562</v>
      </c>
      <c r="G1419" t="s">
        <v>562</v>
      </c>
      <c r="H1419" t="s">
        <v>562</v>
      </c>
      <c r="I1419">
        <v>3887</v>
      </c>
      <c r="J1419" t="s">
        <v>564</v>
      </c>
      <c r="K1419" s="698">
        <v>45957.451388888891</v>
      </c>
      <c r="L1419" s="698">
        <v>45957.451388888891</v>
      </c>
      <c r="M1419" t="s">
        <v>565</v>
      </c>
      <c r="N1419" t="s">
        <v>565</v>
      </c>
      <c r="O1419" t="s">
        <v>566</v>
      </c>
      <c r="P1419" t="s">
        <v>567</v>
      </c>
      <c r="S1419" t="s">
        <v>567</v>
      </c>
      <c r="T1419" t="s">
        <v>567</v>
      </c>
      <c r="Z1419" t="s">
        <v>568</v>
      </c>
      <c r="AA1419" t="s">
        <v>568</v>
      </c>
    </row>
    <row r="1420" spans="1:27">
      <c r="A1420" t="s">
        <v>3650</v>
      </c>
      <c r="B1420" t="s">
        <v>3653</v>
      </c>
      <c r="C1420" t="s">
        <v>562</v>
      </c>
      <c r="D1420" t="s">
        <v>3651</v>
      </c>
      <c r="E1420" t="s">
        <v>3654</v>
      </c>
      <c r="F1420" t="s">
        <v>562</v>
      </c>
      <c r="G1420" t="s">
        <v>562</v>
      </c>
      <c r="H1420" t="s">
        <v>562</v>
      </c>
      <c r="I1420">
        <v>4101</v>
      </c>
      <c r="J1420" t="s">
        <v>564</v>
      </c>
      <c r="K1420" s="698">
        <v>45957.476388888892</v>
      </c>
      <c r="L1420" s="698">
        <v>45957.476388888892</v>
      </c>
      <c r="M1420" t="s">
        <v>565</v>
      </c>
      <c r="N1420" t="s">
        <v>565</v>
      </c>
      <c r="O1420" t="s">
        <v>566</v>
      </c>
      <c r="P1420" t="s">
        <v>567</v>
      </c>
      <c r="S1420" t="s">
        <v>567</v>
      </c>
      <c r="T1420" t="s">
        <v>567</v>
      </c>
      <c r="Z1420" t="s">
        <v>568</v>
      </c>
      <c r="AA1420" t="s">
        <v>568</v>
      </c>
    </row>
    <row r="1421" spans="1:27">
      <c r="A1421" t="s">
        <v>3650</v>
      </c>
      <c r="B1421" t="s">
        <v>562</v>
      </c>
      <c r="C1421" t="s">
        <v>562</v>
      </c>
      <c r="D1421" t="s">
        <v>3651</v>
      </c>
      <c r="E1421" t="s">
        <v>3655</v>
      </c>
      <c r="F1421" t="s">
        <v>562</v>
      </c>
      <c r="G1421" t="s">
        <v>562</v>
      </c>
      <c r="H1421" t="s">
        <v>562</v>
      </c>
      <c r="I1421">
        <v>4150</v>
      </c>
      <c r="J1421" t="s">
        <v>564</v>
      </c>
      <c r="K1421" s="698">
        <v>45957.482638888891</v>
      </c>
      <c r="L1421" s="698">
        <v>45957.482638888891</v>
      </c>
      <c r="M1421" t="s">
        <v>565</v>
      </c>
      <c r="N1421" t="s">
        <v>565</v>
      </c>
      <c r="O1421" t="s">
        <v>566</v>
      </c>
      <c r="P1421" t="s">
        <v>567</v>
      </c>
      <c r="S1421" t="s">
        <v>567</v>
      </c>
      <c r="T1421" t="s">
        <v>567</v>
      </c>
      <c r="Z1421" t="s">
        <v>568</v>
      </c>
      <c r="AA1421" t="s">
        <v>568</v>
      </c>
    </row>
    <row r="1422" spans="1:27">
      <c r="A1422" t="s">
        <v>3650</v>
      </c>
      <c r="B1422" t="s">
        <v>562</v>
      </c>
      <c r="C1422" t="s">
        <v>562</v>
      </c>
      <c r="D1422" t="s">
        <v>3651</v>
      </c>
      <c r="E1422" t="s">
        <v>3656</v>
      </c>
      <c r="F1422" t="s">
        <v>562</v>
      </c>
      <c r="G1422" t="s">
        <v>562</v>
      </c>
      <c r="H1422" t="s">
        <v>562</v>
      </c>
      <c r="I1422">
        <v>4249</v>
      </c>
      <c r="J1422" t="s">
        <v>564</v>
      </c>
      <c r="K1422" s="698">
        <v>45957.494444444441</v>
      </c>
      <c r="L1422" s="698">
        <v>45957.494444444441</v>
      </c>
      <c r="M1422" t="s">
        <v>565</v>
      </c>
      <c r="N1422" t="s">
        <v>565</v>
      </c>
      <c r="O1422" t="s">
        <v>566</v>
      </c>
      <c r="P1422" t="s">
        <v>567</v>
      </c>
      <c r="S1422" t="s">
        <v>567</v>
      </c>
      <c r="T1422" t="s">
        <v>567</v>
      </c>
      <c r="Z1422" t="s">
        <v>568</v>
      </c>
      <c r="AA1422" t="s">
        <v>568</v>
      </c>
    </row>
    <row r="1423" spans="1:27">
      <c r="A1423" t="s">
        <v>3650</v>
      </c>
      <c r="B1423" t="s">
        <v>562</v>
      </c>
      <c r="C1423" t="s">
        <v>562</v>
      </c>
      <c r="D1423" t="s">
        <v>3651</v>
      </c>
      <c r="E1423" t="s">
        <v>3657</v>
      </c>
      <c r="F1423" t="s">
        <v>562</v>
      </c>
      <c r="G1423" t="s">
        <v>562</v>
      </c>
      <c r="H1423" t="s">
        <v>562</v>
      </c>
      <c r="I1423">
        <v>4268</v>
      </c>
      <c r="J1423" t="s">
        <v>564</v>
      </c>
      <c r="K1423" s="698">
        <v>45957.49722222222</v>
      </c>
      <c r="L1423" s="698">
        <v>45957.49722222222</v>
      </c>
      <c r="M1423" t="s">
        <v>565</v>
      </c>
      <c r="N1423" t="s">
        <v>565</v>
      </c>
      <c r="O1423" t="s">
        <v>566</v>
      </c>
      <c r="P1423" t="s">
        <v>567</v>
      </c>
      <c r="S1423" t="s">
        <v>567</v>
      </c>
      <c r="T1423" t="s">
        <v>567</v>
      </c>
      <c r="Z1423" t="s">
        <v>568</v>
      </c>
      <c r="AA1423" t="s">
        <v>568</v>
      </c>
    </row>
    <row r="1424" spans="1:27">
      <c r="A1424" t="s">
        <v>3650</v>
      </c>
      <c r="B1424" t="s">
        <v>562</v>
      </c>
      <c r="C1424" t="s">
        <v>562</v>
      </c>
      <c r="D1424" t="s">
        <v>3651</v>
      </c>
      <c r="E1424" t="s">
        <v>1116</v>
      </c>
      <c r="F1424" t="s">
        <v>562</v>
      </c>
      <c r="G1424" t="s">
        <v>562</v>
      </c>
      <c r="H1424" t="s">
        <v>562</v>
      </c>
      <c r="I1424">
        <v>4307</v>
      </c>
      <c r="J1424" t="s">
        <v>564</v>
      </c>
      <c r="K1424" s="698">
        <v>45957.502083333333</v>
      </c>
      <c r="L1424" s="698">
        <v>45957.502083333333</v>
      </c>
      <c r="M1424" t="s">
        <v>565</v>
      </c>
      <c r="N1424" t="s">
        <v>565</v>
      </c>
      <c r="O1424" t="s">
        <v>566</v>
      </c>
      <c r="P1424" t="s">
        <v>567</v>
      </c>
      <c r="S1424" t="s">
        <v>567</v>
      </c>
      <c r="T1424" t="s">
        <v>567</v>
      </c>
      <c r="Z1424" t="s">
        <v>568</v>
      </c>
      <c r="AA1424" t="s">
        <v>568</v>
      </c>
    </row>
    <row r="1425" spans="1:27">
      <c r="A1425" t="s">
        <v>3658</v>
      </c>
      <c r="B1425" t="s">
        <v>3659</v>
      </c>
      <c r="C1425" t="s">
        <v>3660</v>
      </c>
      <c r="D1425" t="s">
        <v>3661</v>
      </c>
      <c r="E1425" t="s">
        <v>3662</v>
      </c>
      <c r="F1425" t="s">
        <v>562</v>
      </c>
      <c r="G1425" t="s">
        <v>562</v>
      </c>
      <c r="H1425" t="s">
        <v>562</v>
      </c>
      <c r="I1425">
        <v>3642</v>
      </c>
      <c r="J1425" t="s">
        <v>564</v>
      </c>
      <c r="K1425" s="698">
        <v>45957.425000000003</v>
      </c>
      <c r="L1425" s="698">
        <v>45957.425000000003</v>
      </c>
      <c r="M1425" t="s">
        <v>565</v>
      </c>
      <c r="N1425" t="s">
        <v>565</v>
      </c>
      <c r="O1425" t="s">
        <v>566</v>
      </c>
      <c r="P1425" t="s">
        <v>567</v>
      </c>
      <c r="S1425" t="s">
        <v>567</v>
      </c>
      <c r="T1425" t="s">
        <v>567</v>
      </c>
      <c r="Z1425" t="s">
        <v>568</v>
      </c>
      <c r="AA1425" t="s">
        <v>568</v>
      </c>
    </row>
    <row r="1426" spans="1:27">
      <c r="A1426" t="s">
        <v>3663</v>
      </c>
      <c r="B1426" t="s">
        <v>3664</v>
      </c>
      <c r="C1426" t="s">
        <v>3665</v>
      </c>
      <c r="D1426" t="s">
        <v>562</v>
      </c>
      <c r="E1426" t="s">
        <v>3666</v>
      </c>
      <c r="F1426" t="s">
        <v>562</v>
      </c>
      <c r="G1426" t="s">
        <v>562</v>
      </c>
      <c r="H1426" t="s">
        <v>562</v>
      </c>
      <c r="I1426">
        <v>3735</v>
      </c>
      <c r="J1426" t="s">
        <v>564</v>
      </c>
      <c r="K1426" s="698">
        <v>45957.43472222222</v>
      </c>
      <c r="L1426" s="698">
        <v>45957.43472222222</v>
      </c>
      <c r="M1426" t="s">
        <v>565</v>
      </c>
      <c r="N1426" t="s">
        <v>565</v>
      </c>
      <c r="O1426" t="s">
        <v>566</v>
      </c>
      <c r="P1426" t="s">
        <v>567</v>
      </c>
      <c r="S1426" t="s">
        <v>567</v>
      </c>
      <c r="T1426" t="s">
        <v>567</v>
      </c>
      <c r="Z1426" t="s">
        <v>568</v>
      </c>
      <c r="AA1426" t="s">
        <v>568</v>
      </c>
    </row>
    <row r="1427" spans="1:27">
      <c r="A1427" t="s">
        <v>3667</v>
      </c>
      <c r="B1427" t="s">
        <v>562</v>
      </c>
      <c r="C1427" t="s">
        <v>562</v>
      </c>
      <c r="D1427" t="s">
        <v>3668</v>
      </c>
      <c r="E1427" t="s">
        <v>3669</v>
      </c>
      <c r="F1427" t="s">
        <v>562</v>
      </c>
      <c r="G1427" t="s">
        <v>562</v>
      </c>
      <c r="H1427" t="s">
        <v>562</v>
      </c>
      <c r="I1427">
        <v>3919</v>
      </c>
      <c r="J1427" t="s">
        <v>564</v>
      </c>
      <c r="K1427" s="698">
        <v>45957.454861111109</v>
      </c>
      <c r="L1427" s="698">
        <v>45957.454861111109</v>
      </c>
      <c r="M1427" t="s">
        <v>565</v>
      </c>
      <c r="N1427" t="s">
        <v>565</v>
      </c>
      <c r="O1427" t="s">
        <v>566</v>
      </c>
      <c r="P1427" t="s">
        <v>567</v>
      </c>
      <c r="S1427" t="s">
        <v>567</v>
      </c>
      <c r="T1427" t="s">
        <v>567</v>
      </c>
      <c r="Z1427" t="s">
        <v>568</v>
      </c>
      <c r="AA1427" t="s">
        <v>568</v>
      </c>
    </row>
    <row r="1428" spans="1:27">
      <c r="A1428" t="s">
        <v>3667</v>
      </c>
      <c r="B1428" t="s">
        <v>3670</v>
      </c>
      <c r="C1428" t="s">
        <v>3671</v>
      </c>
      <c r="D1428" t="s">
        <v>3668</v>
      </c>
      <c r="E1428" t="s">
        <v>3672</v>
      </c>
      <c r="F1428" t="s">
        <v>562</v>
      </c>
      <c r="G1428" t="s">
        <v>562</v>
      </c>
      <c r="H1428" t="s">
        <v>562</v>
      </c>
      <c r="I1428">
        <v>4291</v>
      </c>
      <c r="J1428" t="s">
        <v>564</v>
      </c>
      <c r="K1428" s="698">
        <v>45957.5</v>
      </c>
      <c r="L1428" s="698">
        <v>45957.5</v>
      </c>
      <c r="M1428" t="s">
        <v>565</v>
      </c>
      <c r="N1428" t="s">
        <v>565</v>
      </c>
      <c r="O1428" t="s">
        <v>566</v>
      </c>
      <c r="P1428" t="s">
        <v>567</v>
      </c>
      <c r="S1428" t="s">
        <v>567</v>
      </c>
      <c r="T1428" t="s">
        <v>567</v>
      </c>
      <c r="Z1428" t="s">
        <v>568</v>
      </c>
      <c r="AA1428" t="s">
        <v>568</v>
      </c>
    </row>
    <row r="1429" spans="1:27">
      <c r="A1429" t="s">
        <v>3667</v>
      </c>
      <c r="B1429" t="s">
        <v>562</v>
      </c>
      <c r="C1429" t="s">
        <v>562</v>
      </c>
      <c r="D1429" t="s">
        <v>3668</v>
      </c>
      <c r="E1429" t="s">
        <v>3673</v>
      </c>
      <c r="F1429" t="s">
        <v>562</v>
      </c>
      <c r="G1429" t="s">
        <v>562</v>
      </c>
      <c r="H1429" t="s">
        <v>562</v>
      </c>
      <c r="I1429">
        <v>4751</v>
      </c>
      <c r="J1429" t="s">
        <v>564</v>
      </c>
      <c r="K1429" s="698">
        <v>45957.550694444442</v>
      </c>
      <c r="L1429" s="698">
        <v>45957.550694444442</v>
      </c>
      <c r="M1429" t="s">
        <v>565</v>
      </c>
      <c r="N1429" t="s">
        <v>565</v>
      </c>
      <c r="O1429" t="s">
        <v>566</v>
      </c>
      <c r="P1429" t="s">
        <v>567</v>
      </c>
      <c r="S1429" t="s">
        <v>567</v>
      </c>
      <c r="T1429" t="s">
        <v>567</v>
      </c>
      <c r="Z1429" t="s">
        <v>568</v>
      </c>
      <c r="AA1429" t="s">
        <v>568</v>
      </c>
    </row>
    <row r="1430" spans="1:27">
      <c r="A1430" t="s">
        <v>3667</v>
      </c>
      <c r="B1430" t="s">
        <v>562</v>
      </c>
      <c r="C1430" t="s">
        <v>562</v>
      </c>
      <c r="D1430" t="s">
        <v>3668</v>
      </c>
      <c r="E1430" t="s">
        <v>3674</v>
      </c>
      <c r="F1430" t="s">
        <v>562</v>
      </c>
      <c r="G1430" t="s">
        <v>562</v>
      </c>
      <c r="H1430" t="s">
        <v>562</v>
      </c>
      <c r="I1430">
        <v>4967</v>
      </c>
      <c r="J1430" t="s">
        <v>564</v>
      </c>
      <c r="K1430" s="698">
        <v>45957.557638888888</v>
      </c>
      <c r="L1430" s="698">
        <v>45957.557638888888</v>
      </c>
      <c r="M1430" t="s">
        <v>565</v>
      </c>
      <c r="N1430" t="s">
        <v>565</v>
      </c>
      <c r="O1430" t="s">
        <v>566</v>
      </c>
      <c r="P1430" t="s">
        <v>567</v>
      </c>
      <c r="S1430" t="s">
        <v>567</v>
      </c>
      <c r="T1430" t="s">
        <v>567</v>
      </c>
      <c r="Z1430" t="s">
        <v>568</v>
      </c>
      <c r="AA1430" t="s">
        <v>568</v>
      </c>
    </row>
    <row r="1431" spans="1:27">
      <c r="A1431" t="s">
        <v>3667</v>
      </c>
      <c r="B1431" t="s">
        <v>562</v>
      </c>
      <c r="C1431" t="s">
        <v>562</v>
      </c>
      <c r="D1431" t="s">
        <v>3668</v>
      </c>
      <c r="E1431" t="s">
        <v>3675</v>
      </c>
      <c r="F1431" t="s">
        <v>562</v>
      </c>
      <c r="G1431" t="s">
        <v>562</v>
      </c>
      <c r="H1431" t="s">
        <v>562</v>
      </c>
      <c r="I1431">
        <v>4972</v>
      </c>
      <c r="J1431" t="s">
        <v>564</v>
      </c>
      <c r="K1431" s="698">
        <v>45957.557638888888</v>
      </c>
      <c r="L1431" s="698">
        <v>45957.557638888888</v>
      </c>
      <c r="M1431" t="s">
        <v>565</v>
      </c>
      <c r="N1431" t="s">
        <v>565</v>
      </c>
      <c r="O1431" t="s">
        <v>566</v>
      </c>
      <c r="P1431" t="s">
        <v>567</v>
      </c>
      <c r="S1431" t="s">
        <v>567</v>
      </c>
      <c r="T1431" t="s">
        <v>567</v>
      </c>
      <c r="Z1431" t="s">
        <v>568</v>
      </c>
      <c r="AA1431" t="s">
        <v>568</v>
      </c>
    </row>
    <row r="1432" spans="1:27">
      <c r="A1432" t="s">
        <v>3676</v>
      </c>
      <c r="B1432" t="s">
        <v>1232</v>
      </c>
      <c r="C1432" t="s">
        <v>2134</v>
      </c>
      <c r="D1432" t="s">
        <v>3677</v>
      </c>
      <c r="E1432" t="s">
        <v>3678</v>
      </c>
      <c r="F1432" t="s">
        <v>562</v>
      </c>
      <c r="G1432" t="s">
        <v>562</v>
      </c>
      <c r="H1432" t="s">
        <v>562</v>
      </c>
      <c r="I1432">
        <v>4179</v>
      </c>
      <c r="J1432" t="s">
        <v>564</v>
      </c>
      <c r="K1432" s="698">
        <v>45957.486111111109</v>
      </c>
      <c r="L1432" s="698">
        <v>45957.486111111109</v>
      </c>
      <c r="M1432" t="s">
        <v>565</v>
      </c>
      <c r="N1432" t="s">
        <v>565</v>
      </c>
      <c r="O1432" t="s">
        <v>566</v>
      </c>
      <c r="P1432" t="s">
        <v>567</v>
      </c>
      <c r="S1432" t="s">
        <v>567</v>
      </c>
      <c r="T1432" t="s">
        <v>567</v>
      </c>
      <c r="Z1432" t="s">
        <v>568</v>
      </c>
      <c r="AA1432" t="s">
        <v>568</v>
      </c>
    </row>
    <row r="1433" spans="1:27">
      <c r="A1433" t="s">
        <v>3676</v>
      </c>
      <c r="B1433" t="s">
        <v>3679</v>
      </c>
      <c r="C1433" t="s">
        <v>3680</v>
      </c>
      <c r="D1433" t="s">
        <v>3677</v>
      </c>
      <c r="E1433" t="s">
        <v>3681</v>
      </c>
      <c r="F1433" t="s">
        <v>562</v>
      </c>
      <c r="G1433" t="s">
        <v>562</v>
      </c>
      <c r="H1433" t="s">
        <v>562</v>
      </c>
      <c r="I1433">
        <v>4236</v>
      </c>
      <c r="J1433" t="s">
        <v>564</v>
      </c>
      <c r="K1433" s="698">
        <v>45957.493055555555</v>
      </c>
      <c r="L1433" s="698">
        <v>45957.493055555555</v>
      </c>
      <c r="M1433" t="s">
        <v>565</v>
      </c>
      <c r="N1433" t="s">
        <v>565</v>
      </c>
      <c r="O1433" t="s">
        <v>566</v>
      </c>
      <c r="P1433" t="s">
        <v>567</v>
      </c>
      <c r="S1433" t="s">
        <v>567</v>
      </c>
      <c r="T1433" t="s">
        <v>567</v>
      </c>
      <c r="Z1433" t="s">
        <v>568</v>
      </c>
      <c r="AA1433" t="s">
        <v>568</v>
      </c>
    </row>
    <row r="1434" spans="1:27">
      <c r="A1434" t="s">
        <v>3682</v>
      </c>
      <c r="B1434" t="s">
        <v>683</v>
      </c>
      <c r="C1434" t="s">
        <v>3240</v>
      </c>
      <c r="D1434" t="s">
        <v>562</v>
      </c>
      <c r="E1434" t="s">
        <v>3683</v>
      </c>
      <c r="F1434" t="s">
        <v>562</v>
      </c>
      <c r="G1434" t="s">
        <v>562</v>
      </c>
      <c r="H1434" t="s">
        <v>562</v>
      </c>
      <c r="I1434">
        <v>4889</v>
      </c>
      <c r="J1434" t="s">
        <v>564</v>
      </c>
      <c r="K1434" s="698">
        <v>45957.554861111108</v>
      </c>
      <c r="L1434" s="698">
        <v>45957.554861111108</v>
      </c>
      <c r="M1434" t="s">
        <v>565</v>
      </c>
      <c r="N1434" t="s">
        <v>565</v>
      </c>
      <c r="O1434" t="s">
        <v>566</v>
      </c>
      <c r="P1434" t="s">
        <v>567</v>
      </c>
      <c r="S1434" t="s">
        <v>567</v>
      </c>
      <c r="T1434" t="s">
        <v>567</v>
      </c>
      <c r="Z1434" t="s">
        <v>568</v>
      </c>
      <c r="AA1434" t="s">
        <v>568</v>
      </c>
    </row>
    <row r="1435" spans="1:27">
      <c r="A1435" t="s">
        <v>3684</v>
      </c>
      <c r="B1435" t="s">
        <v>562</v>
      </c>
      <c r="C1435" t="s">
        <v>3685</v>
      </c>
      <c r="D1435" t="s">
        <v>3686</v>
      </c>
      <c r="E1435" t="s">
        <v>562</v>
      </c>
      <c r="F1435" t="s">
        <v>562</v>
      </c>
      <c r="G1435" t="s">
        <v>562</v>
      </c>
      <c r="H1435" t="s">
        <v>562</v>
      </c>
      <c r="I1435">
        <v>3564</v>
      </c>
      <c r="J1435" t="s">
        <v>564</v>
      </c>
      <c r="K1435" s="698">
        <v>45957.415972222225</v>
      </c>
      <c r="L1435" s="698">
        <v>45957.415972222225</v>
      </c>
      <c r="M1435" t="s">
        <v>565</v>
      </c>
      <c r="N1435" t="s">
        <v>565</v>
      </c>
      <c r="O1435" t="s">
        <v>566</v>
      </c>
      <c r="P1435" t="s">
        <v>567</v>
      </c>
      <c r="S1435" t="s">
        <v>567</v>
      </c>
      <c r="T1435" t="s">
        <v>567</v>
      </c>
      <c r="Z1435" t="s">
        <v>568</v>
      </c>
      <c r="AA1435" t="s">
        <v>568</v>
      </c>
    </row>
    <row r="1436" spans="1:27">
      <c r="A1436" t="s">
        <v>3687</v>
      </c>
      <c r="B1436" t="s">
        <v>3688</v>
      </c>
      <c r="C1436" t="s">
        <v>3689</v>
      </c>
      <c r="D1436" t="s">
        <v>562</v>
      </c>
      <c r="E1436" t="s">
        <v>3690</v>
      </c>
      <c r="F1436" t="s">
        <v>562</v>
      </c>
      <c r="G1436" t="s">
        <v>562</v>
      </c>
      <c r="H1436" t="s">
        <v>562</v>
      </c>
      <c r="I1436">
        <v>4212</v>
      </c>
      <c r="J1436" t="s">
        <v>564</v>
      </c>
      <c r="K1436" s="698">
        <v>45957.490277777775</v>
      </c>
      <c r="L1436" s="698">
        <v>45957.490277777775</v>
      </c>
      <c r="M1436" t="s">
        <v>565</v>
      </c>
      <c r="N1436" t="s">
        <v>565</v>
      </c>
      <c r="O1436" t="s">
        <v>566</v>
      </c>
      <c r="P1436" t="s">
        <v>567</v>
      </c>
      <c r="S1436" t="s">
        <v>567</v>
      </c>
      <c r="T1436" t="s">
        <v>567</v>
      </c>
      <c r="Z1436" t="s">
        <v>568</v>
      </c>
      <c r="AA1436" t="s">
        <v>568</v>
      </c>
    </row>
    <row r="1437" spans="1:27">
      <c r="A1437" t="s">
        <v>3691</v>
      </c>
      <c r="B1437" t="s">
        <v>3692</v>
      </c>
      <c r="C1437" t="s">
        <v>3693</v>
      </c>
      <c r="D1437" t="s">
        <v>562</v>
      </c>
      <c r="E1437" t="s">
        <v>3694</v>
      </c>
      <c r="F1437" t="s">
        <v>562</v>
      </c>
      <c r="G1437" t="s">
        <v>562</v>
      </c>
      <c r="H1437" t="s">
        <v>562</v>
      </c>
      <c r="I1437">
        <v>4816</v>
      </c>
      <c r="J1437" t="s">
        <v>564</v>
      </c>
      <c r="K1437" s="698">
        <v>45957.552777777775</v>
      </c>
      <c r="L1437" s="698">
        <v>45957.552777777775</v>
      </c>
      <c r="M1437" t="s">
        <v>565</v>
      </c>
      <c r="N1437" t="s">
        <v>565</v>
      </c>
      <c r="O1437" t="s">
        <v>566</v>
      </c>
      <c r="P1437" t="s">
        <v>567</v>
      </c>
      <c r="S1437" t="s">
        <v>567</v>
      </c>
      <c r="T1437" t="s">
        <v>567</v>
      </c>
      <c r="Z1437" t="s">
        <v>568</v>
      </c>
      <c r="AA1437" t="s">
        <v>568</v>
      </c>
    </row>
    <row r="1438" spans="1:27">
      <c r="A1438" t="s">
        <v>3695</v>
      </c>
      <c r="B1438" t="s">
        <v>996</v>
      </c>
      <c r="C1438" t="s">
        <v>3696</v>
      </c>
      <c r="D1438" t="s">
        <v>3697</v>
      </c>
      <c r="E1438" t="s">
        <v>2174</v>
      </c>
      <c r="F1438" t="s">
        <v>562</v>
      </c>
      <c r="G1438" t="s">
        <v>562</v>
      </c>
      <c r="H1438" t="s">
        <v>562</v>
      </c>
      <c r="I1438">
        <v>4447</v>
      </c>
      <c r="J1438" t="s">
        <v>564</v>
      </c>
      <c r="K1438" s="698">
        <v>45957.519444444442</v>
      </c>
      <c r="L1438" s="698">
        <v>45957.519444444442</v>
      </c>
      <c r="M1438" t="s">
        <v>565</v>
      </c>
      <c r="N1438" t="s">
        <v>565</v>
      </c>
      <c r="O1438" t="s">
        <v>566</v>
      </c>
      <c r="P1438" t="s">
        <v>567</v>
      </c>
      <c r="S1438" t="s">
        <v>567</v>
      </c>
      <c r="T1438" t="s">
        <v>567</v>
      </c>
      <c r="Z1438" t="s">
        <v>568</v>
      </c>
      <c r="AA1438" t="s">
        <v>568</v>
      </c>
    </row>
    <row r="1439" spans="1:27">
      <c r="A1439" t="s">
        <v>3698</v>
      </c>
      <c r="B1439" t="s">
        <v>3699</v>
      </c>
      <c r="C1439" t="s">
        <v>3700</v>
      </c>
      <c r="D1439" t="s">
        <v>562</v>
      </c>
      <c r="E1439" t="s">
        <v>3701</v>
      </c>
      <c r="F1439" t="s">
        <v>562</v>
      </c>
      <c r="G1439" t="s">
        <v>562</v>
      </c>
      <c r="H1439" t="s">
        <v>562</v>
      </c>
      <c r="I1439">
        <v>3648</v>
      </c>
      <c r="J1439" t="s">
        <v>564</v>
      </c>
      <c r="K1439" s="698">
        <v>45957.425694444442</v>
      </c>
      <c r="L1439" s="698">
        <v>45957.425694444442</v>
      </c>
      <c r="M1439" t="s">
        <v>565</v>
      </c>
      <c r="N1439" t="s">
        <v>565</v>
      </c>
      <c r="O1439" t="s">
        <v>566</v>
      </c>
      <c r="P1439" t="s">
        <v>567</v>
      </c>
      <c r="S1439" t="s">
        <v>567</v>
      </c>
      <c r="T1439" t="s">
        <v>567</v>
      </c>
      <c r="Z1439" t="s">
        <v>568</v>
      </c>
      <c r="AA1439" t="s">
        <v>568</v>
      </c>
    </row>
    <row r="1440" spans="1:27">
      <c r="A1440" t="s">
        <v>3702</v>
      </c>
      <c r="B1440" t="s">
        <v>3702</v>
      </c>
      <c r="C1440" t="s">
        <v>3703</v>
      </c>
      <c r="D1440" t="s">
        <v>562</v>
      </c>
      <c r="E1440" t="s">
        <v>3704</v>
      </c>
      <c r="F1440" t="s">
        <v>562</v>
      </c>
      <c r="G1440" t="s">
        <v>562</v>
      </c>
      <c r="H1440" t="s">
        <v>562</v>
      </c>
      <c r="I1440">
        <v>4400</v>
      </c>
      <c r="J1440" t="s">
        <v>564</v>
      </c>
      <c r="K1440" s="698">
        <v>45957.513888888891</v>
      </c>
      <c r="L1440" s="698">
        <v>45957.513888888891</v>
      </c>
      <c r="M1440" t="s">
        <v>565</v>
      </c>
      <c r="N1440" t="s">
        <v>565</v>
      </c>
      <c r="O1440" t="s">
        <v>566</v>
      </c>
      <c r="P1440" t="s">
        <v>567</v>
      </c>
      <c r="S1440" t="s">
        <v>567</v>
      </c>
      <c r="T1440" t="s">
        <v>567</v>
      </c>
      <c r="Z1440" t="s">
        <v>568</v>
      </c>
      <c r="AA1440" t="s">
        <v>568</v>
      </c>
    </row>
    <row r="1441" spans="1:27">
      <c r="A1441" t="s">
        <v>3705</v>
      </c>
      <c r="B1441" t="s">
        <v>3706</v>
      </c>
      <c r="C1441" t="s">
        <v>3707</v>
      </c>
      <c r="D1441" t="s">
        <v>3708</v>
      </c>
      <c r="E1441" t="s">
        <v>3709</v>
      </c>
      <c r="F1441" t="s">
        <v>562</v>
      </c>
      <c r="G1441" t="s">
        <v>562</v>
      </c>
      <c r="H1441" t="s">
        <v>562</v>
      </c>
      <c r="I1441">
        <v>3984</v>
      </c>
      <c r="J1441" t="s">
        <v>564</v>
      </c>
      <c r="K1441" s="698">
        <v>45957.462500000001</v>
      </c>
      <c r="L1441" s="698">
        <v>45957.462500000001</v>
      </c>
      <c r="M1441" t="s">
        <v>565</v>
      </c>
      <c r="N1441" t="s">
        <v>565</v>
      </c>
      <c r="O1441" t="s">
        <v>566</v>
      </c>
      <c r="P1441" t="s">
        <v>567</v>
      </c>
      <c r="S1441" t="s">
        <v>567</v>
      </c>
      <c r="T1441" t="s">
        <v>567</v>
      </c>
      <c r="Z1441" t="s">
        <v>568</v>
      </c>
      <c r="AA1441" t="s">
        <v>568</v>
      </c>
    </row>
    <row r="1442" spans="1:27">
      <c r="A1442" t="s">
        <v>3710</v>
      </c>
      <c r="B1442" t="s">
        <v>562</v>
      </c>
      <c r="C1442" t="s">
        <v>562</v>
      </c>
      <c r="D1442" t="s">
        <v>3711</v>
      </c>
      <c r="E1442" t="s">
        <v>562</v>
      </c>
      <c r="F1442" t="s">
        <v>562</v>
      </c>
      <c r="G1442" t="s">
        <v>562</v>
      </c>
      <c r="H1442" t="s">
        <v>562</v>
      </c>
      <c r="I1442">
        <v>3565</v>
      </c>
      <c r="J1442" t="s">
        <v>564</v>
      </c>
      <c r="K1442" s="698">
        <v>45957.415972222225</v>
      </c>
      <c r="L1442" s="698">
        <v>45957.415972222225</v>
      </c>
      <c r="M1442" t="s">
        <v>565</v>
      </c>
      <c r="N1442" t="s">
        <v>565</v>
      </c>
      <c r="O1442" t="s">
        <v>566</v>
      </c>
      <c r="P1442" t="s">
        <v>567</v>
      </c>
      <c r="S1442" t="s">
        <v>567</v>
      </c>
      <c r="T1442" t="s">
        <v>567</v>
      </c>
      <c r="Z1442" t="s">
        <v>568</v>
      </c>
      <c r="AA1442" t="s">
        <v>568</v>
      </c>
    </row>
    <row r="1443" spans="1:27">
      <c r="A1443" t="s">
        <v>3712</v>
      </c>
      <c r="B1443" t="s">
        <v>1748</v>
      </c>
      <c r="C1443" t="s">
        <v>3713</v>
      </c>
      <c r="D1443" t="s">
        <v>562</v>
      </c>
      <c r="E1443" t="s">
        <v>3714</v>
      </c>
      <c r="F1443" t="s">
        <v>562</v>
      </c>
      <c r="G1443" t="s">
        <v>562</v>
      </c>
      <c r="H1443" t="s">
        <v>562</v>
      </c>
      <c r="I1443">
        <v>3856</v>
      </c>
      <c r="J1443" t="s">
        <v>564</v>
      </c>
      <c r="K1443" s="698">
        <v>45957.447916666664</v>
      </c>
      <c r="L1443" s="698">
        <v>45957.447916666664</v>
      </c>
      <c r="M1443" t="s">
        <v>565</v>
      </c>
      <c r="N1443" t="s">
        <v>565</v>
      </c>
      <c r="O1443" t="s">
        <v>566</v>
      </c>
      <c r="P1443" t="s">
        <v>567</v>
      </c>
      <c r="S1443" t="s">
        <v>567</v>
      </c>
      <c r="T1443" t="s">
        <v>567</v>
      </c>
      <c r="Z1443" t="s">
        <v>568</v>
      </c>
      <c r="AA1443" t="s">
        <v>568</v>
      </c>
    </row>
    <row r="1444" spans="1:27">
      <c r="A1444" t="s">
        <v>3715</v>
      </c>
      <c r="B1444" t="s">
        <v>3716</v>
      </c>
      <c r="C1444" t="s">
        <v>3717</v>
      </c>
      <c r="D1444" t="s">
        <v>562</v>
      </c>
      <c r="E1444" t="s">
        <v>3718</v>
      </c>
      <c r="F1444" t="s">
        <v>562</v>
      </c>
      <c r="G1444" t="s">
        <v>562</v>
      </c>
      <c r="H1444" t="s">
        <v>562</v>
      </c>
      <c r="I1444">
        <v>4260</v>
      </c>
      <c r="J1444" t="s">
        <v>564</v>
      </c>
      <c r="K1444" s="698">
        <v>45957.495833333334</v>
      </c>
      <c r="L1444" s="698">
        <v>45957.495833333334</v>
      </c>
      <c r="M1444" t="s">
        <v>565</v>
      </c>
      <c r="N1444" t="s">
        <v>565</v>
      </c>
      <c r="O1444" t="s">
        <v>566</v>
      </c>
      <c r="P1444" t="s">
        <v>567</v>
      </c>
      <c r="S1444" t="s">
        <v>567</v>
      </c>
      <c r="T1444" t="s">
        <v>567</v>
      </c>
      <c r="Z1444" t="s">
        <v>568</v>
      </c>
      <c r="AA1444" t="s">
        <v>568</v>
      </c>
    </row>
    <row r="1445" spans="1:27">
      <c r="A1445" t="s">
        <v>3719</v>
      </c>
      <c r="B1445" t="s">
        <v>3720</v>
      </c>
      <c r="C1445" t="s">
        <v>3721</v>
      </c>
      <c r="D1445" t="s">
        <v>562</v>
      </c>
      <c r="E1445" t="s">
        <v>3722</v>
      </c>
      <c r="F1445" t="s">
        <v>562</v>
      </c>
      <c r="G1445" t="s">
        <v>562</v>
      </c>
      <c r="H1445" t="s">
        <v>562</v>
      </c>
      <c r="I1445">
        <v>4739</v>
      </c>
      <c r="J1445" t="s">
        <v>564</v>
      </c>
      <c r="K1445" s="698">
        <v>45957.550694444442</v>
      </c>
      <c r="L1445" s="698">
        <v>45957.550694444442</v>
      </c>
      <c r="M1445" t="s">
        <v>565</v>
      </c>
      <c r="N1445" t="s">
        <v>565</v>
      </c>
      <c r="O1445" t="s">
        <v>566</v>
      </c>
      <c r="P1445" t="s">
        <v>567</v>
      </c>
      <c r="S1445" t="s">
        <v>567</v>
      </c>
      <c r="T1445" t="s">
        <v>567</v>
      </c>
      <c r="Z1445" t="s">
        <v>568</v>
      </c>
      <c r="AA1445" t="s">
        <v>568</v>
      </c>
    </row>
    <row r="1446" spans="1:27">
      <c r="A1446" t="s">
        <v>3723</v>
      </c>
      <c r="B1446" t="s">
        <v>3243</v>
      </c>
      <c r="C1446" t="s">
        <v>3244</v>
      </c>
      <c r="D1446" t="s">
        <v>562</v>
      </c>
      <c r="E1446" t="s">
        <v>3724</v>
      </c>
      <c r="F1446" t="s">
        <v>562</v>
      </c>
      <c r="G1446" t="s">
        <v>562</v>
      </c>
      <c r="H1446" t="s">
        <v>562</v>
      </c>
      <c r="I1446">
        <v>4758</v>
      </c>
      <c r="J1446" t="s">
        <v>564</v>
      </c>
      <c r="K1446" s="698">
        <v>45957.550694444442</v>
      </c>
      <c r="L1446" s="698">
        <v>45957.550694444442</v>
      </c>
      <c r="M1446" t="s">
        <v>565</v>
      </c>
      <c r="N1446" t="s">
        <v>565</v>
      </c>
      <c r="O1446" t="s">
        <v>566</v>
      </c>
      <c r="P1446" t="s">
        <v>567</v>
      </c>
      <c r="S1446" t="s">
        <v>567</v>
      </c>
      <c r="T1446" t="s">
        <v>567</v>
      </c>
      <c r="Z1446" t="s">
        <v>568</v>
      </c>
      <c r="AA1446" t="s">
        <v>568</v>
      </c>
    </row>
    <row r="1447" spans="1:27">
      <c r="A1447" t="s">
        <v>3723</v>
      </c>
      <c r="B1447" t="s">
        <v>603</v>
      </c>
      <c r="C1447" t="s">
        <v>3725</v>
      </c>
      <c r="D1447" t="s">
        <v>562</v>
      </c>
      <c r="E1447" t="s">
        <v>3726</v>
      </c>
      <c r="F1447" t="s">
        <v>562</v>
      </c>
      <c r="G1447" t="s">
        <v>562</v>
      </c>
      <c r="H1447" t="s">
        <v>562</v>
      </c>
      <c r="I1447">
        <v>4830</v>
      </c>
      <c r="J1447" t="s">
        <v>564</v>
      </c>
      <c r="K1447" s="698">
        <v>45957.553472222222</v>
      </c>
      <c r="L1447" s="698">
        <v>45957.553472222222</v>
      </c>
      <c r="M1447" t="s">
        <v>565</v>
      </c>
      <c r="N1447" t="s">
        <v>565</v>
      </c>
      <c r="O1447" t="s">
        <v>566</v>
      </c>
      <c r="P1447" t="s">
        <v>567</v>
      </c>
      <c r="S1447" t="s">
        <v>567</v>
      </c>
      <c r="T1447" t="s">
        <v>567</v>
      </c>
      <c r="Z1447" t="s">
        <v>568</v>
      </c>
      <c r="AA1447" t="s">
        <v>568</v>
      </c>
    </row>
    <row r="1448" spans="1:27">
      <c r="A1448" t="s">
        <v>3727</v>
      </c>
      <c r="B1448" t="s">
        <v>3728</v>
      </c>
      <c r="C1448" t="s">
        <v>3729</v>
      </c>
      <c r="D1448" t="s">
        <v>562</v>
      </c>
      <c r="E1448" t="s">
        <v>3730</v>
      </c>
      <c r="F1448" t="s">
        <v>562</v>
      </c>
      <c r="G1448" t="s">
        <v>562</v>
      </c>
      <c r="H1448" t="s">
        <v>562</v>
      </c>
      <c r="I1448">
        <v>4987</v>
      </c>
      <c r="J1448" t="s">
        <v>564</v>
      </c>
      <c r="K1448" s="698">
        <v>45957.558333333334</v>
      </c>
      <c r="L1448" s="698">
        <v>45957.558333333334</v>
      </c>
      <c r="M1448" t="s">
        <v>565</v>
      </c>
      <c r="N1448" t="s">
        <v>565</v>
      </c>
      <c r="O1448" t="s">
        <v>566</v>
      </c>
      <c r="P1448" t="s">
        <v>567</v>
      </c>
      <c r="S1448" t="s">
        <v>567</v>
      </c>
      <c r="T1448" t="s">
        <v>567</v>
      </c>
      <c r="Z1448" t="s">
        <v>568</v>
      </c>
      <c r="AA1448" t="s">
        <v>568</v>
      </c>
    </row>
    <row r="1449" spans="1:27">
      <c r="A1449" t="s">
        <v>3731</v>
      </c>
      <c r="B1449" t="s">
        <v>562</v>
      </c>
      <c r="C1449" t="s">
        <v>562</v>
      </c>
      <c r="D1449" t="s">
        <v>3732</v>
      </c>
      <c r="E1449" t="s">
        <v>3733</v>
      </c>
      <c r="F1449" t="s">
        <v>562</v>
      </c>
      <c r="G1449" t="s">
        <v>562</v>
      </c>
      <c r="H1449" t="s">
        <v>562</v>
      </c>
      <c r="I1449">
        <v>3661</v>
      </c>
      <c r="J1449" t="s">
        <v>564</v>
      </c>
      <c r="K1449" s="698">
        <v>45957.427083333336</v>
      </c>
      <c r="L1449" s="698">
        <v>45957.427083333336</v>
      </c>
      <c r="M1449" t="s">
        <v>565</v>
      </c>
      <c r="N1449" t="s">
        <v>565</v>
      </c>
      <c r="O1449" t="s">
        <v>566</v>
      </c>
      <c r="P1449" t="s">
        <v>567</v>
      </c>
      <c r="S1449" t="s">
        <v>567</v>
      </c>
      <c r="T1449" t="s">
        <v>567</v>
      </c>
      <c r="Z1449" t="s">
        <v>568</v>
      </c>
      <c r="AA1449" t="s">
        <v>568</v>
      </c>
    </row>
    <row r="1450" spans="1:27">
      <c r="A1450" t="s">
        <v>3734</v>
      </c>
      <c r="B1450" t="s">
        <v>3735</v>
      </c>
      <c r="C1450" t="s">
        <v>3736</v>
      </c>
      <c r="D1450" t="s">
        <v>3737</v>
      </c>
      <c r="E1450" t="s">
        <v>1195</v>
      </c>
      <c r="F1450" t="s">
        <v>562</v>
      </c>
      <c r="G1450" t="s">
        <v>562</v>
      </c>
      <c r="H1450" t="s">
        <v>562</v>
      </c>
      <c r="I1450">
        <v>4475</v>
      </c>
      <c r="J1450" t="s">
        <v>564</v>
      </c>
      <c r="K1450" s="698">
        <v>45957.522916666669</v>
      </c>
      <c r="L1450" s="698">
        <v>45957.522916666669</v>
      </c>
      <c r="M1450" t="s">
        <v>565</v>
      </c>
      <c r="N1450" t="s">
        <v>565</v>
      </c>
      <c r="O1450" t="s">
        <v>566</v>
      </c>
      <c r="P1450" t="s">
        <v>567</v>
      </c>
      <c r="S1450" t="s">
        <v>567</v>
      </c>
      <c r="T1450" t="s">
        <v>567</v>
      </c>
      <c r="Z1450" t="s">
        <v>568</v>
      </c>
      <c r="AA1450" t="s">
        <v>568</v>
      </c>
    </row>
    <row r="1451" spans="1:27">
      <c r="A1451" t="s">
        <v>3738</v>
      </c>
      <c r="B1451" t="s">
        <v>3738</v>
      </c>
      <c r="C1451" t="s">
        <v>3739</v>
      </c>
      <c r="D1451" t="s">
        <v>562</v>
      </c>
      <c r="E1451" t="s">
        <v>3740</v>
      </c>
      <c r="F1451" t="s">
        <v>562</v>
      </c>
      <c r="G1451" t="s">
        <v>562</v>
      </c>
      <c r="H1451" t="s">
        <v>562</v>
      </c>
      <c r="I1451">
        <v>4853</v>
      </c>
      <c r="J1451" t="s">
        <v>564</v>
      </c>
      <c r="K1451" s="698">
        <v>45957.554166666669</v>
      </c>
      <c r="L1451" s="698">
        <v>45957.554166666669</v>
      </c>
      <c r="M1451" t="s">
        <v>565</v>
      </c>
      <c r="N1451" t="s">
        <v>565</v>
      </c>
      <c r="O1451" t="s">
        <v>566</v>
      </c>
      <c r="P1451" t="s">
        <v>567</v>
      </c>
      <c r="S1451" t="s">
        <v>567</v>
      </c>
      <c r="T1451" t="s">
        <v>567</v>
      </c>
      <c r="Z1451" t="s">
        <v>568</v>
      </c>
      <c r="AA1451" t="s">
        <v>568</v>
      </c>
    </row>
    <row r="1452" spans="1:27">
      <c r="A1452" t="s">
        <v>3741</v>
      </c>
      <c r="B1452" t="s">
        <v>3742</v>
      </c>
      <c r="C1452" t="s">
        <v>3743</v>
      </c>
      <c r="D1452" t="s">
        <v>3744</v>
      </c>
      <c r="E1452" t="s">
        <v>3745</v>
      </c>
      <c r="F1452" t="s">
        <v>562</v>
      </c>
      <c r="G1452" t="s">
        <v>562</v>
      </c>
      <c r="H1452" t="s">
        <v>562</v>
      </c>
      <c r="I1452">
        <v>3985</v>
      </c>
      <c r="J1452" t="s">
        <v>564</v>
      </c>
      <c r="K1452" s="698">
        <v>45957.462500000001</v>
      </c>
      <c r="L1452" s="698">
        <v>45957.462500000001</v>
      </c>
      <c r="M1452" t="s">
        <v>565</v>
      </c>
      <c r="N1452" t="s">
        <v>565</v>
      </c>
      <c r="O1452" t="s">
        <v>566</v>
      </c>
      <c r="P1452" t="s">
        <v>567</v>
      </c>
      <c r="S1452" t="s">
        <v>567</v>
      </c>
      <c r="T1452" t="s">
        <v>567</v>
      </c>
      <c r="Z1452" t="s">
        <v>568</v>
      </c>
      <c r="AA1452" t="s">
        <v>568</v>
      </c>
    </row>
    <row r="1453" spans="1:27">
      <c r="A1453" t="s">
        <v>3746</v>
      </c>
      <c r="B1453" t="s">
        <v>3747</v>
      </c>
      <c r="C1453" t="s">
        <v>3748</v>
      </c>
      <c r="D1453" t="s">
        <v>3749</v>
      </c>
      <c r="E1453" t="s">
        <v>3750</v>
      </c>
      <c r="F1453" t="s">
        <v>562</v>
      </c>
      <c r="G1453" t="s">
        <v>562</v>
      </c>
      <c r="H1453" t="s">
        <v>562</v>
      </c>
      <c r="I1453">
        <v>4012</v>
      </c>
      <c r="J1453" t="s">
        <v>564</v>
      </c>
      <c r="K1453" s="698">
        <v>45957.46597222222</v>
      </c>
      <c r="L1453" s="698">
        <v>45957.46597222222</v>
      </c>
      <c r="M1453" t="s">
        <v>565</v>
      </c>
      <c r="N1453" t="s">
        <v>565</v>
      </c>
      <c r="O1453" t="s">
        <v>566</v>
      </c>
      <c r="P1453" t="s">
        <v>567</v>
      </c>
      <c r="S1453" t="s">
        <v>567</v>
      </c>
      <c r="T1453" t="s">
        <v>567</v>
      </c>
      <c r="Z1453" t="s">
        <v>568</v>
      </c>
      <c r="AA1453" t="s">
        <v>568</v>
      </c>
    </row>
    <row r="1454" spans="1:27">
      <c r="A1454" t="s">
        <v>3746</v>
      </c>
      <c r="B1454" t="s">
        <v>3747</v>
      </c>
      <c r="C1454" t="s">
        <v>3748</v>
      </c>
      <c r="D1454" t="s">
        <v>3749</v>
      </c>
      <c r="E1454" t="s">
        <v>3751</v>
      </c>
      <c r="F1454" t="s">
        <v>562</v>
      </c>
      <c r="G1454" t="s">
        <v>562</v>
      </c>
      <c r="H1454" t="s">
        <v>562</v>
      </c>
      <c r="I1454">
        <v>4339</v>
      </c>
      <c r="J1454" t="s">
        <v>564</v>
      </c>
      <c r="K1454" s="698">
        <v>45957.506249999999</v>
      </c>
      <c r="L1454" s="698">
        <v>45957.506249999999</v>
      </c>
      <c r="M1454" t="s">
        <v>565</v>
      </c>
      <c r="N1454" t="s">
        <v>565</v>
      </c>
      <c r="O1454" t="s">
        <v>566</v>
      </c>
      <c r="P1454" t="s">
        <v>567</v>
      </c>
      <c r="S1454" t="s">
        <v>567</v>
      </c>
      <c r="T1454" t="s">
        <v>567</v>
      </c>
      <c r="Z1454" t="s">
        <v>568</v>
      </c>
      <c r="AA1454" t="s">
        <v>568</v>
      </c>
    </row>
    <row r="1455" spans="1:27">
      <c r="A1455" t="s">
        <v>3746</v>
      </c>
      <c r="B1455" t="s">
        <v>3747</v>
      </c>
      <c r="C1455" t="s">
        <v>3748</v>
      </c>
      <c r="D1455" t="s">
        <v>3749</v>
      </c>
      <c r="E1455" t="s">
        <v>3752</v>
      </c>
      <c r="F1455" t="s">
        <v>562</v>
      </c>
      <c r="G1455" t="s">
        <v>562</v>
      </c>
      <c r="H1455" t="s">
        <v>562</v>
      </c>
      <c r="I1455">
        <v>4342</v>
      </c>
      <c r="J1455" t="s">
        <v>564</v>
      </c>
      <c r="K1455" s="698">
        <v>45957.506944444445</v>
      </c>
      <c r="L1455" s="698">
        <v>45957.506944444445</v>
      </c>
      <c r="M1455" t="s">
        <v>565</v>
      </c>
      <c r="N1455" t="s">
        <v>565</v>
      </c>
      <c r="O1455" t="s">
        <v>566</v>
      </c>
      <c r="P1455" t="s">
        <v>567</v>
      </c>
      <c r="S1455" t="s">
        <v>567</v>
      </c>
      <c r="T1455" t="s">
        <v>567</v>
      </c>
      <c r="Z1455" t="s">
        <v>568</v>
      </c>
      <c r="AA1455" t="s">
        <v>568</v>
      </c>
    </row>
    <row r="1456" spans="1:27">
      <c r="A1456" t="s">
        <v>3746</v>
      </c>
      <c r="B1456" t="s">
        <v>3747</v>
      </c>
      <c r="C1456" t="s">
        <v>3748</v>
      </c>
      <c r="D1456" t="s">
        <v>3749</v>
      </c>
      <c r="E1456" t="s">
        <v>3753</v>
      </c>
      <c r="F1456" t="s">
        <v>562</v>
      </c>
      <c r="G1456" t="s">
        <v>562</v>
      </c>
      <c r="H1456" t="s">
        <v>562</v>
      </c>
      <c r="I1456">
        <v>4959</v>
      </c>
      <c r="J1456" t="s">
        <v>564</v>
      </c>
      <c r="K1456" s="698">
        <v>45957.556944444441</v>
      </c>
      <c r="L1456" s="698">
        <v>45957.556944444441</v>
      </c>
      <c r="M1456" t="s">
        <v>565</v>
      </c>
      <c r="N1456" t="s">
        <v>565</v>
      </c>
      <c r="O1456" t="s">
        <v>566</v>
      </c>
      <c r="P1456" t="s">
        <v>567</v>
      </c>
      <c r="S1456" t="s">
        <v>567</v>
      </c>
      <c r="T1456" t="s">
        <v>567</v>
      </c>
      <c r="Z1456" t="s">
        <v>568</v>
      </c>
      <c r="AA1456" t="s">
        <v>568</v>
      </c>
    </row>
    <row r="1457" spans="1:27">
      <c r="A1457" t="s">
        <v>3754</v>
      </c>
      <c r="B1457" t="s">
        <v>3755</v>
      </c>
      <c r="C1457" t="s">
        <v>3756</v>
      </c>
      <c r="D1457" t="s">
        <v>3757</v>
      </c>
      <c r="E1457" t="s">
        <v>3758</v>
      </c>
      <c r="F1457" t="s">
        <v>562</v>
      </c>
      <c r="G1457" t="s">
        <v>562</v>
      </c>
      <c r="H1457" t="s">
        <v>562</v>
      </c>
      <c r="I1457">
        <v>5008</v>
      </c>
      <c r="J1457" t="s">
        <v>564</v>
      </c>
      <c r="K1457" s="698">
        <v>45957.559027777781</v>
      </c>
      <c r="L1457" s="698">
        <v>45957.559027777781</v>
      </c>
      <c r="M1457" t="s">
        <v>565</v>
      </c>
      <c r="N1457" t="s">
        <v>565</v>
      </c>
      <c r="O1457" t="s">
        <v>566</v>
      </c>
      <c r="P1457" t="s">
        <v>567</v>
      </c>
      <c r="S1457" t="s">
        <v>567</v>
      </c>
      <c r="T1457" t="s">
        <v>567</v>
      </c>
      <c r="Z1457" t="s">
        <v>568</v>
      </c>
      <c r="AA1457" t="s">
        <v>568</v>
      </c>
    </row>
    <row r="1458" spans="1:27">
      <c r="A1458" t="s">
        <v>3759</v>
      </c>
      <c r="B1458" t="s">
        <v>3760</v>
      </c>
      <c r="C1458" t="s">
        <v>3761</v>
      </c>
      <c r="D1458" t="s">
        <v>562</v>
      </c>
      <c r="E1458" t="s">
        <v>3762</v>
      </c>
      <c r="F1458" t="s">
        <v>562</v>
      </c>
      <c r="G1458" t="s">
        <v>562</v>
      </c>
      <c r="H1458" t="s">
        <v>562</v>
      </c>
      <c r="I1458">
        <v>4125</v>
      </c>
      <c r="J1458" t="s">
        <v>564</v>
      </c>
      <c r="K1458" s="698">
        <v>45957.479166666664</v>
      </c>
      <c r="L1458" s="698">
        <v>45957.479166666664</v>
      </c>
      <c r="M1458" t="s">
        <v>565</v>
      </c>
      <c r="N1458" t="s">
        <v>565</v>
      </c>
      <c r="O1458" t="s">
        <v>566</v>
      </c>
      <c r="P1458" t="s">
        <v>567</v>
      </c>
      <c r="S1458" t="s">
        <v>567</v>
      </c>
      <c r="T1458" t="s">
        <v>567</v>
      </c>
      <c r="Z1458" t="s">
        <v>568</v>
      </c>
      <c r="AA1458" t="s">
        <v>568</v>
      </c>
    </row>
    <row r="1459" spans="1:27">
      <c r="A1459" t="s">
        <v>3763</v>
      </c>
      <c r="B1459" t="s">
        <v>3764</v>
      </c>
      <c r="C1459" t="s">
        <v>3765</v>
      </c>
      <c r="D1459" t="s">
        <v>3766</v>
      </c>
      <c r="E1459" t="s">
        <v>3767</v>
      </c>
      <c r="F1459" t="s">
        <v>562</v>
      </c>
      <c r="G1459" t="s">
        <v>562</v>
      </c>
      <c r="H1459" t="s">
        <v>562</v>
      </c>
      <c r="I1459">
        <v>4124</v>
      </c>
      <c r="J1459" t="s">
        <v>564</v>
      </c>
      <c r="K1459" s="698">
        <v>45957.479166666664</v>
      </c>
      <c r="L1459" s="698">
        <v>45957.479166666664</v>
      </c>
      <c r="M1459" t="s">
        <v>565</v>
      </c>
      <c r="N1459" t="s">
        <v>565</v>
      </c>
      <c r="O1459" t="s">
        <v>566</v>
      </c>
      <c r="P1459" t="s">
        <v>567</v>
      </c>
      <c r="S1459" t="s">
        <v>567</v>
      </c>
      <c r="T1459" t="s">
        <v>567</v>
      </c>
      <c r="Z1459" t="s">
        <v>568</v>
      </c>
      <c r="AA1459" t="s">
        <v>568</v>
      </c>
    </row>
    <row r="1460" spans="1:27">
      <c r="A1460" t="s">
        <v>3768</v>
      </c>
      <c r="B1460" t="s">
        <v>3769</v>
      </c>
      <c r="C1460" t="s">
        <v>3770</v>
      </c>
      <c r="D1460" t="s">
        <v>562</v>
      </c>
      <c r="E1460" t="s">
        <v>3771</v>
      </c>
      <c r="F1460" t="s">
        <v>562</v>
      </c>
      <c r="G1460" t="s">
        <v>562</v>
      </c>
      <c r="H1460" t="s">
        <v>562</v>
      </c>
      <c r="I1460">
        <v>3694</v>
      </c>
      <c r="J1460" t="s">
        <v>564</v>
      </c>
      <c r="K1460" s="698">
        <v>45957.430555555555</v>
      </c>
      <c r="L1460" s="698">
        <v>45957.430555555555</v>
      </c>
      <c r="M1460" t="s">
        <v>565</v>
      </c>
      <c r="N1460" t="s">
        <v>565</v>
      </c>
      <c r="O1460" t="s">
        <v>566</v>
      </c>
      <c r="P1460" t="s">
        <v>567</v>
      </c>
      <c r="S1460" t="s">
        <v>567</v>
      </c>
      <c r="T1460" t="s">
        <v>567</v>
      </c>
      <c r="Z1460" t="s">
        <v>568</v>
      </c>
      <c r="AA1460" t="s">
        <v>568</v>
      </c>
    </row>
    <row r="1461" spans="1:27">
      <c r="A1461" t="s">
        <v>3768</v>
      </c>
      <c r="B1461" t="s">
        <v>3772</v>
      </c>
      <c r="C1461" t="s">
        <v>3773</v>
      </c>
      <c r="D1461" t="s">
        <v>562</v>
      </c>
      <c r="E1461" t="s">
        <v>3774</v>
      </c>
      <c r="F1461" t="s">
        <v>562</v>
      </c>
      <c r="G1461" t="s">
        <v>562</v>
      </c>
      <c r="H1461" t="s">
        <v>562</v>
      </c>
      <c r="I1461">
        <v>4670</v>
      </c>
      <c r="J1461" t="s">
        <v>564</v>
      </c>
      <c r="K1461" s="698">
        <v>45957.54791666667</v>
      </c>
      <c r="L1461" s="698">
        <v>45957.54791666667</v>
      </c>
      <c r="M1461" t="s">
        <v>565</v>
      </c>
      <c r="N1461" t="s">
        <v>565</v>
      </c>
      <c r="O1461" t="s">
        <v>566</v>
      </c>
      <c r="P1461" t="s">
        <v>567</v>
      </c>
      <c r="S1461" t="s">
        <v>567</v>
      </c>
      <c r="T1461" t="s">
        <v>567</v>
      </c>
      <c r="Z1461" t="s">
        <v>568</v>
      </c>
      <c r="AA1461" t="s">
        <v>568</v>
      </c>
    </row>
    <row r="1462" spans="1:27">
      <c r="A1462" t="s">
        <v>3768</v>
      </c>
      <c r="B1462" t="s">
        <v>3775</v>
      </c>
      <c r="C1462" t="s">
        <v>3776</v>
      </c>
      <c r="D1462" t="s">
        <v>562</v>
      </c>
      <c r="E1462" t="s">
        <v>3777</v>
      </c>
      <c r="F1462" t="s">
        <v>562</v>
      </c>
      <c r="G1462" t="s">
        <v>562</v>
      </c>
      <c r="H1462" t="s">
        <v>562</v>
      </c>
      <c r="I1462">
        <v>4769</v>
      </c>
      <c r="J1462" t="s">
        <v>564</v>
      </c>
      <c r="K1462" s="698">
        <v>45957.551388888889</v>
      </c>
      <c r="L1462" s="698">
        <v>45957.551388888889</v>
      </c>
      <c r="M1462" t="s">
        <v>565</v>
      </c>
      <c r="N1462" t="s">
        <v>565</v>
      </c>
      <c r="O1462" t="s">
        <v>566</v>
      </c>
      <c r="P1462" t="s">
        <v>567</v>
      </c>
      <c r="S1462" t="s">
        <v>567</v>
      </c>
      <c r="T1462" t="s">
        <v>567</v>
      </c>
      <c r="Z1462" t="s">
        <v>568</v>
      </c>
      <c r="AA1462" t="s">
        <v>568</v>
      </c>
    </row>
    <row r="1463" spans="1:27">
      <c r="A1463" t="s">
        <v>3778</v>
      </c>
      <c r="B1463" t="s">
        <v>3779</v>
      </c>
      <c r="C1463" t="s">
        <v>3780</v>
      </c>
      <c r="D1463" t="s">
        <v>3781</v>
      </c>
      <c r="E1463" t="s">
        <v>3782</v>
      </c>
      <c r="F1463" t="s">
        <v>562</v>
      </c>
      <c r="G1463" t="s">
        <v>562</v>
      </c>
      <c r="H1463" t="s">
        <v>562</v>
      </c>
      <c r="I1463">
        <v>4930</v>
      </c>
      <c r="J1463" t="s">
        <v>564</v>
      </c>
      <c r="K1463" s="698">
        <v>45957.556250000001</v>
      </c>
      <c r="L1463" s="698">
        <v>45957.556250000001</v>
      </c>
      <c r="M1463" t="s">
        <v>565</v>
      </c>
      <c r="N1463" t="s">
        <v>565</v>
      </c>
      <c r="O1463" t="s">
        <v>566</v>
      </c>
      <c r="P1463" t="s">
        <v>567</v>
      </c>
      <c r="S1463" t="s">
        <v>567</v>
      </c>
      <c r="T1463" t="s">
        <v>567</v>
      </c>
      <c r="Z1463" t="s">
        <v>568</v>
      </c>
      <c r="AA1463" t="s">
        <v>568</v>
      </c>
    </row>
    <row r="1464" spans="1:27">
      <c r="A1464" t="s">
        <v>3778</v>
      </c>
      <c r="B1464" t="s">
        <v>3779</v>
      </c>
      <c r="C1464" t="s">
        <v>562</v>
      </c>
      <c r="D1464" t="s">
        <v>3781</v>
      </c>
      <c r="E1464" t="s">
        <v>3783</v>
      </c>
      <c r="F1464" t="s">
        <v>562</v>
      </c>
      <c r="G1464" t="s">
        <v>562</v>
      </c>
      <c r="H1464" t="s">
        <v>562</v>
      </c>
      <c r="I1464">
        <v>5222</v>
      </c>
      <c r="J1464" t="s">
        <v>564</v>
      </c>
      <c r="K1464" s="698">
        <v>45957.56527777778</v>
      </c>
      <c r="L1464" s="698">
        <v>45957.56527777778</v>
      </c>
      <c r="M1464" t="s">
        <v>565</v>
      </c>
      <c r="N1464" t="s">
        <v>565</v>
      </c>
      <c r="O1464" t="s">
        <v>566</v>
      </c>
      <c r="P1464" t="s">
        <v>567</v>
      </c>
      <c r="S1464" t="s">
        <v>567</v>
      </c>
      <c r="T1464" t="s">
        <v>567</v>
      </c>
      <c r="Z1464" t="s">
        <v>568</v>
      </c>
      <c r="AA1464" t="s">
        <v>568</v>
      </c>
    </row>
    <row r="1465" spans="1:27">
      <c r="A1465" t="s">
        <v>3784</v>
      </c>
      <c r="B1465" t="s">
        <v>935</v>
      </c>
      <c r="C1465" t="s">
        <v>3785</v>
      </c>
      <c r="D1465" t="s">
        <v>562</v>
      </c>
      <c r="E1465" t="s">
        <v>937</v>
      </c>
      <c r="F1465" t="s">
        <v>562</v>
      </c>
      <c r="G1465" t="s">
        <v>562</v>
      </c>
      <c r="H1465" t="s">
        <v>562</v>
      </c>
      <c r="I1465">
        <v>4567</v>
      </c>
      <c r="J1465" t="s">
        <v>564</v>
      </c>
      <c r="K1465" s="698">
        <v>45957.53402777778</v>
      </c>
      <c r="L1465" s="698">
        <v>45957.53402777778</v>
      </c>
      <c r="M1465" t="s">
        <v>565</v>
      </c>
      <c r="N1465" t="s">
        <v>565</v>
      </c>
      <c r="O1465" t="s">
        <v>566</v>
      </c>
      <c r="P1465" t="s">
        <v>567</v>
      </c>
      <c r="S1465" t="s">
        <v>567</v>
      </c>
      <c r="T1465" t="s">
        <v>567</v>
      </c>
      <c r="Z1465" t="s">
        <v>568</v>
      </c>
      <c r="AA1465" t="s">
        <v>568</v>
      </c>
    </row>
    <row r="1466" spans="1:27">
      <c r="A1466" t="s">
        <v>3786</v>
      </c>
      <c r="B1466" t="s">
        <v>603</v>
      </c>
      <c r="C1466" t="s">
        <v>562</v>
      </c>
      <c r="D1466" t="s">
        <v>562</v>
      </c>
      <c r="E1466" t="s">
        <v>2176</v>
      </c>
      <c r="F1466" t="s">
        <v>562</v>
      </c>
      <c r="G1466" t="s">
        <v>562</v>
      </c>
      <c r="H1466" t="s">
        <v>562</v>
      </c>
      <c r="I1466">
        <v>4399</v>
      </c>
      <c r="J1466" t="s">
        <v>564</v>
      </c>
      <c r="K1466" s="698">
        <v>45957.513888888891</v>
      </c>
      <c r="L1466" s="698">
        <v>45957.513888888891</v>
      </c>
      <c r="M1466" t="s">
        <v>565</v>
      </c>
      <c r="N1466" t="s">
        <v>565</v>
      </c>
      <c r="O1466" t="s">
        <v>566</v>
      </c>
      <c r="P1466" t="s">
        <v>567</v>
      </c>
      <c r="S1466" t="s">
        <v>567</v>
      </c>
      <c r="T1466" t="s">
        <v>567</v>
      </c>
      <c r="Z1466" t="s">
        <v>568</v>
      </c>
      <c r="AA1466" t="s">
        <v>568</v>
      </c>
    </row>
    <row r="1467" spans="1:27">
      <c r="A1467" t="s">
        <v>3787</v>
      </c>
      <c r="B1467" t="s">
        <v>562</v>
      </c>
      <c r="C1467" t="s">
        <v>562</v>
      </c>
      <c r="D1467" t="s">
        <v>3788</v>
      </c>
      <c r="E1467" t="s">
        <v>1116</v>
      </c>
      <c r="F1467" t="s">
        <v>562</v>
      </c>
      <c r="G1467" t="s">
        <v>562</v>
      </c>
      <c r="H1467" t="s">
        <v>562</v>
      </c>
      <c r="I1467">
        <v>4389</v>
      </c>
      <c r="J1467" t="s">
        <v>564</v>
      </c>
      <c r="K1467" s="698">
        <v>45957.512499999997</v>
      </c>
      <c r="L1467" s="698">
        <v>45957.512499999997</v>
      </c>
      <c r="M1467" t="s">
        <v>565</v>
      </c>
      <c r="N1467" t="s">
        <v>565</v>
      </c>
      <c r="O1467" t="s">
        <v>566</v>
      </c>
      <c r="P1467" t="s">
        <v>567</v>
      </c>
      <c r="S1467" t="s">
        <v>567</v>
      </c>
      <c r="T1467" t="s">
        <v>567</v>
      </c>
      <c r="Z1467" t="s">
        <v>568</v>
      </c>
      <c r="AA1467" t="s">
        <v>568</v>
      </c>
    </row>
    <row r="1468" spans="1:27">
      <c r="A1468" t="s">
        <v>3789</v>
      </c>
      <c r="B1468" t="s">
        <v>3790</v>
      </c>
      <c r="C1468" t="s">
        <v>3791</v>
      </c>
      <c r="D1468" t="s">
        <v>562</v>
      </c>
      <c r="E1468" t="s">
        <v>3792</v>
      </c>
      <c r="F1468" t="s">
        <v>562</v>
      </c>
      <c r="G1468" t="s">
        <v>562</v>
      </c>
      <c r="H1468" t="s">
        <v>562</v>
      </c>
      <c r="I1468">
        <v>4903</v>
      </c>
      <c r="J1468" t="s">
        <v>564</v>
      </c>
      <c r="K1468" s="698">
        <v>45957.555555555555</v>
      </c>
      <c r="L1468" s="698">
        <v>45957.555555555555</v>
      </c>
      <c r="M1468" t="s">
        <v>565</v>
      </c>
      <c r="N1468" t="s">
        <v>565</v>
      </c>
      <c r="O1468" t="s">
        <v>566</v>
      </c>
      <c r="P1468" t="s">
        <v>567</v>
      </c>
      <c r="S1468" t="s">
        <v>567</v>
      </c>
      <c r="T1468" t="s">
        <v>567</v>
      </c>
      <c r="Z1468" t="s">
        <v>568</v>
      </c>
      <c r="AA1468" t="s">
        <v>568</v>
      </c>
    </row>
    <row r="1469" spans="1:27">
      <c r="A1469" t="s">
        <v>3793</v>
      </c>
      <c r="B1469" t="s">
        <v>662</v>
      </c>
      <c r="C1469" t="s">
        <v>663</v>
      </c>
      <c r="D1469" t="s">
        <v>562</v>
      </c>
      <c r="E1469" t="s">
        <v>3794</v>
      </c>
      <c r="F1469" t="s">
        <v>562</v>
      </c>
      <c r="G1469" t="s">
        <v>562</v>
      </c>
      <c r="H1469" t="s">
        <v>562</v>
      </c>
      <c r="I1469">
        <v>4786</v>
      </c>
      <c r="J1469" t="s">
        <v>564</v>
      </c>
      <c r="K1469" s="698">
        <v>45957.552083333336</v>
      </c>
      <c r="L1469" s="698">
        <v>45957.552083333336</v>
      </c>
      <c r="M1469" t="s">
        <v>565</v>
      </c>
      <c r="N1469" t="s">
        <v>565</v>
      </c>
      <c r="O1469" t="s">
        <v>566</v>
      </c>
      <c r="P1469" t="s">
        <v>567</v>
      </c>
      <c r="S1469" t="s">
        <v>567</v>
      </c>
      <c r="T1469" t="s">
        <v>567</v>
      </c>
      <c r="Z1469" t="s">
        <v>568</v>
      </c>
      <c r="AA1469" t="s">
        <v>568</v>
      </c>
    </row>
    <row r="1470" spans="1:27">
      <c r="A1470" t="s">
        <v>3795</v>
      </c>
      <c r="B1470" t="s">
        <v>3796</v>
      </c>
      <c r="C1470" t="s">
        <v>3797</v>
      </c>
      <c r="D1470" t="s">
        <v>562</v>
      </c>
      <c r="E1470" t="s">
        <v>3798</v>
      </c>
      <c r="F1470" t="s">
        <v>562</v>
      </c>
      <c r="G1470" t="s">
        <v>562</v>
      </c>
      <c r="H1470" t="s">
        <v>562</v>
      </c>
      <c r="I1470">
        <v>4842</v>
      </c>
      <c r="J1470" t="s">
        <v>564</v>
      </c>
      <c r="K1470" s="698">
        <v>45957.553472222222</v>
      </c>
      <c r="L1470" s="698">
        <v>45957.553472222222</v>
      </c>
      <c r="M1470" t="s">
        <v>565</v>
      </c>
      <c r="N1470" t="s">
        <v>565</v>
      </c>
      <c r="O1470" t="s">
        <v>566</v>
      </c>
      <c r="P1470" t="s">
        <v>567</v>
      </c>
      <c r="S1470" t="s">
        <v>567</v>
      </c>
      <c r="T1470" t="s">
        <v>567</v>
      </c>
      <c r="Z1470" t="s">
        <v>568</v>
      </c>
      <c r="AA1470" t="s">
        <v>568</v>
      </c>
    </row>
    <row r="1471" spans="1:27">
      <c r="A1471" t="s">
        <v>3799</v>
      </c>
      <c r="B1471" t="s">
        <v>562</v>
      </c>
      <c r="C1471" t="s">
        <v>3800</v>
      </c>
      <c r="D1471" t="s">
        <v>3801</v>
      </c>
      <c r="E1471" t="s">
        <v>562</v>
      </c>
      <c r="F1471" t="s">
        <v>562</v>
      </c>
      <c r="G1471" t="s">
        <v>562</v>
      </c>
      <c r="H1471" t="s">
        <v>562</v>
      </c>
      <c r="I1471">
        <v>3566</v>
      </c>
      <c r="J1471" t="s">
        <v>564</v>
      </c>
      <c r="K1471" s="698">
        <v>45957.416666666664</v>
      </c>
      <c r="L1471" s="698">
        <v>45957.416666666664</v>
      </c>
      <c r="M1471" t="s">
        <v>565</v>
      </c>
      <c r="N1471" t="s">
        <v>565</v>
      </c>
      <c r="O1471" t="s">
        <v>566</v>
      </c>
      <c r="P1471" t="s">
        <v>567</v>
      </c>
      <c r="S1471" t="s">
        <v>567</v>
      </c>
      <c r="T1471" t="s">
        <v>567</v>
      </c>
      <c r="Z1471" t="s">
        <v>568</v>
      </c>
      <c r="AA1471" t="s">
        <v>568</v>
      </c>
    </row>
    <row r="1472" spans="1:27">
      <c r="A1472" t="s">
        <v>3802</v>
      </c>
      <c r="B1472" t="s">
        <v>562</v>
      </c>
      <c r="C1472" t="s">
        <v>562</v>
      </c>
      <c r="D1472" t="s">
        <v>3803</v>
      </c>
      <c r="E1472" t="s">
        <v>2174</v>
      </c>
      <c r="F1472" t="s">
        <v>562</v>
      </c>
      <c r="G1472" t="s">
        <v>562</v>
      </c>
      <c r="H1472" t="s">
        <v>562</v>
      </c>
      <c r="I1472">
        <v>5066</v>
      </c>
      <c r="J1472" t="s">
        <v>564</v>
      </c>
      <c r="K1472" s="698">
        <v>45957.560416666667</v>
      </c>
      <c r="L1472" s="698">
        <v>45957.560416666667</v>
      </c>
      <c r="M1472" t="s">
        <v>565</v>
      </c>
      <c r="N1472" t="s">
        <v>565</v>
      </c>
      <c r="O1472" t="s">
        <v>566</v>
      </c>
      <c r="P1472" t="s">
        <v>567</v>
      </c>
      <c r="S1472" t="s">
        <v>567</v>
      </c>
      <c r="T1472" t="s">
        <v>567</v>
      </c>
      <c r="Z1472" t="s">
        <v>568</v>
      </c>
      <c r="AA1472" t="s">
        <v>568</v>
      </c>
    </row>
    <row r="1473" spans="1:27">
      <c r="A1473" t="s">
        <v>3804</v>
      </c>
      <c r="B1473" t="s">
        <v>562</v>
      </c>
      <c r="C1473" t="s">
        <v>562</v>
      </c>
      <c r="D1473" t="s">
        <v>3805</v>
      </c>
      <c r="E1473" t="s">
        <v>3806</v>
      </c>
      <c r="F1473" t="s">
        <v>562</v>
      </c>
      <c r="G1473" t="s">
        <v>562</v>
      </c>
      <c r="H1473" t="s">
        <v>562</v>
      </c>
      <c r="I1473">
        <v>4989</v>
      </c>
      <c r="J1473" t="s">
        <v>564</v>
      </c>
      <c r="K1473" s="698">
        <v>45957.558333333334</v>
      </c>
      <c r="L1473" s="698">
        <v>45957.558333333334</v>
      </c>
      <c r="M1473" t="s">
        <v>565</v>
      </c>
      <c r="N1473" t="s">
        <v>565</v>
      </c>
      <c r="O1473" t="s">
        <v>566</v>
      </c>
      <c r="P1473" t="s">
        <v>567</v>
      </c>
      <c r="S1473" t="s">
        <v>567</v>
      </c>
      <c r="T1473" t="s">
        <v>567</v>
      </c>
      <c r="Z1473" t="s">
        <v>568</v>
      </c>
      <c r="AA1473" t="s">
        <v>568</v>
      </c>
    </row>
    <row r="1474" spans="1:27">
      <c r="A1474" t="s">
        <v>3804</v>
      </c>
      <c r="B1474" t="s">
        <v>562</v>
      </c>
      <c r="C1474" t="s">
        <v>562</v>
      </c>
      <c r="D1474" t="s">
        <v>3805</v>
      </c>
      <c r="E1474" t="s">
        <v>3807</v>
      </c>
      <c r="F1474" t="s">
        <v>562</v>
      </c>
      <c r="G1474" t="s">
        <v>562</v>
      </c>
      <c r="H1474" t="s">
        <v>562</v>
      </c>
      <c r="I1474">
        <v>4990</v>
      </c>
      <c r="J1474" t="s">
        <v>564</v>
      </c>
      <c r="K1474" s="698">
        <v>45957.558333333334</v>
      </c>
      <c r="L1474" s="698">
        <v>45957.558333333334</v>
      </c>
      <c r="M1474" t="s">
        <v>565</v>
      </c>
      <c r="N1474" t="s">
        <v>565</v>
      </c>
      <c r="O1474" t="s">
        <v>566</v>
      </c>
      <c r="P1474" t="s">
        <v>567</v>
      </c>
      <c r="S1474" t="s">
        <v>567</v>
      </c>
      <c r="T1474" t="s">
        <v>567</v>
      </c>
      <c r="Z1474" t="s">
        <v>568</v>
      </c>
      <c r="AA1474" t="s">
        <v>568</v>
      </c>
    </row>
    <row r="1475" spans="1:27">
      <c r="A1475" t="s">
        <v>3808</v>
      </c>
      <c r="B1475" t="s">
        <v>3809</v>
      </c>
      <c r="C1475" t="s">
        <v>3810</v>
      </c>
      <c r="D1475" t="s">
        <v>562</v>
      </c>
      <c r="E1475" t="s">
        <v>3811</v>
      </c>
      <c r="F1475" t="s">
        <v>562</v>
      </c>
      <c r="G1475" t="s">
        <v>562</v>
      </c>
      <c r="H1475" t="s">
        <v>562</v>
      </c>
      <c r="I1475">
        <v>3944</v>
      </c>
      <c r="J1475" t="s">
        <v>564</v>
      </c>
      <c r="K1475" s="698">
        <v>45957.457638888889</v>
      </c>
      <c r="L1475" s="698">
        <v>45957.457638888889</v>
      </c>
      <c r="M1475" t="s">
        <v>565</v>
      </c>
      <c r="N1475" t="s">
        <v>565</v>
      </c>
      <c r="O1475" t="s">
        <v>566</v>
      </c>
      <c r="P1475" t="s">
        <v>567</v>
      </c>
      <c r="S1475" t="s">
        <v>567</v>
      </c>
      <c r="T1475" t="s">
        <v>567</v>
      </c>
      <c r="Z1475" t="s">
        <v>568</v>
      </c>
      <c r="AA1475" t="s">
        <v>568</v>
      </c>
    </row>
    <row r="1476" spans="1:27">
      <c r="A1476" t="s">
        <v>3808</v>
      </c>
      <c r="B1476" t="s">
        <v>3812</v>
      </c>
      <c r="C1476" t="s">
        <v>3813</v>
      </c>
      <c r="D1476" t="s">
        <v>562</v>
      </c>
      <c r="E1476" t="s">
        <v>3814</v>
      </c>
      <c r="F1476" t="s">
        <v>562</v>
      </c>
      <c r="G1476" t="s">
        <v>562</v>
      </c>
      <c r="H1476" t="s">
        <v>562</v>
      </c>
      <c r="I1476">
        <v>4197</v>
      </c>
      <c r="J1476" t="s">
        <v>564</v>
      </c>
      <c r="K1476" s="698">
        <v>45957.488194444442</v>
      </c>
      <c r="L1476" s="698">
        <v>45957.488194444442</v>
      </c>
      <c r="M1476" t="s">
        <v>565</v>
      </c>
      <c r="N1476" t="s">
        <v>565</v>
      </c>
      <c r="O1476" t="s">
        <v>566</v>
      </c>
      <c r="P1476" t="s">
        <v>567</v>
      </c>
      <c r="S1476" t="s">
        <v>567</v>
      </c>
      <c r="T1476" t="s">
        <v>567</v>
      </c>
      <c r="Z1476" t="s">
        <v>568</v>
      </c>
      <c r="AA1476" t="s">
        <v>568</v>
      </c>
    </row>
    <row r="1477" spans="1:27">
      <c r="A1477" t="s">
        <v>3808</v>
      </c>
      <c r="B1477" t="s">
        <v>3812</v>
      </c>
      <c r="C1477" t="s">
        <v>3813</v>
      </c>
      <c r="D1477" t="s">
        <v>562</v>
      </c>
      <c r="E1477" t="s">
        <v>3815</v>
      </c>
      <c r="F1477" t="s">
        <v>562</v>
      </c>
      <c r="G1477" t="s">
        <v>562</v>
      </c>
      <c r="H1477" t="s">
        <v>562</v>
      </c>
      <c r="I1477">
        <v>4252</v>
      </c>
      <c r="J1477" t="s">
        <v>564</v>
      </c>
      <c r="K1477" s="698">
        <v>45957.495138888888</v>
      </c>
      <c r="L1477" s="698">
        <v>45957.495138888888</v>
      </c>
      <c r="M1477" t="s">
        <v>565</v>
      </c>
      <c r="N1477" t="s">
        <v>565</v>
      </c>
      <c r="O1477" t="s">
        <v>566</v>
      </c>
      <c r="P1477" t="s">
        <v>567</v>
      </c>
      <c r="S1477" t="s">
        <v>567</v>
      </c>
      <c r="T1477" t="s">
        <v>567</v>
      </c>
      <c r="Z1477" t="s">
        <v>568</v>
      </c>
      <c r="AA1477" t="s">
        <v>568</v>
      </c>
    </row>
    <row r="1478" spans="1:27">
      <c r="A1478" t="s">
        <v>3816</v>
      </c>
      <c r="B1478" t="s">
        <v>562</v>
      </c>
      <c r="C1478" t="s">
        <v>562</v>
      </c>
      <c r="D1478" t="s">
        <v>3817</v>
      </c>
      <c r="E1478" t="s">
        <v>3818</v>
      </c>
      <c r="F1478" t="s">
        <v>562</v>
      </c>
      <c r="G1478" t="s">
        <v>562</v>
      </c>
      <c r="H1478" t="s">
        <v>562</v>
      </c>
      <c r="I1478">
        <v>3942</v>
      </c>
      <c r="J1478" t="s">
        <v>564</v>
      </c>
      <c r="K1478" s="698">
        <v>45957.457638888889</v>
      </c>
      <c r="L1478" s="698">
        <v>45957.457638888889</v>
      </c>
      <c r="M1478" t="s">
        <v>565</v>
      </c>
      <c r="N1478" t="s">
        <v>565</v>
      </c>
      <c r="O1478" t="s">
        <v>566</v>
      </c>
      <c r="P1478" t="s">
        <v>567</v>
      </c>
      <c r="S1478" t="s">
        <v>567</v>
      </c>
      <c r="T1478" t="s">
        <v>567</v>
      </c>
      <c r="Z1478" t="s">
        <v>568</v>
      </c>
      <c r="AA1478" t="s">
        <v>568</v>
      </c>
    </row>
    <row r="1479" spans="1:27">
      <c r="A1479" t="s">
        <v>3816</v>
      </c>
      <c r="B1479" t="s">
        <v>562</v>
      </c>
      <c r="C1479" t="s">
        <v>562</v>
      </c>
      <c r="D1479" t="s">
        <v>3817</v>
      </c>
      <c r="E1479" t="s">
        <v>3819</v>
      </c>
      <c r="F1479" t="s">
        <v>562</v>
      </c>
      <c r="G1479" t="s">
        <v>562</v>
      </c>
      <c r="H1479" t="s">
        <v>562</v>
      </c>
      <c r="I1479">
        <v>4022</v>
      </c>
      <c r="J1479" t="s">
        <v>564</v>
      </c>
      <c r="K1479" s="698">
        <v>45957.466666666667</v>
      </c>
      <c r="L1479" s="698">
        <v>45957.466666666667</v>
      </c>
      <c r="M1479" t="s">
        <v>565</v>
      </c>
      <c r="N1479" t="s">
        <v>565</v>
      </c>
      <c r="O1479" t="s">
        <v>566</v>
      </c>
      <c r="P1479" t="s">
        <v>567</v>
      </c>
      <c r="S1479" t="s">
        <v>567</v>
      </c>
      <c r="T1479" t="s">
        <v>567</v>
      </c>
      <c r="Z1479" t="s">
        <v>568</v>
      </c>
      <c r="AA1479" t="s">
        <v>568</v>
      </c>
    </row>
    <row r="1480" spans="1:27">
      <c r="A1480" t="s">
        <v>3816</v>
      </c>
      <c r="B1480" t="s">
        <v>3820</v>
      </c>
      <c r="C1480" t="s">
        <v>3821</v>
      </c>
      <c r="D1480" t="s">
        <v>3817</v>
      </c>
      <c r="E1480" t="s">
        <v>3822</v>
      </c>
      <c r="F1480" t="s">
        <v>562</v>
      </c>
      <c r="G1480" t="s">
        <v>562</v>
      </c>
      <c r="H1480" t="s">
        <v>562</v>
      </c>
      <c r="I1480">
        <v>4393</v>
      </c>
      <c r="J1480" t="s">
        <v>564</v>
      </c>
      <c r="K1480" s="698">
        <v>45957.513194444444</v>
      </c>
      <c r="L1480" s="698">
        <v>45957.513194444444</v>
      </c>
      <c r="M1480" t="s">
        <v>565</v>
      </c>
      <c r="N1480" t="s">
        <v>565</v>
      </c>
      <c r="O1480" t="s">
        <v>566</v>
      </c>
      <c r="P1480" t="s">
        <v>567</v>
      </c>
      <c r="S1480" t="s">
        <v>567</v>
      </c>
      <c r="T1480" t="s">
        <v>567</v>
      </c>
      <c r="Z1480" t="s">
        <v>568</v>
      </c>
      <c r="AA1480" t="s">
        <v>568</v>
      </c>
    </row>
    <row r="1481" spans="1:27">
      <c r="A1481" t="s">
        <v>3816</v>
      </c>
      <c r="B1481" t="s">
        <v>3823</v>
      </c>
      <c r="C1481" t="s">
        <v>3824</v>
      </c>
      <c r="D1481" t="s">
        <v>3817</v>
      </c>
      <c r="E1481" t="s">
        <v>3825</v>
      </c>
      <c r="F1481" t="s">
        <v>562</v>
      </c>
      <c r="G1481" t="s">
        <v>562</v>
      </c>
      <c r="H1481" t="s">
        <v>562</v>
      </c>
      <c r="I1481">
        <v>4890</v>
      </c>
      <c r="J1481" t="s">
        <v>564</v>
      </c>
      <c r="K1481" s="698">
        <v>45957.554861111108</v>
      </c>
      <c r="L1481" s="698">
        <v>45957.554861111108</v>
      </c>
      <c r="M1481" t="s">
        <v>565</v>
      </c>
      <c r="N1481" t="s">
        <v>565</v>
      </c>
      <c r="O1481" t="s">
        <v>566</v>
      </c>
      <c r="P1481" t="s">
        <v>567</v>
      </c>
      <c r="S1481" t="s">
        <v>567</v>
      </c>
      <c r="T1481" t="s">
        <v>567</v>
      </c>
      <c r="Z1481" t="s">
        <v>568</v>
      </c>
      <c r="AA1481" t="s">
        <v>568</v>
      </c>
    </row>
    <row r="1482" spans="1:27">
      <c r="A1482" t="s">
        <v>3816</v>
      </c>
      <c r="B1482" t="s">
        <v>3820</v>
      </c>
      <c r="C1482" t="s">
        <v>3821</v>
      </c>
      <c r="D1482" t="s">
        <v>3817</v>
      </c>
      <c r="E1482" t="s">
        <v>3826</v>
      </c>
      <c r="F1482" t="s">
        <v>562</v>
      </c>
      <c r="G1482" t="s">
        <v>562</v>
      </c>
      <c r="H1482" t="s">
        <v>562</v>
      </c>
      <c r="I1482">
        <v>5056</v>
      </c>
      <c r="J1482" t="s">
        <v>564</v>
      </c>
      <c r="K1482" s="698">
        <v>45957.560416666667</v>
      </c>
      <c r="L1482" s="698">
        <v>45957.560416666667</v>
      </c>
      <c r="M1482" t="s">
        <v>565</v>
      </c>
      <c r="N1482" t="s">
        <v>565</v>
      </c>
      <c r="O1482" t="s">
        <v>566</v>
      </c>
      <c r="P1482" t="s">
        <v>567</v>
      </c>
      <c r="S1482" t="s">
        <v>567</v>
      </c>
      <c r="T1482" t="s">
        <v>567</v>
      </c>
      <c r="Z1482" t="s">
        <v>568</v>
      </c>
      <c r="AA1482" t="s">
        <v>568</v>
      </c>
    </row>
    <row r="1483" spans="1:27">
      <c r="A1483" t="s">
        <v>3816</v>
      </c>
      <c r="B1483" t="s">
        <v>1818</v>
      </c>
      <c r="C1483" t="s">
        <v>3827</v>
      </c>
      <c r="D1483" t="s">
        <v>3817</v>
      </c>
      <c r="E1483" t="s">
        <v>3828</v>
      </c>
      <c r="F1483" t="s">
        <v>562</v>
      </c>
      <c r="G1483" t="s">
        <v>562</v>
      </c>
      <c r="H1483" t="s">
        <v>562</v>
      </c>
      <c r="I1483">
        <v>5061</v>
      </c>
      <c r="J1483" t="s">
        <v>564</v>
      </c>
      <c r="K1483" s="698">
        <v>45957.560416666667</v>
      </c>
      <c r="L1483" s="698">
        <v>45957.560416666667</v>
      </c>
      <c r="M1483" t="s">
        <v>565</v>
      </c>
      <c r="N1483" t="s">
        <v>565</v>
      </c>
      <c r="O1483" t="s">
        <v>566</v>
      </c>
      <c r="P1483" t="s">
        <v>567</v>
      </c>
      <c r="S1483" t="s">
        <v>567</v>
      </c>
      <c r="T1483" t="s">
        <v>567</v>
      </c>
      <c r="Z1483" t="s">
        <v>568</v>
      </c>
      <c r="AA1483" t="s">
        <v>568</v>
      </c>
    </row>
    <row r="1484" spans="1:27">
      <c r="A1484" t="s">
        <v>3816</v>
      </c>
      <c r="B1484" t="s">
        <v>562</v>
      </c>
      <c r="C1484" t="s">
        <v>562</v>
      </c>
      <c r="D1484" t="s">
        <v>3817</v>
      </c>
      <c r="E1484" t="s">
        <v>3829</v>
      </c>
      <c r="F1484" t="s">
        <v>562</v>
      </c>
      <c r="G1484" t="s">
        <v>562</v>
      </c>
      <c r="H1484" t="s">
        <v>562</v>
      </c>
      <c r="I1484">
        <v>5130</v>
      </c>
      <c r="J1484" t="s">
        <v>564</v>
      </c>
      <c r="K1484" s="698">
        <v>45957.5625</v>
      </c>
      <c r="L1484" s="698">
        <v>45957.5625</v>
      </c>
      <c r="M1484" t="s">
        <v>565</v>
      </c>
      <c r="N1484" t="s">
        <v>565</v>
      </c>
      <c r="O1484" t="s">
        <v>566</v>
      </c>
      <c r="P1484" t="s">
        <v>567</v>
      </c>
      <c r="S1484" t="s">
        <v>567</v>
      </c>
      <c r="T1484" t="s">
        <v>567</v>
      </c>
      <c r="Z1484" t="s">
        <v>568</v>
      </c>
      <c r="AA1484" t="s">
        <v>568</v>
      </c>
    </row>
    <row r="1485" spans="1:27">
      <c r="A1485" t="s">
        <v>3830</v>
      </c>
      <c r="B1485" t="s">
        <v>562</v>
      </c>
      <c r="C1485" t="s">
        <v>562</v>
      </c>
      <c r="D1485" t="s">
        <v>3831</v>
      </c>
      <c r="E1485" t="s">
        <v>3832</v>
      </c>
      <c r="F1485" t="s">
        <v>562</v>
      </c>
      <c r="G1485" t="s">
        <v>562</v>
      </c>
      <c r="H1485" t="s">
        <v>562</v>
      </c>
      <c r="I1485">
        <v>4325</v>
      </c>
      <c r="J1485" t="s">
        <v>564</v>
      </c>
      <c r="K1485" s="698">
        <v>45957.504861111112</v>
      </c>
      <c r="L1485" s="698">
        <v>45957.504861111112</v>
      </c>
      <c r="M1485" t="s">
        <v>565</v>
      </c>
      <c r="N1485" t="s">
        <v>565</v>
      </c>
      <c r="O1485" t="s">
        <v>566</v>
      </c>
      <c r="P1485" t="s">
        <v>567</v>
      </c>
      <c r="S1485" t="s">
        <v>567</v>
      </c>
      <c r="T1485" t="s">
        <v>567</v>
      </c>
      <c r="Z1485" t="s">
        <v>568</v>
      </c>
      <c r="AA1485" t="s">
        <v>568</v>
      </c>
    </row>
    <row r="1486" spans="1:27">
      <c r="A1486" t="s">
        <v>3833</v>
      </c>
      <c r="B1486" t="s">
        <v>562</v>
      </c>
      <c r="C1486" t="s">
        <v>3834</v>
      </c>
      <c r="D1486" t="s">
        <v>3835</v>
      </c>
      <c r="E1486" t="s">
        <v>3836</v>
      </c>
      <c r="F1486" t="s">
        <v>562</v>
      </c>
      <c r="G1486" t="s">
        <v>562</v>
      </c>
      <c r="H1486" t="s">
        <v>562</v>
      </c>
      <c r="I1486">
        <v>3567</v>
      </c>
      <c r="J1486" t="s">
        <v>564</v>
      </c>
      <c r="K1486" s="698">
        <v>45957.416666666664</v>
      </c>
      <c r="L1486" s="698">
        <v>45957.416666666664</v>
      </c>
      <c r="M1486" t="s">
        <v>565</v>
      </c>
      <c r="N1486" t="s">
        <v>565</v>
      </c>
      <c r="O1486" t="s">
        <v>566</v>
      </c>
      <c r="P1486" t="s">
        <v>567</v>
      </c>
      <c r="S1486" t="s">
        <v>567</v>
      </c>
      <c r="T1486" t="s">
        <v>567</v>
      </c>
      <c r="Z1486" t="s">
        <v>568</v>
      </c>
      <c r="AA1486" t="s">
        <v>568</v>
      </c>
    </row>
    <row r="1487" spans="1:27">
      <c r="A1487" t="s">
        <v>3837</v>
      </c>
      <c r="B1487" t="s">
        <v>3837</v>
      </c>
      <c r="C1487" t="s">
        <v>3838</v>
      </c>
      <c r="D1487" t="s">
        <v>3839</v>
      </c>
      <c r="E1487" t="s">
        <v>3840</v>
      </c>
      <c r="F1487" t="s">
        <v>562</v>
      </c>
      <c r="G1487" t="s">
        <v>562</v>
      </c>
      <c r="H1487" t="s">
        <v>562</v>
      </c>
      <c r="I1487">
        <v>4263</v>
      </c>
      <c r="J1487" t="s">
        <v>564</v>
      </c>
      <c r="K1487" s="698">
        <v>45957.496527777781</v>
      </c>
      <c r="L1487" s="698">
        <v>45957.496527777781</v>
      </c>
      <c r="M1487" t="s">
        <v>565</v>
      </c>
      <c r="N1487" t="s">
        <v>565</v>
      </c>
      <c r="O1487" t="s">
        <v>566</v>
      </c>
      <c r="P1487" t="s">
        <v>567</v>
      </c>
      <c r="S1487" t="s">
        <v>567</v>
      </c>
      <c r="T1487" t="s">
        <v>567</v>
      </c>
      <c r="Z1487" t="s">
        <v>568</v>
      </c>
      <c r="AA1487" t="s">
        <v>568</v>
      </c>
    </row>
    <row r="1488" spans="1:27">
      <c r="A1488" t="s">
        <v>3841</v>
      </c>
      <c r="B1488" t="s">
        <v>3842</v>
      </c>
      <c r="C1488" t="s">
        <v>3843</v>
      </c>
      <c r="D1488" t="s">
        <v>562</v>
      </c>
      <c r="E1488" t="s">
        <v>3844</v>
      </c>
      <c r="F1488" t="s">
        <v>562</v>
      </c>
      <c r="G1488" t="s">
        <v>562</v>
      </c>
      <c r="H1488" t="s">
        <v>562</v>
      </c>
      <c r="I1488">
        <v>3629</v>
      </c>
      <c r="J1488" t="s">
        <v>564</v>
      </c>
      <c r="K1488" s="698">
        <v>45957.42291666667</v>
      </c>
      <c r="L1488" s="698">
        <v>45957.42291666667</v>
      </c>
      <c r="M1488" t="s">
        <v>565</v>
      </c>
      <c r="N1488" t="s">
        <v>565</v>
      </c>
      <c r="O1488" t="s">
        <v>566</v>
      </c>
      <c r="P1488" t="s">
        <v>567</v>
      </c>
      <c r="S1488" t="s">
        <v>567</v>
      </c>
      <c r="T1488" t="s">
        <v>567</v>
      </c>
      <c r="Z1488" t="s">
        <v>568</v>
      </c>
      <c r="AA1488" t="s">
        <v>568</v>
      </c>
    </row>
    <row r="1489" spans="1:27">
      <c r="A1489" t="s">
        <v>3841</v>
      </c>
      <c r="B1489" t="s">
        <v>3842</v>
      </c>
      <c r="C1489" t="s">
        <v>3845</v>
      </c>
      <c r="D1489" t="s">
        <v>562</v>
      </c>
      <c r="E1489" t="s">
        <v>3846</v>
      </c>
      <c r="F1489" t="s">
        <v>562</v>
      </c>
      <c r="G1489" t="s">
        <v>562</v>
      </c>
      <c r="H1489" t="s">
        <v>562</v>
      </c>
      <c r="I1489">
        <v>3992</v>
      </c>
      <c r="J1489" t="s">
        <v>564</v>
      </c>
      <c r="K1489" s="698">
        <v>45957.463194444441</v>
      </c>
      <c r="L1489" s="698">
        <v>45957.463194444441</v>
      </c>
      <c r="M1489" t="s">
        <v>565</v>
      </c>
      <c r="N1489" t="s">
        <v>565</v>
      </c>
      <c r="O1489" t="s">
        <v>566</v>
      </c>
      <c r="P1489" t="s">
        <v>567</v>
      </c>
      <c r="S1489" t="s">
        <v>567</v>
      </c>
      <c r="T1489" t="s">
        <v>567</v>
      </c>
      <c r="Z1489" t="s">
        <v>568</v>
      </c>
      <c r="AA1489" t="s">
        <v>568</v>
      </c>
    </row>
    <row r="1490" spans="1:27">
      <c r="A1490" t="s">
        <v>3841</v>
      </c>
      <c r="B1490" t="s">
        <v>3847</v>
      </c>
      <c r="C1490" t="s">
        <v>562</v>
      </c>
      <c r="D1490" t="s">
        <v>562</v>
      </c>
      <c r="E1490" t="s">
        <v>3848</v>
      </c>
      <c r="F1490" t="s">
        <v>562</v>
      </c>
      <c r="G1490" t="s">
        <v>562</v>
      </c>
      <c r="H1490" t="s">
        <v>562</v>
      </c>
      <c r="I1490">
        <v>4532</v>
      </c>
      <c r="J1490" t="s">
        <v>564</v>
      </c>
      <c r="K1490" s="698">
        <v>45957.529861111114</v>
      </c>
      <c r="L1490" s="698">
        <v>45957.529861111114</v>
      </c>
      <c r="M1490" t="s">
        <v>565</v>
      </c>
      <c r="N1490" t="s">
        <v>565</v>
      </c>
      <c r="O1490" t="s">
        <v>566</v>
      </c>
      <c r="P1490" t="s">
        <v>567</v>
      </c>
      <c r="S1490" t="s">
        <v>567</v>
      </c>
      <c r="T1490" t="s">
        <v>567</v>
      </c>
      <c r="Z1490" t="s">
        <v>568</v>
      </c>
      <c r="AA1490" t="s">
        <v>568</v>
      </c>
    </row>
    <row r="1491" spans="1:27">
      <c r="A1491" t="s">
        <v>3841</v>
      </c>
      <c r="B1491" t="s">
        <v>3842</v>
      </c>
      <c r="C1491" t="s">
        <v>3843</v>
      </c>
      <c r="D1491" t="s">
        <v>562</v>
      </c>
      <c r="E1491" t="s">
        <v>3849</v>
      </c>
      <c r="F1491" t="s">
        <v>562</v>
      </c>
      <c r="G1491" t="s">
        <v>562</v>
      </c>
      <c r="H1491" t="s">
        <v>562</v>
      </c>
      <c r="I1491">
        <v>4940</v>
      </c>
      <c r="J1491" t="s">
        <v>564</v>
      </c>
      <c r="K1491" s="698">
        <v>45957.556944444441</v>
      </c>
      <c r="L1491" s="698">
        <v>45957.556944444441</v>
      </c>
      <c r="M1491" t="s">
        <v>565</v>
      </c>
      <c r="N1491" t="s">
        <v>565</v>
      </c>
      <c r="O1491" t="s">
        <v>566</v>
      </c>
      <c r="P1491" t="s">
        <v>567</v>
      </c>
      <c r="S1491" t="s">
        <v>567</v>
      </c>
      <c r="T1491" t="s">
        <v>567</v>
      </c>
      <c r="Z1491" t="s">
        <v>568</v>
      </c>
      <c r="AA1491" t="s">
        <v>568</v>
      </c>
    </row>
    <row r="1492" spans="1:27">
      <c r="A1492" t="s">
        <v>3850</v>
      </c>
      <c r="B1492" t="s">
        <v>3851</v>
      </c>
      <c r="C1492" t="s">
        <v>562</v>
      </c>
      <c r="D1492" t="s">
        <v>3852</v>
      </c>
      <c r="E1492" t="s">
        <v>3853</v>
      </c>
      <c r="F1492" t="s">
        <v>562</v>
      </c>
      <c r="G1492" t="s">
        <v>562</v>
      </c>
      <c r="H1492" t="s">
        <v>562</v>
      </c>
      <c r="I1492">
        <v>5000</v>
      </c>
      <c r="J1492" t="s">
        <v>564</v>
      </c>
      <c r="K1492" s="698">
        <v>45957.558333333334</v>
      </c>
      <c r="L1492" s="698">
        <v>45957.558333333334</v>
      </c>
      <c r="M1492" t="s">
        <v>565</v>
      </c>
      <c r="N1492" t="s">
        <v>565</v>
      </c>
      <c r="O1492" t="s">
        <v>566</v>
      </c>
      <c r="P1492" t="s">
        <v>567</v>
      </c>
      <c r="S1492" t="s">
        <v>567</v>
      </c>
      <c r="T1492" t="s">
        <v>567</v>
      </c>
      <c r="Z1492" t="s">
        <v>568</v>
      </c>
      <c r="AA1492" t="s">
        <v>568</v>
      </c>
    </row>
    <row r="1493" spans="1:27">
      <c r="A1493" t="s">
        <v>3854</v>
      </c>
      <c r="B1493" t="s">
        <v>3855</v>
      </c>
      <c r="C1493" t="s">
        <v>3856</v>
      </c>
      <c r="D1493" t="s">
        <v>562</v>
      </c>
      <c r="E1493" t="s">
        <v>3857</v>
      </c>
      <c r="F1493" t="s">
        <v>562</v>
      </c>
      <c r="G1493" t="s">
        <v>562</v>
      </c>
      <c r="H1493" t="s">
        <v>562</v>
      </c>
      <c r="I1493">
        <v>3715</v>
      </c>
      <c r="J1493" t="s">
        <v>564</v>
      </c>
      <c r="K1493" s="698">
        <v>45957.432638888888</v>
      </c>
      <c r="L1493" s="698">
        <v>45957.432638888888</v>
      </c>
      <c r="M1493" t="s">
        <v>565</v>
      </c>
      <c r="N1493" t="s">
        <v>565</v>
      </c>
      <c r="O1493" t="s">
        <v>566</v>
      </c>
      <c r="P1493" t="s">
        <v>567</v>
      </c>
      <c r="S1493" t="s">
        <v>567</v>
      </c>
      <c r="T1493" t="s">
        <v>567</v>
      </c>
      <c r="Z1493" t="s">
        <v>568</v>
      </c>
      <c r="AA1493" t="s">
        <v>568</v>
      </c>
    </row>
    <row r="1494" spans="1:27">
      <c r="A1494" t="s">
        <v>3854</v>
      </c>
      <c r="B1494" t="s">
        <v>900</v>
      </c>
      <c r="C1494" t="s">
        <v>3858</v>
      </c>
      <c r="D1494" t="s">
        <v>562</v>
      </c>
      <c r="E1494" t="s">
        <v>3859</v>
      </c>
      <c r="F1494" t="s">
        <v>562</v>
      </c>
      <c r="G1494" t="s">
        <v>562</v>
      </c>
      <c r="H1494" t="s">
        <v>562</v>
      </c>
      <c r="I1494">
        <v>3878</v>
      </c>
      <c r="J1494" t="s">
        <v>564</v>
      </c>
      <c r="K1494" s="698">
        <v>45957.45</v>
      </c>
      <c r="L1494" s="698">
        <v>45957.45</v>
      </c>
      <c r="M1494" t="s">
        <v>565</v>
      </c>
      <c r="N1494" t="s">
        <v>565</v>
      </c>
      <c r="O1494" t="s">
        <v>566</v>
      </c>
      <c r="P1494" t="s">
        <v>567</v>
      </c>
      <c r="S1494" t="s">
        <v>567</v>
      </c>
      <c r="T1494" t="s">
        <v>567</v>
      </c>
      <c r="Z1494" t="s">
        <v>568</v>
      </c>
      <c r="AA1494" t="s">
        <v>568</v>
      </c>
    </row>
    <row r="1495" spans="1:27">
      <c r="A1495" t="s">
        <v>3854</v>
      </c>
      <c r="B1495" t="s">
        <v>3860</v>
      </c>
      <c r="C1495" t="s">
        <v>3856</v>
      </c>
      <c r="D1495" t="s">
        <v>562</v>
      </c>
      <c r="E1495" t="s">
        <v>3861</v>
      </c>
      <c r="F1495" t="s">
        <v>562</v>
      </c>
      <c r="G1495" t="s">
        <v>562</v>
      </c>
      <c r="H1495" t="s">
        <v>562</v>
      </c>
      <c r="I1495">
        <v>3893</v>
      </c>
      <c r="J1495" t="s">
        <v>564</v>
      </c>
      <c r="K1495" s="698">
        <v>45957.45208333333</v>
      </c>
      <c r="L1495" s="698">
        <v>45957.45208333333</v>
      </c>
      <c r="M1495" t="s">
        <v>565</v>
      </c>
      <c r="N1495" t="s">
        <v>565</v>
      </c>
      <c r="O1495" t="s">
        <v>566</v>
      </c>
      <c r="P1495" t="s">
        <v>567</v>
      </c>
      <c r="S1495" t="s">
        <v>567</v>
      </c>
      <c r="T1495" t="s">
        <v>567</v>
      </c>
      <c r="Z1495" t="s">
        <v>568</v>
      </c>
      <c r="AA1495" t="s">
        <v>568</v>
      </c>
    </row>
    <row r="1496" spans="1:27">
      <c r="A1496" t="s">
        <v>3862</v>
      </c>
      <c r="B1496" t="s">
        <v>3863</v>
      </c>
      <c r="C1496" t="s">
        <v>3864</v>
      </c>
      <c r="D1496" t="s">
        <v>562</v>
      </c>
      <c r="E1496" t="s">
        <v>1116</v>
      </c>
      <c r="F1496" t="s">
        <v>562</v>
      </c>
      <c r="G1496" t="s">
        <v>562</v>
      </c>
      <c r="H1496" t="s">
        <v>562</v>
      </c>
      <c r="I1496">
        <v>5117</v>
      </c>
      <c r="J1496" t="s">
        <v>564</v>
      </c>
      <c r="K1496" s="698">
        <v>45957.561805555553</v>
      </c>
      <c r="L1496" s="698">
        <v>45957.561805555553</v>
      </c>
      <c r="M1496" t="s">
        <v>565</v>
      </c>
      <c r="N1496" t="s">
        <v>565</v>
      </c>
      <c r="O1496" t="s">
        <v>566</v>
      </c>
      <c r="P1496" t="s">
        <v>567</v>
      </c>
      <c r="S1496" t="s">
        <v>567</v>
      </c>
      <c r="T1496" t="s">
        <v>567</v>
      </c>
      <c r="Z1496" t="s">
        <v>568</v>
      </c>
      <c r="AA1496" t="s">
        <v>568</v>
      </c>
    </row>
    <row r="1497" spans="1:27">
      <c r="A1497" t="s">
        <v>3865</v>
      </c>
      <c r="B1497" t="s">
        <v>3866</v>
      </c>
      <c r="C1497" t="s">
        <v>562</v>
      </c>
      <c r="D1497" t="s">
        <v>562</v>
      </c>
      <c r="E1497" t="s">
        <v>3867</v>
      </c>
      <c r="F1497" t="s">
        <v>562</v>
      </c>
      <c r="G1497" t="s">
        <v>562</v>
      </c>
      <c r="H1497" t="s">
        <v>562</v>
      </c>
      <c r="I1497">
        <v>3645</v>
      </c>
      <c r="J1497" t="s">
        <v>564</v>
      </c>
      <c r="K1497" s="698">
        <v>45957.425000000003</v>
      </c>
      <c r="L1497" s="698">
        <v>45957.425000000003</v>
      </c>
      <c r="M1497" t="s">
        <v>565</v>
      </c>
      <c r="N1497" t="s">
        <v>565</v>
      </c>
      <c r="O1497" t="s">
        <v>566</v>
      </c>
      <c r="P1497" t="s">
        <v>567</v>
      </c>
      <c r="S1497" t="s">
        <v>567</v>
      </c>
      <c r="T1497" t="s">
        <v>567</v>
      </c>
      <c r="Z1497" t="s">
        <v>568</v>
      </c>
      <c r="AA1497" t="s">
        <v>568</v>
      </c>
    </row>
    <row r="1498" spans="1:27">
      <c r="A1498" t="s">
        <v>3865</v>
      </c>
      <c r="B1498" t="s">
        <v>3868</v>
      </c>
      <c r="C1498" t="s">
        <v>562</v>
      </c>
      <c r="D1498" t="s">
        <v>562</v>
      </c>
      <c r="E1498" t="s">
        <v>3869</v>
      </c>
      <c r="F1498" t="s">
        <v>562</v>
      </c>
      <c r="G1498" t="s">
        <v>562</v>
      </c>
      <c r="H1498" t="s">
        <v>562</v>
      </c>
      <c r="I1498">
        <v>3669</v>
      </c>
      <c r="J1498" t="s">
        <v>564</v>
      </c>
      <c r="K1498" s="698">
        <v>45957.427777777775</v>
      </c>
      <c r="L1498" s="698">
        <v>45957.427777777775</v>
      </c>
      <c r="M1498" t="s">
        <v>565</v>
      </c>
      <c r="N1498" t="s">
        <v>565</v>
      </c>
      <c r="O1498" t="s">
        <v>566</v>
      </c>
      <c r="P1498" t="s">
        <v>567</v>
      </c>
      <c r="S1498" t="s">
        <v>567</v>
      </c>
      <c r="T1498" t="s">
        <v>567</v>
      </c>
      <c r="Z1498" t="s">
        <v>568</v>
      </c>
      <c r="AA1498" t="s">
        <v>568</v>
      </c>
    </row>
    <row r="1499" spans="1:27">
      <c r="A1499" t="s">
        <v>3865</v>
      </c>
      <c r="B1499" t="s">
        <v>3870</v>
      </c>
      <c r="C1499" t="s">
        <v>3871</v>
      </c>
      <c r="D1499" t="s">
        <v>562</v>
      </c>
      <c r="E1499" t="s">
        <v>3872</v>
      </c>
      <c r="F1499" t="s">
        <v>562</v>
      </c>
      <c r="G1499" t="s">
        <v>562</v>
      </c>
      <c r="H1499" t="s">
        <v>562</v>
      </c>
      <c r="I1499">
        <v>4527</v>
      </c>
      <c r="J1499" t="s">
        <v>564</v>
      </c>
      <c r="K1499" s="698">
        <v>45957.529166666667</v>
      </c>
      <c r="L1499" s="698">
        <v>45957.529166666667</v>
      </c>
      <c r="M1499" t="s">
        <v>565</v>
      </c>
      <c r="N1499" t="s">
        <v>565</v>
      </c>
      <c r="O1499" t="s">
        <v>566</v>
      </c>
      <c r="P1499" t="s">
        <v>567</v>
      </c>
      <c r="S1499" t="s">
        <v>567</v>
      </c>
      <c r="T1499" t="s">
        <v>567</v>
      </c>
      <c r="Z1499" t="s">
        <v>568</v>
      </c>
      <c r="AA1499" t="s">
        <v>568</v>
      </c>
    </row>
    <row r="1500" spans="1:27">
      <c r="A1500" t="s">
        <v>3865</v>
      </c>
      <c r="B1500" t="s">
        <v>2473</v>
      </c>
      <c r="C1500" t="s">
        <v>2472</v>
      </c>
      <c r="D1500" t="s">
        <v>562</v>
      </c>
      <c r="E1500" t="s">
        <v>3873</v>
      </c>
      <c r="F1500" t="s">
        <v>562</v>
      </c>
      <c r="G1500" t="s">
        <v>562</v>
      </c>
      <c r="H1500" t="s">
        <v>562</v>
      </c>
      <c r="I1500">
        <v>4563</v>
      </c>
      <c r="J1500" t="s">
        <v>564</v>
      </c>
      <c r="K1500" s="698">
        <v>45957.53402777778</v>
      </c>
      <c r="L1500" s="698">
        <v>45957.53402777778</v>
      </c>
      <c r="M1500" t="s">
        <v>565</v>
      </c>
      <c r="N1500" t="s">
        <v>565</v>
      </c>
      <c r="O1500" t="s">
        <v>566</v>
      </c>
      <c r="P1500" t="s">
        <v>567</v>
      </c>
      <c r="S1500" t="s">
        <v>567</v>
      </c>
      <c r="T1500" t="s">
        <v>567</v>
      </c>
      <c r="Z1500" t="s">
        <v>568</v>
      </c>
      <c r="AA1500" t="s">
        <v>568</v>
      </c>
    </row>
    <row r="1501" spans="1:27">
      <c r="A1501" t="s">
        <v>3865</v>
      </c>
      <c r="B1501" t="s">
        <v>1236</v>
      </c>
      <c r="C1501" t="s">
        <v>562</v>
      </c>
      <c r="D1501" t="s">
        <v>562</v>
      </c>
      <c r="E1501" t="s">
        <v>3874</v>
      </c>
      <c r="F1501" t="s">
        <v>562</v>
      </c>
      <c r="G1501" t="s">
        <v>562</v>
      </c>
      <c r="H1501" t="s">
        <v>562</v>
      </c>
      <c r="I1501">
        <v>4622</v>
      </c>
      <c r="J1501" t="s">
        <v>564</v>
      </c>
      <c r="K1501" s="698">
        <v>45957.541666666664</v>
      </c>
      <c r="L1501" s="698">
        <v>45957.541666666664</v>
      </c>
      <c r="M1501" t="s">
        <v>565</v>
      </c>
      <c r="N1501" t="s">
        <v>565</v>
      </c>
      <c r="O1501" t="s">
        <v>566</v>
      </c>
      <c r="P1501" t="s">
        <v>567</v>
      </c>
      <c r="S1501" t="s">
        <v>567</v>
      </c>
      <c r="T1501" t="s">
        <v>567</v>
      </c>
      <c r="Z1501" t="s">
        <v>568</v>
      </c>
      <c r="AA1501" t="s">
        <v>568</v>
      </c>
    </row>
    <row r="1502" spans="1:27">
      <c r="A1502" t="s">
        <v>3865</v>
      </c>
      <c r="B1502" t="s">
        <v>2472</v>
      </c>
      <c r="C1502" t="s">
        <v>2473</v>
      </c>
      <c r="D1502" t="s">
        <v>562</v>
      </c>
      <c r="E1502" t="s">
        <v>3875</v>
      </c>
      <c r="F1502" t="s">
        <v>562</v>
      </c>
      <c r="G1502" t="s">
        <v>562</v>
      </c>
      <c r="H1502" t="s">
        <v>562</v>
      </c>
      <c r="I1502">
        <v>4678</v>
      </c>
      <c r="J1502" t="s">
        <v>564</v>
      </c>
      <c r="K1502" s="698">
        <v>45957.548611111109</v>
      </c>
      <c r="L1502" s="698">
        <v>45957.548611111109</v>
      </c>
      <c r="M1502" t="s">
        <v>565</v>
      </c>
      <c r="N1502" t="s">
        <v>565</v>
      </c>
      <c r="O1502" t="s">
        <v>566</v>
      </c>
      <c r="P1502" t="s">
        <v>567</v>
      </c>
      <c r="S1502" t="s">
        <v>567</v>
      </c>
      <c r="T1502" t="s">
        <v>567</v>
      </c>
      <c r="Z1502" t="s">
        <v>568</v>
      </c>
      <c r="AA1502" t="s">
        <v>568</v>
      </c>
    </row>
    <row r="1503" spans="1:27">
      <c r="A1503" t="s">
        <v>3865</v>
      </c>
      <c r="B1503" t="s">
        <v>2630</v>
      </c>
      <c r="C1503" t="s">
        <v>2631</v>
      </c>
      <c r="D1503" t="s">
        <v>562</v>
      </c>
      <c r="E1503" t="s">
        <v>3876</v>
      </c>
      <c r="F1503" t="s">
        <v>562</v>
      </c>
      <c r="G1503" t="s">
        <v>562</v>
      </c>
      <c r="H1503" t="s">
        <v>562</v>
      </c>
      <c r="I1503">
        <v>4771</v>
      </c>
      <c r="J1503" t="s">
        <v>564</v>
      </c>
      <c r="K1503" s="698">
        <v>45957.551388888889</v>
      </c>
      <c r="L1503" s="698">
        <v>45957.551388888889</v>
      </c>
      <c r="M1503" t="s">
        <v>565</v>
      </c>
      <c r="N1503" t="s">
        <v>565</v>
      </c>
      <c r="O1503" t="s">
        <v>566</v>
      </c>
      <c r="P1503" t="s">
        <v>567</v>
      </c>
      <c r="S1503" t="s">
        <v>567</v>
      </c>
      <c r="T1503" t="s">
        <v>567</v>
      </c>
      <c r="Z1503" t="s">
        <v>568</v>
      </c>
      <c r="AA1503" t="s">
        <v>568</v>
      </c>
    </row>
    <row r="1504" spans="1:27">
      <c r="A1504" t="s">
        <v>3865</v>
      </c>
      <c r="B1504" t="s">
        <v>2630</v>
      </c>
      <c r="C1504" t="s">
        <v>562</v>
      </c>
      <c r="D1504" t="s">
        <v>562</v>
      </c>
      <c r="E1504" t="s">
        <v>3877</v>
      </c>
      <c r="F1504" t="s">
        <v>562</v>
      </c>
      <c r="G1504" t="s">
        <v>562</v>
      </c>
      <c r="H1504" t="s">
        <v>562</v>
      </c>
      <c r="I1504">
        <v>4825</v>
      </c>
      <c r="J1504" t="s">
        <v>564</v>
      </c>
      <c r="K1504" s="698">
        <v>45957.552777777775</v>
      </c>
      <c r="L1504" s="698">
        <v>45957.552777777775</v>
      </c>
      <c r="M1504" t="s">
        <v>565</v>
      </c>
      <c r="N1504" t="s">
        <v>565</v>
      </c>
      <c r="O1504" t="s">
        <v>566</v>
      </c>
      <c r="P1504" t="s">
        <v>567</v>
      </c>
      <c r="S1504" t="s">
        <v>567</v>
      </c>
      <c r="T1504" t="s">
        <v>567</v>
      </c>
      <c r="Z1504" t="s">
        <v>568</v>
      </c>
      <c r="AA1504" t="s">
        <v>568</v>
      </c>
    </row>
    <row r="1505" spans="1:27">
      <c r="A1505" t="s">
        <v>3865</v>
      </c>
      <c r="B1505" t="s">
        <v>2786</v>
      </c>
      <c r="C1505" t="s">
        <v>562</v>
      </c>
      <c r="D1505" t="s">
        <v>562</v>
      </c>
      <c r="E1505" t="s">
        <v>3878</v>
      </c>
      <c r="F1505" t="s">
        <v>562</v>
      </c>
      <c r="G1505" t="s">
        <v>562</v>
      </c>
      <c r="H1505" t="s">
        <v>562</v>
      </c>
      <c r="I1505">
        <v>5182</v>
      </c>
      <c r="J1505" t="s">
        <v>564</v>
      </c>
      <c r="K1505" s="698">
        <v>45957.563888888886</v>
      </c>
      <c r="L1505" s="698">
        <v>45957.563888888886</v>
      </c>
      <c r="M1505" t="s">
        <v>565</v>
      </c>
      <c r="N1505" t="s">
        <v>565</v>
      </c>
      <c r="O1505" t="s">
        <v>566</v>
      </c>
      <c r="P1505" t="s">
        <v>567</v>
      </c>
      <c r="S1505" t="s">
        <v>567</v>
      </c>
      <c r="T1505" t="s">
        <v>567</v>
      </c>
      <c r="Z1505" t="s">
        <v>568</v>
      </c>
      <c r="AA1505" t="s">
        <v>568</v>
      </c>
    </row>
    <row r="1506" spans="1:27">
      <c r="A1506" t="s">
        <v>3865</v>
      </c>
      <c r="B1506" t="s">
        <v>2630</v>
      </c>
      <c r="C1506" t="s">
        <v>2631</v>
      </c>
      <c r="D1506" t="s">
        <v>562</v>
      </c>
      <c r="E1506" t="s">
        <v>3879</v>
      </c>
      <c r="F1506" t="s">
        <v>562</v>
      </c>
      <c r="G1506" t="s">
        <v>562</v>
      </c>
      <c r="H1506" t="s">
        <v>562</v>
      </c>
      <c r="I1506">
        <v>5183</v>
      </c>
      <c r="J1506" t="s">
        <v>564</v>
      </c>
      <c r="K1506" s="698">
        <v>45957.563888888886</v>
      </c>
      <c r="L1506" s="698">
        <v>45957.563888888886</v>
      </c>
      <c r="M1506" t="s">
        <v>565</v>
      </c>
      <c r="N1506" t="s">
        <v>565</v>
      </c>
      <c r="O1506" t="s">
        <v>566</v>
      </c>
      <c r="P1506" t="s">
        <v>567</v>
      </c>
      <c r="S1506" t="s">
        <v>567</v>
      </c>
      <c r="T1506" t="s">
        <v>567</v>
      </c>
      <c r="Z1506" t="s">
        <v>568</v>
      </c>
      <c r="AA1506" t="s">
        <v>568</v>
      </c>
    </row>
    <row r="1507" spans="1:27">
      <c r="A1507" t="s">
        <v>3865</v>
      </c>
      <c r="B1507" t="s">
        <v>2472</v>
      </c>
      <c r="C1507" t="s">
        <v>562</v>
      </c>
      <c r="D1507" t="s">
        <v>562</v>
      </c>
      <c r="E1507" t="s">
        <v>3880</v>
      </c>
      <c r="F1507" t="s">
        <v>562</v>
      </c>
      <c r="G1507" t="s">
        <v>562</v>
      </c>
      <c r="H1507" t="s">
        <v>562</v>
      </c>
      <c r="I1507">
        <v>5189</v>
      </c>
      <c r="J1507" t="s">
        <v>564</v>
      </c>
      <c r="K1507" s="698">
        <v>45957.563888888886</v>
      </c>
      <c r="L1507" s="698">
        <v>45957.563888888886</v>
      </c>
      <c r="M1507" t="s">
        <v>565</v>
      </c>
      <c r="N1507" t="s">
        <v>565</v>
      </c>
      <c r="O1507" t="s">
        <v>566</v>
      </c>
      <c r="P1507" t="s">
        <v>567</v>
      </c>
      <c r="S1507" t="s">
        <v>567</v>
      </c>
      <c r="T1507" t="s">
        <v>567</v>
      </c>
      <c r="Z1507" t="s">
        <v>568</v>
      </c>
      <c r="AA1507" t="s">
        <v>568</v>
      </c>
    </row>
    <row r="1508" spans="1:27">
      <c r="A1508" t="s">
        <v>3865</v>
      </c>
      <c r="B1508" t="s">
        <v>2472</v>
      </c>
      <c r="C1508" t="s">
        <v>2473</v>
      </c>
      <c r="D1508" t="s">
        <v>562</v>
      </c>
      <c r="E1508" t="s">
        <v>3881</v>
      </c>
      <c r="F1508" t="s">
        <v>562</v>
      </c>
      <c r="G1508" t="s">
        <v>562</v>
      </c>
      <c r="H1508" t="s">
        <v>562</v>
      </c>
      <c r="I1508">
        <v>5190</v>
      </c>
      <c r="J1508" t="s">
        <v>564</v>
      </c>
      <c r="K1508" s="698">
        <v>45957.563888888886</v>
      </c>
      <c r="L1508" s="698">
        <v>45957.563888888886</v>
      </c>
      <c r="M1508" t="s">
        <v>565</v>
      </c>
      <c r="N1508" t="s">
        <v>565</v>
      </c>
      <c r="O1508" t="s">
        <v>566</v>
      </c>
      <c r="P1508" t="s">
        <v>567</v>
      </c>
      <c r="S1508" t="s">
        <v>567</v>
      </c>
      <c r="T1508" t="s">
        <v>567</v>
      </c>
      <c r="Z1508" t="s">
        <v>568</v>
      </c>
      <c r="AA1508" t="s">
        <v>568</v>
      </c>
    </row>
    <row r="1509" spans="1:27">
      <c r="A1509" t="s">
        <v>3865</v>
      </c>
      <c r="B1509" t="s">
        <v>2786</v>
      </c>
      <c r="C1509" t="s">
        <v>2631</v>
      </c>
      <c r="D1509" t="s">
        <v>562</v>
      </c>
      <c r="E1509" t="s">
        <v>3882</v>
      </c>
      <c r="F1509" t="s">
        <v>562</v>
      </c>
      <c r="G1509" t="s">
        <v>562</v>
      </c>
      <c r="H1509" t="s">
        <v>562</v>
      </c>
      <c r="I1509">
        <v>5194</v>
      </c>
      <c r="J1509" t="s">
        <v>564</v>
      </c>
      <c r="K1509" s="698">
        <v>45957.563888888886</v>
      </c>
      <c r="L1509" s="698">
        <v>45957.563888888886</v>
      </c>
      <c r="M1509" t="s">
        <v>565</v>
      </c>
      <c r="N1509" t="s">
        <v>565</v>
      </c>
      <c r="O1509" t="s">
        <v>566</v>
      </c>
      <c r="P1509" t="s">
        <v>567</v>
      </c>
      <c r="S1509" t="s">
        <v>567</v>
      </c>
      <c r="T1509" t="s">
        <v>567</v>
      </c>
      <c r="Z1509" t="s">
        <v>568</v>
      </c>
      <c r="AA1509" t="s">
        <v>568</v>
      </c>
    </row>
    <row r="1510" spans="1:27">
      <c r="A1510" t="s">
        <v>3883</v>
      </c>
      <c r="B1510" t="s">
        <v>3884</v>
      </c>
      <c r="C1510" t="s">
        <v>3885</v>
      </c>
      <c r="D1510" t="s">
        <v>562</v>
      </c>
      <c r="E1510" t="s">
        <v>3886</v>
      </c>
      <c r="F1510" t="s">
        <v>562</v>
      </c>
      <c r="G1510" t="s">
        <v>562</v>
      </c>
      <c r="H1510" t="s">
        <v>562</v>
      </c>
      <c r="I1510">
        <v>4661</v>
      </c>
      <c r="J1510" t="s">
        <v>564</v>
      </c>
      <c r="K1510" s="698">
        <v>45957.54791666667</v>
      </c>
      <c r="L1510" s="698">
        <v>45957.54791666667</v>
      </c>
      <c r="M1510" t="s">
        <v>565</v>
      </c>
      <c r="N1510" t="s">
        <v>565</v>
      </c>
      <c r="O1510" t="s">
        <v>566</v>
      </c>
      <c r="P1510" t="s">
        <v>567</v>
      </c>
      <c r="S1510" t="s">
        <v>567</v>
      </c>
      <c r="T1510" t="s">
        <v>567</v>
      </c>
      <c r="Z1510" t="s">
        <v>568</v>
      </c>
      <c r="AA1510" t="s">
        <v>568</v>
      </c>
    </row>
    <row r="1511" spans="1:27">
      <c r="A1511" t="s">
        <v>3887</v>
      </c>
      <c r="B1511" t="s">
        <v>562</v>
      </c>
      <c r="C1511" t="s">
        <v>3885</v>
      </c>
      <c r="D1511" t="s">
        <v>3888</v>
      </c>
      <c r="E1511" t="s">
        <v>562</v>
      </c>
      <c r="F1511" t="s">
        <v>562</v>
      </c>
      <c r="G1511" t="s">
        <v>562</v>
      </c>
      <c r="H1511" t="s">
        <v>562</v>
      </c>
      <c r="I1511">
        <v>3568</v>
      </c>
      <c r="J1511" t="s">
        <v>564</v>
      </c>
      <c r="K1511" s="698">
        <v>45957.416666666664</v>
      </c>
      <c r="L1511" s="698">
        <v>45957.416666666664</v>
      </c>
      <c r="M1511" t="s">
        <v>565</v>
      </c>
      <c r="N1511" t="s">
        <v>565</v>
      </c>
      <c r="O1511" t="s">
        <v>566</v>
      </c>
      <c r="P1511" t="s">
        <v>567</v>
      </c>
      <c r="S1511" t="s">
        <v>567</v>
      </c>
      <c r="T1511" t="s">
        <v>567</v>
      </c>
      <c r="Z1511" t="s">
        <v>568</v>
      </c>
      <c r="AA1511" t="s">
        <v>568</v>
      </c>
    </row>
    <row r="1512" spans="1:27">
      <c r="A1512" t="s">
        <v>3889</v>
      </c>
      <c r="B1512" t="s">
        <v>3890</v>
      </c>
      <c r="C1512" t="s">
        <v>3891</v>
      </c>
      <c r="D1512" t="s">
        <v>562</v>
      </c>
      <c r="E1512" t="s">
        <v>3892</v>
      </c>
      <c r="F1512" t="s">
        <v>562</v>
      </c>
      <c r="G1512" t="s">
        <v>562</v>
      </c>
      <c r="H1512" t="s">
        <v>562</v>
      </c>
      <c r="I1512">
        <v>4264</v>
      </c>
      <c r="J1512" t="s">
        <v>564</v>
      </c>
      <c r="K1512" s="698">
        <v>45957.496527777781</v>
      </c>
      <c r="L1512" s="698">
        <v>45957.496527777781</v>
      </c>
      <c r="M1512" t="s">
        <v>565</v>
      </c>
      <c r="N1512" t="s">
        <v>565</v>
      </c>
      <c r="O1512" t="s">
        <v>566</v>
      </c>
      <c r="P1512" t="s">
        <v>567</v>
      </c>
      <c r="S1512" t="s">
        <v>567</v>
      </c>
      <c r="T1512" t="s">
        <v>567</v>
      </c>
      <c r="Z1512" t="s">
        <v>568</v>
      </c>
      <c r="AA1512" t="s">
        <v>568</v>
      </c>
    </row>
    <row r="1513" spans="1:27">
      <c r="A1513" t="s">
        <v>3893</v>
      </c>
      <c r="B1513" t="s">
        <v>3894</v>
      </c>
      <c r="C1513" t="s">
        <v>562</v>
      </c>
      <c r="D1513" t="s">
        <v>3895</v>
      </c>
      <c r="E1513" t="s">
        <v>3896</v>
      </c>
      <c r="F1513" t="s">
        <v>562</v>
      </c>
      <c r="G1513" t="s">
        <v>562</v>
      </c>
      <c r="H1513" t="s">
        <v>562</v>
      </c>
      <c r="I1513">
        <v>4332</v>
      </c>
      <c r="J1513" t="s">
        <v>564</v>
      </c>
      <c r="K1513" s="698">
        <v>45957.505555555559</v>
      </c>
      <c r="L1513" s="698">
        <v>45957.505555555559</v>
      </c>
      <c r="M1513" t="s">
        <v>565</v>
      </c>
      <c r="N1513" t="s">
        <v>565</v>
      </c>
      <c r="O1513" t="s">
        <v>566</v>
      </c>
      <c r="P1513" t="s">
        <v>567</v>
      </c>
      <c r="S1513" t="s">
        <v>567</v>
      </c>
      <c r="T1513" t="s">
        <v>567</v>
      </c>
      <c r="Z1513" t="s">
        <v>568</v>
      </c>
      <c r="AA1513" t="s">
        <v>568</v>
      </c>
    </row>
    <row r="1514" spans="1:27">
      <c r="A1514" t="s">
        <v>3893</v>
      </c>
      <c r="B1514" t="s">
        <v>3894</v>
      </c>
      <c r="C1514" t="s">
        <v>3897</v>
      </c>
      <c r="D1514" t="s">
        <v>3895</v>
      </c>
      <c r="E1514" t="s">
        <v>3896</v>
      </c>
      <c r="F1514" t="s">
        <v>562</v>
      </c>
      <c r="G1514" t="s">
        <v>562</v>
      </c>
      <c r="H1514" t="s">
        <v>562</v>
      </c>
      <c r="I1514">
        <v>5204</v>
      </c>
      <c r="J1514" t="s">
        <v>564</v>
      </c>
      <c r="K1514" s="698">
        <v>45957.564583333333</v>
      </c>
      <c r="L1514" s="698">
        <v>45957.564583333333</v>
      </c>
      <c r="M1514" t="s">
        <v>565</v>
      </c>
      <c r="N1514" t="s">
        <v>565</v>
      </c>
      <c r="O1514" t="s">
        <v>566</v>
      </c>
      <c r="P1514" t="s">
        <v>567</v>
      </c>
      <c r="S1514" t="s">
        <v>567</v>
      </c>
      <c r="T1514" t="s">
        <v>567</v>
      </c>
      <c r="Z1514" t="s">
        <v>568</v>
      </c>
      <c r="AA1514" t="s">
        <v>568</v>
      </c>
    </row>
    <row r="1515" spans="1:27">
      <c r="A1515" t="s">
        <v>3898</v>
      </c>
      <c r="B1515" t="s">
        <v>3899</v>
      </c>
      <c r="C1515" t="s">
        <v>3900</v>
      </c>
      <c r="D1515" t="s">
        <v>3901</v>
      </c>
      <c r="E1515" t="s">
        <v>562</v>
      </c>
      <c r="F1515" t="s">
        <v>562</v>
      </c>
      <c r="G1515" t="s">
        <v>562</v>
      </c>
      <c r="H1515" t="s">
        <v>562</v>
      </c>
      <c r="I1515">
        <v>3569</v>
      </c>
      <c r="J1515" t="s">
        <v>564</v>
      </c>
      <c r="K1515" s="698">
        <v>45957.416666666664</v>
      </c>
      <c r="L1515" s="698">
        <v>45957.416666666664</v>
      </c>
      <c r="M1515" t="s">
        <v>565</v>
      </c>
      <c r="N1515" t="s">
        <v>565</v>
      </c>
      <c r="O1515" t="s">
        <v>566</v>
      </c>
      <c r="P1515" t="s">
        <v>567</v>
      </c>
      <c r="S1515" t="s">
        <v>567</v>
      </c>
      <c r="T1515" t="s">
        <v>567</v>
      </c>
      <c r="Z1515" t="s">
        <v>568</v>
      </c>
      <c r="AA1515" t="s">
        <v>568</v>
      </c>
    </row>
    <row r="1516" spans="1:27">
      <c r="A1516" t="s">
        <v>3898</v>
      </c>
      <c r="B1516" t="s">
        <v>3902</v>
      </c>
      <c r="C1516" t="s">
        <v>3903</v>
      </c>
      <c r="D1516" t="s">
        <v>3904</v>
      </c>
      <c r="E1516" t="s">
        <v>3905</v>
      </c>
      <c r="F1516" t="s">
        <v>562</v>
      </c>
      <c r="G1516" t="s">
        <v>562</v>
      </c>
      <c r="H1516" t="s">
        <v>562</v>
      </c>
      <c r="I1516">
        <v>3601</v>
      </c>
      <c r="J1516" t="s">
        <v>564</v>
      </c>
      <c r="K1516" s="698">
        <v>45957.420138888891</v>
      </c>
      <c r="L1516" s="698">
        <v>45957.420138888891</v>
      </c>
      <c r="M1516" t="s">
        <v>565</v>
      </c>
      <c r="N1516" t="s">
        <v>565</v>
      </c>
      <c r="O1516" t="s">
        <v>566</v>
      </c>
      <c r="P1516" t="s">
        <v>567</v>
      </c>
      <c r="S1516" t="s">
        <v>567</v>
      </c>
      <c r="T1516" t="s">
        <v>567</v>
      </c>
      <c r="Z1516" t="s">
        <v>568</v>
      </c>
      <c r="AA1516" t="s">
        <v>568</v>
      </c>
    </row>
    <row r="1517" spans="1:27">
      <c r="A1517" t="s">
        <v>3898</v>
      </c>
      <c r="B1517" t="s">
        <v>3906</v>
      </c>
      <c r="C1517" t="s">
        <v>3903</v>
      </c>
      <c r="D1517" t="s">
        <v>3904</v>
      </c>
      <c r="E1517" t="s">
        <v>3907</v>
      </c>
      <c r="F1517" t="s">
        <v>562</v>
      </c>
      <c r="G1517" t="s">
        <v>562</v>
      </c>
      <c r="H1517" t="s">
        <v>562</v>
      </c>
      <c r="I1517">
        <v>3651</v>
      </c>
      <c r="J1517" t="s">
        <v>564</v>
      </c>
      <c r="K1517" s="698">
        <v>45957.425694444442</v>
      </c>
      <c r="L1517" s="698">
        <v>45957.425694444442</v>
      </c>
      <c r="M1517" t="s">
        <v>565</v>
      </c>
      <c r="N1517" t="s">
        <v>565</v>
      </c>
      <c r="O1517" t="s">
        <v>566</v>
      </c>
      <c r="P1517" t="s">
        <v>567</v>
      </c>
      <c r="S1517" t="s">
        <v>567</v>
      </c>
      <c r="T1517" t="s">
        <v>567</v>
      </c>
      <c r="Z1517" t="s">
        <v>568</v>
      </c>
      <c r="AA1517" t="s">
        <v>568</v>
      </c>
    </row>
    <row r="1518" spans="1:27">
      <c r="A1518" t="s">
        <v>3898</v>
      </c>
      <c r="B1518" t="s">
        <v>3902</v>
      </c>
      <c r="C1518" t="s">
        <v>3903</v>
      </c>
      <c r="D1518" t="s">
        <v>3904</v>
      </c>
      <c r="E1518" t="s">
        <v>3908</v>
      </c>
      <c r="F1518" t="s">
        <v>562</v>
      </c>
      <c r="G1518" t="s">
        <v>562</v>
      </c>
      <c r="H1518" t="s">
        <v>562</v>
      </c>
      <c r="I1518">
        <v>4538</v>
      </c>
      <c r="J1518" t="s">
        <v>564</v>
      </c>
      <c r="K1518" s="698">
        <v>45957.530555555553</v>
      </c>
      <c r="L1518" s="698">
        <v>45957.530555555553</v>
      </c>
      <c r="M1518" t="s">
        <v>565</v>
      </c>
      <c r="N1518" t="s">
        <v>565</v>
      </c>
      <c r="O1518" t="s">
        <v>566</v>
      </c>
      <c r="P1518" t="s">
        <v>567</v>
      </c>
      <c r="S1518" t="s">
        <v>567</v>
      </c>
      <c r="T1518" t="s">
        <v>567</v>
      </c>
      <c r="Z1518" t="s">
        <v>568</v>
      </c>
      <c r="AA1518" t="s">
        <v>568</v>
      </c>
    </row>
    <row r="1519" spans="1:27">
      <c r="A1519" t="s">
        <v>3909</v>
      </c>
      <c r="B1519" t="s">
        <v>3910</v>
      </c>
      <c r="C1519" t="s">
        <v>3911</v>
      </c>
      <c r="D1519" t="s">
        <v>562</v>
      </c>
      <c r="E1519" t="s">
        <v>3912</v>
      </c>
      <c r="F1519" t="s">
        <v>562</v>
      </c>
      <c r="G1519" t="s">
        <v>562</v>
      </c>
      <c r="H1519" t="s">
        <v>562</v>
      </c>
      <c r="I1519">
        <v>4673</v>
      </c>
      <c r="J1519" t="s">
        <v>564</v>
      </c>
      <c r="K1519" s="698">
        <v>45957.548611111109</v>
      </c>
      <c r="L1519" s="698">
        <v>45957.548611111109</v>
      </c>
      <c r="M1519" t="s">
        <v>565</v>
      </c>
      <c r="N1519" t="s">
        <v>565</v>
      </c>
      <c r="O1519" t="s">
        <v>566</v>
      </c>
      <c r="P1519" t="s">
        <v>567</v>
      </c>
      <c r="S1519" t="s">
        <v>567</v>
      </c>
      <c r="T1519" t="s">
        <v>567</v>
      </c>
      <c r="Z1519" t="s">
        <v>568</v>
      </c>
      <c r="AA1519" t="s">
        <v>568</v>
      </c>
    </row>
    <row r="1520" spans="1:27">
      <c r="A1520" t="s">
        <v>3913</v>
      </c>
      <c r="B1520" t="s">
        <v>3913</v>
      </c>
      <c r="C1520" t="s">
        <v>3914</v>
      </c>
      <c r="D1520" t="s">
        <v>562</v>
      </c>
      <c r="E1520" t="s">
        <v>3915</v>
      </c>
      <c r="F1520" t="s">
        <v>562</v>
      </c>
      <c r="G1520" t="s">
        <v>562</v>
      </c>
      <c r="H1520" t="s">
        <v>562</v>
      </c>
      <c r="I1520">
        <v>4081</v>
      </c>
      <c r="J1520" t="s">
        <v>564</v>
      </c>
      <c r="K1520" s="698">
        <v>45957.474305555559</v>
      </c>
      <c r="L1520" s="698">
        <v>45957.474305555559</v>
      </c>
      <c r="M1520" t="s">
        <v>565</v>
      </c>
      <c r="N1520" t="s">
        <v>565</v>
      </c>
      <c r="O1520" t="s">
        <v>566</v>
      </c>
      <c r="P1520" t="s">
        <v>567</v>
      </c>
      <c r="S1520" t="s">
        <v>567</v>
      </c>
      <c r="T1520" t="s">
        <v>567</v>
      </c>
      <c r="Z1520" t="s">
        <v>568</v>
      </c>
      <c r="AA1520" t="s">
        <v>568</v>
      </c>
    </row>
    <row r="1521" spans="1:27">
      <c r="A1521" t="s">
        <v>3916</v>
      </c>
      <c r="B1521" t="s">
        <v>3917</v>
      </c>
      <c r="C1521" t="s">
        <v>3918</v>
      </c>
      <c r="D1521" t="s">
        <v>3919</v>
      </c>
      <c r="E1521" t="s">
        <v>562</v>
      </c>
      <c r="F1521" t="s">
        <v>562</v>
      </c>
      <c r="G1521" t="s">
        <v>562</v>
      </c>
      <c r="H1521" t="s">
        <v>562</v>
      </c>
      <c r="I1521">
        <v>3570</v>
      </c>
      <c r="J1521" t="s">
        <v>564</v>
      </c>
      <c r="K1521" s="698">
        <v>45957.416666666664</v>
      </c>
      <c r="L1521" s="698">
        <v>45957.416666666664</v>
      </c>
      <c r="M1521" t="s">
        <v>565</v>
      </c>
      <c r="N1521" t="s">
        <v>565</v>
      </c>
      <c r="O1521" t="s">
        <v>566</v>
      </c>
      <c r="P1521" t="s">
        <v>567</v>
      </c>
      <c r="S1521" t="s">
        <v>567</v>
      </c>
      <c r="T1521" t="s">
        <v>567</v>
      </c>
      <c r="Z1521" t="s">
        <v>568</v>
      </c>
      <c r="AA1521" t="s">
        <v>568</v>
      </c>
    </row>
    <row r="1522" spans="1:27">
      <c r="A1522" t="s">
        <v>3920</v>
      </c>
      <c r="B1522" t="s">
        <v>3917</v>
      </c>
      <c r="C1522" t="s">
        <v>3921</v>
      </c>
      <c r="D1522" t="s">
        <v>562</v>
      </c>
      <c r="E1522" t="s">
        <v>3922</v>
      </c>
      <c r="F1522" t="s">
        <v>562</v>
      </c>
      <c r="G1522" t="s">
        <v>562</v>
      </c>
      <c r="H1522" t="s">
        <v>562</v>
      </c>
      <c r="I1522">
        <v>3683</v>
      </c>
      <c r="J1522" t="s">
        <v>564</v>
      </c>
      <c r="K1522" s="698">
        <v>45957.429166666669</v>
      </c>
      <c r="L1522" s="698">
        <v>45957.429166666669</v>
      </c>
      <c r="M1522" t="s">
        <v>565</v>
      </c>
      <c r="N1522" t="s">
        <v>565</v>
      </c>
      <c r="O1522" t="s">
        <v>566</v>
      </c>
      <c r="P1522" t="s">
        <v>567</v>
      </c>
      <c r="S1522" t="s">
        <v>567</v>
      </c>
      <c r="T1522" t="s">
        <v>567</v>
      </c>
      <c r="Z1522" t="s">
        <v>568</v>
      </c>
      <c r="AA1522" t="s">
        <v>568</v>
      </c>
    </row>
    <row r="1523" spans="1:27">
      <c r="A1523" t="s">
        <v>3920</v>
      </c>
      <c r="B1523" t="s">
        <v>1133</v>
      </c>
      <c r="C1523" t="s">
        <v>3923</v>
      </c>
      <c r="D1523" t="s">
        <v>562</v>
      </c>
      <c r="E1523" t="s">
        <v>3924</v>
      </c>
      <c r="F1523" t="s">
        <v>562</v>
      </c>
      <c r="G1523" t="s">
        <v>562</v>
      </c>
      <c r="H1523" t="s">
        <v>562</v>
      </c>
      <c r="I1523">
        <v>4417</v>
      </c>
      <c r="J1523" t="s">
        <v>564</v>
      </c>
      <c r="K1523" s="698">
        <v>45957.515972222223</v>
      </c>
      <c r="L1523" s="698">
        <v>45957.515972222223</v>
      </c>
      <c r="M1523" t="s">
        <v>565</v>
      </c>
      <c r="N1523" t="s">
        <v>565</v>
      </c>
      <c r="O1523" t="s">
        <v>566</v>
      </c>
      <c r="P1523" t="s">
        <v>567</v>
      </c>
      <c r="S1523" t="s">
        <v>567</v>
      </c>
      <c r="T1523" t="s">
        <v>567</v>
      </c>
      <c r="Z1523" t="s">
        <v>568</v>
      </c>
      <c r="AA1523" t="s">
        <v>568</v>
      </c>
    </row>
    <row r="1524" spans="1:27">
      <c r="A1524" t="s">
        <v>3920</v>
      </c>
      <c r="B1524" t="s">
        <v>3925</v>
      </c>
      <c r="C1524" t="s">
        <v>3921</v>
      </c>
      <c r="D1524" t="s">
        <v>562</v>
      </c>
      <c r="E1524" t="s">
        <v>3926</v>
      </c>
      <c r="F1524" t="s">
        <v>562</v>
      </c>
      <c r="G1524" t="s">
        <v>562</v>
      </c>
      <c r="H1524" t="s">
        <v>562</v>
      </c>
      <c r="I1524">
        <v>4465</v>
      </c>
      <c r="J1524" t="s">
        <v>564</v>
      </c>
      <c r="K1524" s="698">
        <v>45957.522222222222</v>
      </c>
      <c r="L1524" s="698">
        <v>45957.522222222222</v>
      </c>
      <c r="M1524" t="s">
        <v>565</v>
      </c>
      <c r="N1524" t="s">
        <v>565</v>
      </c>
      <c r="O1524" t="s">
        <v>566</v>
      </c>
      <c r="P1524" t="s">
        <v>567</v>
      </c>
      <c r="S1524" t="s">
        <v>567</v>
      </c>
      <c r="T1524" t="s">
        <v>567</v>
      </c>
      <c r="Z1524" t="s">
        <v>568</v>
      </c>
      <c r="AA1524" t="s">
        <v>568</v>
      </c>
    </row>
    <row r="1525" spans="1:27">
      <c r="A1525" t="s">
        <v>3920</v>
      </c>
      <c r="B1525" t="s">
        <v>3927</v>
      </c>
      <c r="C1525" t="s">
        <v>3923</v>
      </c>
      <c r="D1525" t="s">
        <v>562</v>
      </c>
      <c r="E1525" t="s">
        <v>952</v>
      </c>
      <c r="F1525" t="s">
        <v>562</v>
      </c>
      <c r="G1525" t="s">
        <v>562</v>
      </c>
      <c r="H1525" t="s">
        <v>562</v>
      </c>
      <c r="I1525">
        <v>4505</v>
      </c>
      <c r="J1525" t="s">
        <v>564</v>
      </c>
      <c r="K1525" s="698">
        <v>45957.526388888888</v>
      </c>
      <c r="L1525" s="698">
        <v>45957.526388888888</v>
      </c>
      <c r="M1525" t="s">
        <v>565</v>
      </c>
      <c r="N1525" t="s">
        <v>565</v>
      </c>
      <c r="O1525" t="s">
        <v>566</v>
      </c>
      <c r="P1525" t="s">
        <v>567</v>
      </c>
      <c r="S1525" t="s">
        <v>567</v>
      </c>
      <c r="T1525" t="s">
        <v>567</v>
      </c>
      <c r="Z1525" t="s">
        <v>568</v>
      </c>
      <c r="AA1525" t="s">
        <v>568</v>
      </c>
    </row>
    <row r="1526" spans="1:27">
      <c r="A1526" t="s">
        <v>3920</v>
      </c>
      <c r="B1526" t="s">
        <v>3925</v>
      </c>
      <c r="C1526" t="s">
        <v>3921</v>
      </c>
      <c r="D1526" t="s">
        <v>562</v>
      </c>
      <c r="E1526" t="s">
        <v>3928</v>
      </c>
      <c r="F1526" t="s">
        <v>562</v>
      </c>
      <c r="G1526" t="s">
        <v>562</v>
      </c>
      <c r="H1526" t="s">
        <v>562</v>
      </c>
      <c r="I1526">
        <v>4559</v>
      </c>
      <c r="J1526" t="s">
        <v>564</v>
      </c>
      <c r="K1526" s="698">
        <v>45957.533333333333</v>
      </c>
      <c r="L1526" s="698">
        <v>45957.533333333333</v>
      </c>
      <c r="M1526" t="s">
        <v>565</v>
      </c>
      <c r="N1526" t="s">
        <v>565</v>
      </c>
      <c r="O1526" t="s">
        <v>566</v>
      </c>
      <c r="P1526" t="s">
        <v>567</v>
      </c>
      <c r="S1526" t="s">
        <v>567</v>
      </c>
      <c r="T1526" t="s">
        <v>567</v>
      </c>
      <c r="Z1526" t="s">
        <v>568</v>
      </c>
      <c r="AA1526" t="s">
        <v>568</v>
      </c>
    </row>
    <row r="1527" spans="1:27">
      <c r="A1527" t="s">
        <v>3920</v>
      </c>
      <c r="B1527" t="s">
        <v>3925</v>
      </c>
      <c r="C1527" t="s">
        <v>3921</v>
      </c>
      <c r="D1527" t="s">
        <v>562</v>
      </c>
      <c r="E1527" t="s">
        <v>3929</v>
      </c>
      <c r="F1527" t="s">
        <v>562</v>
      </c>
      <c r="G1527" t="s">
        <v>562</v>
      </c>
      <c r="H1527" t="s">
        <v>562</v>
      </c>
      <c r="I1527">
        <v>4576</v>
      </c>
      <c r="J1527" t="s">
        <v>564</v>
      </c>
      <c r="K1527" s="698">
        <v>45957.535416666666</v>
      </c>
      <c r="L1527" s="698">
        <v>45957.535416666666</v>
      </c>
      <c r="M1527" t="s">
        <v>565</v>
      </c>
      <c r="N1527" t="s">
        <v>565</v>
      </c>
      <c r="O1527" t="s">
        <v>566</v>
      </c>
      <c r="P1527" t="s">
        <v>567</v>
      </c>
      <c r="S1527" t="s">
        <v>567</v>
      </c>
      <c r="T1527" t="s">
        <v>567</v>
      </c>
      <c r="Z1527" t="s">
        <v>568</v>
      </c>
      <c r="AA1527" t="s">
        <v>568</v>
      </c>
    </row>
    <row r="1528" spans="1:27">
      <c r="A1528" t="s">
        <v>3920</v>
      </c>
      <c r="B1528" t="s">
        <v>3930</v>
      </c>
      <c r="C1528" t="s">
        <v>3931</v>
      </c>
      <c r="D1528" t="s">
        <v>562</v>
      </c>
      <c r="E1528" t="s">
        <v>3932</v>
      </c>
      <c r="F1528" t="s">
        <v>562</v>
      </c>
      <c r="G1528" t="s">
        <v>562</v>
      </c>
      <c r="H1528" t="s">
        <v>562</v>
      </c>
      <c r="I1528">
        <v>4621</v>
      </c>
      <c r="J1528" t="s">
        <v>564</v>
      </c>
      <c r="K1528" s="698">
        <v>45957.541666666664</v>
      </c>
      <c r="L1528" s="698">
        <v>45957.541666666664</v>
      </c>
      <c r="M1528" t="s">
        <v>565</v>
      </c>
      <c r="N1528" t="s">
        <v>565</v>
      </c>
      <c r="O1528" t="s">
        <v>566</v>
      </c>
      <c r="P1528" t="s">
        <v>567</v>
      </c>
      <c r="S1528" t="s">
        <v>567</v>
      </c>
      <c r="T1528" t="s">
        <v>567</v>
      </c>
      <c r="Z1528" t="s">
        <v>568</v>
      </c>
      <c r="AA1528" t="s">
        <v>568</v>
      </c>
    </row>
    <row r="1529" spans="1:27">
      <c r="A1529" t="s">
        <v>3920</v>
      </c>
      <c r="B1529" t="s">
        <v>3933</v>
      </c>
      <c r="C1529" t="s">
        <v>3934</v>
      </c>
      <c r="D1529" t="s">
        <v>562</v>
      </c>
      <c r="E1529" t="s">
        <v>3935</v>
      </c>
      <c r="F1529" t="s">
        <v>562</v>
      </c>
      <c r="G1529" t="s">
        <v>562</v>
      </c>
      <c r="H1529" t="s">
        <v>562</v>
      </c>
      <c r="I1529">
        <v>4694</v>
      </c>
      <c r="J1529" t="s">
        <v>564</v>
      </c>
      <c r="K1529" s="698">
        <v>45957.549305555556</v>
      </c>
      <c r="L1529" s="698">
        <v>45957.549305555556</v>
      </c>
      <c r="M1529" t="s">
        <v>565</v>
      </c>
      <c r="N1529" t="s">
        <v>565</v>
      </c>
      <c r="O1529" t="s">
        <v>566</v>
      </c>
      <c r="P1529" t="s">
        <v>567</v>
      </c>
      <c r="S1529" t="s">
        <v>567</v>
      </c>
      <c r="T1529" t="s">
        <v>567</v>
      </c>
      <c r="Z1529" t="s">
        <v>568</v>
      </c>
      <c r="AA1529" t="s">
        <v>568</v>
      </c>
    </row>
    <row r="1530" spans="1:27">
      <c r="A1530" t="s">
        <v>3920</v>
      </c>
      <c r="B1530" t="s">
        <v>3933</v>
      </c>
      <c r="C1530" t="s">
        <v>3934</v>
      </c>
      <c r="D1530" t="s">
        <v>562</v>
      </c>
      <c r="E1530" t="s">
        <v>3936</v>
      </c>
      <c r="F1530" t="s">
        <v>562</v>
      </c>
      <c r="G1530" t="s">
        <v>562</v>
      </c>
      <c r="H1530" t="s">
        <v>562</v>
      </c>
      <c r="I1530">
        <v>4695</v>
      </c>
      <c r="J1530" t="s">
        <v>564</v>
      </c>
      <c r="K1530" s="698">
        <v>45957.549305555556</v>
      </c>
      <c r="L1530" s="698">
        <v>45957.549305555556</v>
      </c>
      <c r="M1530" t="s">
        <v>565</v>
      </c>
      <c r="N1530" t="s">
        <v>565</v>
      </c>
      <c r="O1530" t="s">
        <v>566</v>
      </c>
      <c r="P1530" t="s">
        <v>567</v>
      </c>
      <c r="S1530" t="s">
        <v>567</v>
      </c>
      <c r="T1530" t="s">
        <v>567</v>
      </c>
      <c r="Z1530" t="s">
        <v>568</v>
      </c>
      <c r="AA1530" t="s">
        <v>568</v>
      </c>
    </row>
    <row r="1531" spans="1:27">
      <c r="A1531" t="s">
        <v>3920</v>
      </c>
      <c r="B1531" t="s">
        <v>3930</v>
      </c>
      <c r="C1531" t="s">
        <v>3931</v>
      </c>
      <c r="D1531" t="s">
        <v>562</v>
      </c>
      <c r="E1531" t="s">
        <v>3937</v>
      </c>
      <c r="F1531" t="s">
        <v>562</v>
      </c>
      <c r="G1531" t="s">
        <v>562</v>
      </c>
      <c r="H1531" t="s">
        <v>562</v>
      </c>
      <c r="I1531">
        <v>4720</v>
      </c>
      <c r="J1531" t="s">
        <v>564</v>
      </c>
      <c r="K1531" s="698">
        <v>45957.55</v>
      </c>
      <c r="L1531" s="698">
        <v>45957.55</v>
      </c>
      <c r="M1531" t="s">
        <v>565</v>
      </c>
      <c r="N1531" t="s">
        <v>565</v>
      </c>
      <c r="O1531" t="s">
        <v>566</v>
      </c>
      <c r="P1531" t="s">
        <v>567</v>
      </c>
      <c r="S1531" t="s">
        <v>567</v>
      </c>
      <c r="T1531" t="s">
        <v>567</v>
      </c>
      <c r="Z1531" t="s">
        <v>568</v>
      </c>
      <c r="AA1531" t="s">
        <v>568</v>
      </c>
    </row>
    <row r="1532" spans="1:27">
      <c r="A1532" t="s">
        <v>3920</v>
      </c>
      <c r="B1532" t="s">
        <v>1133</v>
      </c>
      <c r="C1532" t="s">
        <v>3923</v>
      </c>
      <c r="D1532" t="s">
        <v>562</v>
      </c>
      <c r="E1532" t="s">
        <v>3938</v>
      </c>
      <c r="F1532" t="s">
        <v>562</v>
      </c>
      <c r="G1532" t="s">
        <v>562</v>
      </c>
      <c r="H1532" t="s">
        <v>562</v>
      </c>
      <c r="I1532">
        <v>4736</v>
      </c>
      <c r="J1532" t="s">
        <v>564</v>
      </c>
      <c r="K1532" s="698">
        <v>45957.55</v>
      </c>
      <c r="L1532" s="698">
        <v>45957.55</v>
      </c>
      <c r="M1532" t="s">
        <v>565</v>
      </c>
      <c r="N1532" t="s">
        <v>565</v>
      </c>
      <c r="O1532" t="s">
        <v>566</v>
      </c>
      <c r="P1532" t="s">
        <v>567</v>
      </c>
      <c r="S1532" t="s">
        <v>567</v>
      </c>
      <c r="T1532" t="s">
        <v>567</v>
      </c>
      <c r="Z1532" t="s">
        <v>568</v>
      </c>
      <c r="AA1532" t="s">
        <v>568</v>
      </c>
    </row>
    <row r="1533" spans="1:27">
      <c r="A1533" t="s">
        <v>3920</v>
      </c>
      <c r="B1533" t="s">
        <v>3930</v>
      </c>
      <c r="C1533" t="s">
        <v>3931</v>
      </c>
      <c r="D1533" t="s">
        <v>562</v>
      </c>
      <c r="E1533" t="s">
        <v>3939</v>
      </c>
      <c r="F1533" t="s">
        <v>562</v>
      </c>
      <c r="G1533" t="s">
        <v>562</v>
      </c>
      <c r="H1533" t="s">
        <v>562</v>
      </c>
      <c r="I1533">
        <v>4742</v>
      </c>
      <c r="J1533" t="s">
        <v>564</v>
      </c>
      <c r="K1533" s="698">
        <v>45957.550694444442</v>
      </c>
      <c r="L1533" s="698">
        <v>45957.550694444442</v>
      </c>
      <c r="M1533" t="s">
        <v>565</v>
      </c>
      <c r="N1533" t="s">
        <v>565</v>
      </c>
      <c r="O1533" t="s">
        <v>566</v>
      </c>
      <c r="P1533" t="s">
        <v>567</v>
      </c>
      <c r="S1533" t="s">
        <v>567</v>
      </c>
      <c r="T1533" t="s">
        <v>567</v>
      </c>
      <c r="Z1533" t="s">
        <v>568</v>
      </c>
      <c r="AA1533" t="s">
        <v>568</v>
      </c>
    </row>
    <row r="1534" spans="1:27">
      <c r="A1534" t="s">
        <v>3920</v>
      </c>
      <c r="B1534" t="s">
        <v>3933</v>
      </c>
      <c r="C1534" t="s">
        <v>3934</v>
      </c>
      <c r="D1534" t="s">
        <v>562</v>
      </c>
      <c r="E1534" t="s">
        <v>3940</v>
      </c>
      <c r="F1534" t="s">
        <v>562</v>
      </c>
      <c r="G1534" t="s">
        <v>562</v>
      </c>
      <c r="H1534" t="s">
        <v>562</v>
      </c>
      <c r="I1534">
        <v>4878</v>
      </c>
      <c r="J1534" t="s">
        <v>564</v>
      </c>
      <c r="K1534" s="698">
        <v>45957.554861111108</v>
      </c>
      <c r="L1534" s="698">
        <v>45957.554861111108</v>
      </c>
      <c r="M1534" t="s">
        <v>565</v>
      </c>
      <c r="N1534" t="s">
        <v>565</v>
      </c>
      <c r="O1534" t="s">
        <v>566</v>
      </c>
      <c r="P1534" t="s">
        <v>567</v>
      </c>
      <c r="S1534" t="s">
        <v>567</v>
      </c>
      <c r="T1534" t="s">
        <v>567</v>
      </c>
      <c r="Z1534" t="s">
        <v>568</v>
      </c>
      <c r="AA1534" t="s">
        <v>568</v>
      </c>
    </row>
    <row r="1535" spans="1:27">
      <c r="A1535" t="s">
        <v>3920</v>
      </c>
      <c r="B1535" t="s">
        <v>3927</v>
      </c>
      <c r="C1535" t="s">
        <v>3923</v>
      </c>
      <c r="D1535" t="s">
        <v>562</v>
      </c>
      <c r="E1535" t="s">
        <v>3941</v>
      </c>
      <c r="F1535" t="s">
        <v>562</v>
      </c>
      <c r="G1535" t="s">
        <v>562</v>
      </c>
      <c r="H1535" t="s">
        <v>562</v>
      </c>
      <c r="I1535">
        <v>4966</v>
      </c>
      <c r="J1535" t="s">
        <v>564</v>
      </c>
      <c r="K1535" s="698">
        <v>45957.557638888888</v>
      </c>
      <c r="L1535" s="698">
        <v>45957.557638888888</v>
      </c>
      <c r="M1535" t="s">
        <v>565</v>
      </c>
      <c r="N1535" t="s">
        <v>565</v>
      </c>
      <c r="O1535" t="s">
        <v>566</v>
      </c>
      <c r="P1535" t="s">
        <v>567</v>
      </c>
      <c r="S1535" t="s">
        <v>567</v>
      </c>
      <c r="T1535" t="s">
        <v>567</v>
      </c>
      <c r="Z1535" t="s">
        <v>568</v>
      </c>
      <c r="AA1535" t="s">
        <v>568</v>
      </c>
    </row>
    <row r="1536" spans="1:27">
      <c r="A1536" t="s">
        <v>3920</v>
      </c>
      <c r="B1536" t="s">
        <v>1133</v>
      </c>
      <c r="C1536" t="s">
        <v>3942</v>
      </c>
      <c r="D1536" t="s">
        <v>562</v>
      </c>
      <c r="E1536" t="s">
        <v>3943</v>
      </c>
      <c r="F1536" t="s">
        <v>562</v>
      </c>
      <c r="G1536" t="s">
        <v>562</v>
      </c>
      <c r="H1536" t="s">
        <v>562</v>
      </c>
      <c r="I1536">
        <v>4992</v>
      </c>
      <c r="J1536" t="s">
        <v>564</v>
      </c>
      <c r="K1536" s="698">
        <v>45957.558333333334</v>
      </c>
      <c r="L1536" s="698">
        <v>45957.558333333334</v>
      </c>
      <c r="M1536" t="s">
        <v>565</v>
      </c>
      <c r="N1536" t="s">
        <v>565</v>
      </c>
      <c r="O1536" t="s">
        <v>566</v>
      </c>
      <c r="P1536" t="s">
        <v>567</v>
      </c>
      <c r="S1536" t="s">
        <v>567</v>
      </c>
      <c r="T1536" t="s">
        <v>567</v>
      </c>
      <c r="Z1536" t="s">
        <v>568</v>
      </c>
      <c r="AA1536" t="s">
        <v>568</v>
      </c>
    </row>
    <row r="1537" spans="1:27">
      <c r="A1537" t="s">
        <v>3920</v>
      </c>
      <c r="B1537" t="s">
        <v>3925</v>
      </c>
      <c r="C1537" t="s">
        <v>3944</v>
      </c>
      <c r="D1537" t="s">
        <v>3919</v>
      </c>
      <c r="E1537" t="s">
        <v>3945</v>
      </c>
      <c r="F1537" t="s">
        <v>562</v>
      </c>
      <c r="G1537" t="s">
        <v>562</v>
      </c>
      <c r="H1537" t="s">
        <v>562</v>
      </c>
      <c r="I1537">
        <v>5215</v>
      </c>
      <c r="J1537" t="s">
        <v>564</v>
      </c>
      <c r="K1537" s="698">
        <v>45957.564583333333</v>
      </c>
      <c r="L1537" s="698">
        <v>45957.564583333333</v>
      </c>
      <c r="M1537" t="s">
        <v>565</v>
      </c>
      <c r="N1537" t="s">
        <v>565</v>
      </c>
      <c r="O1537" t="s">
        <v>566</v>
      </c>
      <c r="P1537" t="s">
        <v>567</v>
      </c>
      <c r="S1537" t="s">
        <v>567</v>
      </c>
      <c r="T1537" t="s">
        <v>567</v>
      </c>
      <c r="Z1537" t="s">
        <v>568</v>
      </c>
      <c r="AA1537" t="s">
        <v>568</v>
      </c>
    </row>
    <row r="1538" spans="1:27">
      <c r="A1538" t="s">
        <v>3946</v>
      </c>
      <c r="B1538" t="s">
        <v>3947</v>
      </c>
      <c r="C1538" t="s">
        <v>3001</v>
      </c>
      <c r="D1538" t="s">
        <v>562</v>
      </c>
      <c r="E1538" t="s">
        <v>3948</v>
      </c>
      <c r="F1538" t="s">
        <v>562</v>
      </c>
      <c r="G1538" t="s">
        <v>562</v>
      </c>
      <c r="H1538" t="s">
        <v>562</v>
      </c>
      <c r="I1538">
        <v>4666</v>
      </c>
      <c r="J1538" t="s">
        <v>564</v>
      </c>
      <c r="K1538" s="698">
        <v>45957.54791666667</v>
      </c>
      <c r="L1538" s="698">
        <v>45957.54791666667</v>
      </c>
      <c r="M1538" t="s">
        <v>565</v>
      </c>
      <c r="N1538" t="s">
        <v>565</v>
      </c>
      <c r="O1538" t="s">
        <v>566</v>
      </c>
      <c r="P1538" t="s">
        <v>567</v>
      </c>
      <c r="S1538" t="s">
        <v>567</v>
      </c>
      <c r="T1538" t="s">
        <v>567</v>
      </c>
      <c r="Z1538" t="s">
        <v>568</v>
      </c>
      <c r="AA1538" t="s">
        <v>568</v>
      </c>
    </row>
    <row r="1539" spans="1:27">
      <c r="A1539" t="s">
        <v>3946</v>
      </c>
      <c r="B1539" t="s">
        <v>870</v>
      </c>
      <c r="C1539" t="s">
        <v>871</v>
      </c>
      <c r="D1539" t="s">
        <v>562</v>
      </c>
      <c r="E1539" t="s">
        <v>3949</v>
      </c>
      <c r="F1539" t="s">
        <v>562</v>
      </c>
      <c r="G1539" t="s">
        <v>562</v>
      </c>
      <c r="H1539" t="s">
        <v>562</v>
      </c>
      <c r="I1539">
        <v>4753</v>
      </c>
      <c r="J1539" t="s">
        <v>564</v>
      </c>
      <c r="K1539" s="698">
        <v>45957.550694444442</v>
      </c>
      <c r="L1539" s="698">
        <v>45957.550694444442</v>
      </c>
      <c r="M1539" t="s">
        <v>565</v>
      </c>
      <c r="N1539" t="s">
        <v>565</v>
      </c>
      <c r="O1539" t="s">
        <v>566</v>
      </c>
      <c r="P1539" t="s">
        <v>567</v>
      </c>
      <c r="S1539" t="s">
        <v>567</v>
      </c>
      <c r="T1539" t="s">
        <v>567</v>
      </c>
      <c r="Z1539" t="s">
        <v>568</v>
      </c>
      <c r="AA1539" t="s">
        <v>568</v>
      </c>
    </row>
    <row r="1540" spans="1:27">
      <c r="A1540" t="s">
        <v>3950</v>
      </c>
      <c r="B1540" t="s">
        <v>562</v>
      </c>
      <c r="C1540" t="s">
        <v>562</v>
      </c>
      <c r="D1540" t="s">
        <v>3951</v>
      </c>
      <c r="E1540" t="s">
        <v>3952</v>
      </c>
      <c r="F1540" t="s">
        <v>562</v>
      </c>
      <c r="G1540" t="s">
        <v>562</v>
      </c>
      <c r="H1540" t="s">
        <v>562</v>
      </c>
      <c r="I1540">
        <v>4467</v>
      </c>
      <c r="J1540" t="s">
        <v>564</v>
      </c>
      <c r="K1540" s="698">
        <v>45957.522222222222</v>
      </c>
      <c r="L1540" s="698">
        <v>45957.522222222222</v>
      </c>
      <c r="M1540" t="s">
        <v>565</v>
      </c>
      <c r="N1540" t="s">
        <v>565</v>
      </c>
      <c r="O1540" t="s">
        <v>566</v>
      </c>
      <c r="P1540" t="s">
        <v>567</v>
      </c>
      <c r="S1540" t="s">
        <v>567</v>
      </c>
      <c r="T1540" t="s">
        <v>567</v>
      </c>
      <c r="Z1540" t="s">
        <v>568</v>
      </c>
      <c r="AA1540" t="s">
        <v>568</v>
      </c>
    </row>
    <row r="1541" spans="1:27">
      <c r="A1541" t="s">
        <v>3950</v>
      </c>
      <c r="B1541" t="s">
        <v>562</v>
      </c>
      <c r="C1541" t="s">
        <v>562</v>
      </c>
      <c r="D1541" t="s">
        <v>3951</v>
      </c>
      <c r="E1541" t="s">
        <v>3953</v>
      </c>
      <c r="F1541" t="s">
        <v>562</v>
      </c>
      <c r="G1541" t="s">
        <v>562</v>
      </c>
      <c r="H1541" t="s">
        <v>562</v>
      </c>
      <c r="I1541">
        <v>4568</v>
      </c>
      <c r="J1541" t="s">
        <v>564</v>
      </c>
      <c r="K1541" s="698">
        <v>45957.534722222219</v>
      </c>
      <c r="L1541" s="698">
        <v>45957.534722222219</v>
      </c>
      <c r="M1541" t="s">
        <v>565</v>
      </c>
      <c r="N1541" t="s">
        <v>565</v>
      </c>
      <c r="O1541" t="s">
        <v>566</v>
      </c>
      <c r="P1541" t="s">
        <v>567</v>
      </c>
      <c r="S1541" t="s">
        <v>567</v>
      </c>
      <c r="T1541" t="s">
        <v>567</v>
      </c>
      <c r="Z1541" t="s">
        <v>568</v>
      </c>
      <c r="AA1541" t="s">
        <v>568</v>
      </c>
    </row>
    <row r="1542" spans="1:27">
      <c r="A1542" t="s">
        <v>3950</v>
      </c>
      <c r="B1542" t="s">
        <v>562</v>
      </c>
      <c r="C1542" t="s">
        <v>562</v>
      </c>
      <c r="D1542" t="s">
        <v>3951</v>
      </c>
      <c r="E1542" t="s">
        <v>3954</v>
      </c>
      <c r="F1542" t="s">
        <v>562</v>
      </c>
      <c r="G1542" t="s">
        <v>562</v>
      </c>
      <c r="H1542" t="s">
        <v>562</v>
      </c>
      <c r="I1542">
        <v>4672</v>
      </c>
      <c r="J1542" t="s">
        <v>564</v>
      </c>
      <c r="K1542" s="698">
        <v>45957.548611111109</v>
      </c>
      <c r="L1542" s="698">
        <v>45957.548611111109</v>
      </c>
      <c r="M1542" t="s">
        <v>565</v>
      </c>
      <c r="N1542" t="s">
        <v>565</v>
      </c>
      <c r="O1542" t="s">
        <v>566</v>
      </c>
      <c r="P1542" t="s">
        <v>567</v>
      </c>
      <c r="S1542" t="s">
        <v>567</v>
      </c>
      <c r="T1542" t="s">
        <v>567</v>
      </c>
      <c r="Z1542" t="s">
        <v>568</v>
      </c>
      <c r="AA1542" t="s">
        <v>568</v>
      </c>
    </row>
    <row r="1543" spans="1:27">
      <c r="A1543" t="s">
        <v>3955</v>
      </c>
      <c r="B1543" t="s">
        <v>3956</v>
      </c>
      <c r="C1543" t="s">
        <v>3957</v>
      </c>
      <c r="D1543" t="s">
        <v>3958</v>
      </c>
      <c r="E1543" t="s">
        <v>3959</v>
      </c>
      <c r="F1543" t="s">
        <v>562</v>
      </c>
      <c r="G1543" t="s">
        <v>562</v>
      </c>
      <c r="H1543" t="s">
        <v>562</v>
      </c>
      <c r="I1543">
        <v>4440</v>
      </c>
      <c r="J1543" t="s">
        <v>564</v>
      </c>
      <c r="K1543" s="698">
        <v>45957.518750000003</v>
      </c>
      <c r="L1543" s="698">
        <v>45957.518750000003</v>
      </c>
      <c r="M1543" t="s">
        <v>565</v>
      </c>
      <c r="N1543" t="s">
        <v>565</v>
      </c>
      <c r="O1543" t="s">
        <v>566</v>
      </c>
      <c r="P1543" t="s">
        <v>567</v>
      </c>
      <c r="S1543" t="s">
        <v>567</v>
      </c>
      <c r="T1543" t="s">
        <v>567</v>
      </c>
      <c r="Z1543" t="s">
        <v>568</v>
      </c>
      <c r="AA1543" t="s">
        <v>568</v>
      </c>
    </row>
    <row r="1544" spans="1:27">
      <c r="A1544" t="s">
        <v>3960</v>
      </c>
      <c r="B1544" t="s">
        <v>3960</v>
      </c>
      <c r="C1544" t="s">
        <v>3961</v>
      </c>
      <c r="D1544" t="s">
        <v>3962</v>
      </c>
      <c r="E1544" t="s">
        <v>3963</v>
      </c>
      <c r="F1544" t="s">
        <v>562</v>
      </c>
      <c r="G1544" t="s">
        <v>562</v>
      </c>
      <c r="H1544" t="s">
        <v>562</v>
      </c>
      <c r="I1544">
        <v>4913</v>
      </c>
      <c r="J1544" t="s">
        <v>564</v>
      </c>
      <c r="K1544" s="698">
        <v>45957.555555555555</v>
      </c>
      <c r="L1544" s="698">
        <v>45957.555555555555</v>
      </c>
      <c r="M1544" t="s">
        <v>565</v>
      </c>
      <c r="N1544" t="s">
        <v>565</v>
      </c>
      <c r="O1544" t="s">
        <v>566</v>
      </c>
      <c r="P1544" t="s">
        <v>567</v>
      </c>
      <c r="S1544" t="s">
        <v>567</v>
      </c>
      <c r="T1544" t="s">
        <v>567</v>
      </c>
      <c r="Z1544" t="s">
        <v>568</v>
      </c>
      <c r="AA1544" t="s">
        <v>568</v>
      </c>
    </row>
    <row r="1545" spans="1:27">
      <c r="A1545" t="s">
        <v>3964</v>
      </c>
      <c r="B1545" t="s">
        <v>3965</v>
      </c>
      <c r="C1545" t="s">
        <v>3966</v>
      </c>
      <c r="D1545" t="s">
        <v>562</v>
      </c>
      <c r="E1545" t="s">
        <v>2789</v>
      </c>
      <c r="F1545" t="s">
        <v>562</v>
      </c>
      <c r="G1545" t="s">
        <v>562</v>
      </c>
      <c r="H1545" t="s">
        <v>562</v>
      </c>
      <c r="I1545">
        <v>4627</v>
      </c>
      <c r="J1545" t="s">
        <v>564</v>
      </c>
      <c r="K1545" s="698">
        <v>45957.541666666664</v>
      </c>
      <c r="L1545" s="698">
        <v>45957.541666666664</v>
      </c>
      <c r="M1545" t="s">
        <v>565</v>
      </c>
      <c r="N1545" t="s">
        <v>565</v>
      </c>
      <c r="O1545" t="s">
        <v>566</v>
      </c>
      <c r="P1545" t="s">
        <v>567</v>
      </c>
      <c r="S1545" t="s">
        <v>567</v>
      </c>
      <c r="T1545" t="s">
        <v>567</v>
      </c>
      <c r="Z1545" t="s">
        <v>568</v>
      </c>
      <c r="AA1545" t="s">
        <v>568</v>
      </c>
    </row>
    <row r="1546" spans="1:27">
      <c r="A1546" t="s">
        <v>3967</v>
      </c>
      <c r="B1546" t="s">
        <v>3968</v>
      </c>
      <c r="C1546" t="s">
        <v>3969</v>
      </c>
      <c r="D1546" t="s">
        <v>562</v>
      </c>
      <c r="E1546" t="s">
        <v>3970</v>
      </c>
      <c r="F1546" t="s">
        <v>562</v>
      </c>
      <c r="G1546" t="s">
        <v>562</v>
      </c>
      <c r="H1546" t="s">
        <v>562</v>
      </c>
      <c r="I1546">
        <v>4227</v>
      </c>
      <c r="J1546" t="s">
        <v>564</v>
      </c>
      <c r="K1546" s="698">
        <v>45957.491666666669</v>
      </c>
      <c r="L1546" s="698">
        <v>45957.491666666669</v>
      </c>
      <c r="M1546" t="s">
        <v>565</v>
      </c>
      <c r="N1546" t="s">
        <v>565</v>
      </c>
      <c r="O1546" t="s">
        <v>566</v>
      </c>
      <c r="P1546" t="s">
        <v>567</v>
      </c>
      <c r="S1546" t="s">
        <v>567</v>
      </c>
      <c r="T1546" t="s">
        <v>567</v>
      </c>
      <c r="Z1546" t="s">
        <v>568</v>
      </c>
      <c r="AA1546" t="s">
        <v>568</v>
      </c>
    </row>
    <row r="1547" spans="1:27">
      <c r="A1547" t="s">
        <v>3971</v>
      </c>
      <c r="B1547" t="s">
        <v>3972</v>
      </c>
      <c r="C1547" t="s">
        <v>3973</v>
      </c>
      <c r="D1547" t="s">
        <v>562</v>
      </c>
      <c r="E1547" t="s">
        <v>3974</v>
      </c>
      <c r="F1547" t="s">
        <v>562</v>
      </c>
      <c r="G1547" t="s">
        <v>562</v>
      </c>
      <c r="H1547" t="s">
        <v>562</v>
      </c>
      <c r="I1547">
        <v>5174</v>
      </c>
      <c r="J1547" t="s">
        <v>564</v>
      </c>
      <c r="K1547" s="698">
        <v>45957.563888888886</v>
      </c>
      <c r="L1547" s="698">
        <v>45957.563888888886</v>
      </c>
      <c r="M1547" t="s">
        <v>565</v>
      </c>
      <c r="N1547" t="s">
        <v>565</v>
      </c>
      <c r="O1547" t="s">
        <v>566</v>
      </c>
      <c r="P1547" t="s">
        <v>567</v>
      </c>
      <c r="S1547" t="s">
        <v>567</v>
      </c>
      <c r="T1547" t="s">
        <v>567</v>
      </c>
      <c r="Z1547" t="s">
        <v>568</v>
      </c>
      <c r="AA1547" t="s">
        <v>568</v>
      </c>
    </row>
    <row r="1548" spans="1:27">
      <c r="A1548" t="s">
        <v>3971</v>
      </c>
      <c r="B1548" t="s">
        <v>3975</v>
      </c>
      <c r="C1548" t="s">
        <v>562</v>
      </c>
      <c r="D1548" t="s">
        <v>3976</v>
      </c>
      <c r="E1548" t="s">
        <v>3974</v>
      </c>
      <c r="F1548" t="s">
        <v>562</v>
      </c>
      <c r="G1548" t="s">
        <v>562</v>
      </c>
      <c r="H1548" t="s">
        <v>562</v>
      </c>
      <c r="I1548">
        <v>5237</v>
      </c>
      <c r="J1548" t="s">
        <v>564</v>
      </c>
      <c r="K1548" s="698">
        <v>46001.355555555558</v>
      </c>
      <c r="L1548" s="698">
        <v>46001.355555555558</v>
      </c>
      <c r="M1548" t="s">
        <v>565</v>
      </c>
      <c r="N1548" t="s">
        <v>565</v>
      </c>
      <c r="O1548" t="s">
        <v>566</v>
      </c>
      <c r="P1548" t="s">
        <v>567</v>
      </c>
      <c r="S1548" t="s">
        <v>567</v>
      </c>
      <c r="T1548" t="s">
        <v>567</v>
      </c>
      <c r="Z1548" t="s">
        <v>826</v>
      </c>
      <c r="AA1548" t="s">
        <v>826</v>
      </c>
    </row>
    <row r="1549" spans="1:27">
      <c r="A1549" t="s">
        <v>3977</v>
      </c>
      <c r="B1549" t="s">
        <v>562</v>
      </c>
      <c r="C1549" t="s">
        <v>562</v>
      </c>
      <c r="D1549" t="s">
        <v>1212</v>
      </c>
      <c r="E1549" t="s">
        <v>3978</v>
      </c>
      <c r="F1549" t="s">
        <v>562</v>
      </c>
      <c r="G1549" t="s">
        <v>562</v>
      </c>
      <c r="H1549" t="s">
        <v>562</v>
      </c>
      <c r="I1549">
        <v>4351</v>
      </c>
      <c r="J1549" t="s">
        <v>564</v>
      </c>
      <c r="K1549" s="698">
        <v>45957.508333333331</v>
      </c>
      <c r="L1549" s="698">
        <v>45957.508333333331</v>
      </c>
      <c r="M1549" t="s">
        <v>565</v>
      </c>
      <c r="N1549" t="s">
        <v>565</v>
      </c>
      <c r="O1549" t="s">
        <v>566</v>
      </c>
      <c r="P1549" t="s">
        <v>567</v>
      </c>
      <c r="S1549" t="s">
        <v>567</v>
      </c>
      <c r="T1549" t="s">
        <v>567</v>
      </c>
      <c r="Z1549" t="s">
        <v>568</v>
      </c>
      <c r="AA1549" t="s">
        <v>568</v>
      </c>
    </row>
    <row r="1550" spans="1:27">
      <c r="A1550" t="s">
        <v>3979</v>
      </c>
      <c r="B1550" t="s">
        <v>3980</v>
      </c>
      <c r="C1550" t="s">
        <v>3981</v>
      </c>
      <c r="D1550" t="s">
        <v>3982</v>
      </c>
      <c r="E1550" t="s">
        <v>3983</v>
      </c>
      <c r="F1550" t="s">
        <v>562</v>
      </c>
      <c r="G1550" t="s">
        <v>562</v>
      </c>
      <c r="H1550" t="s">
        <v>562</v>
      </c>
      <c r="I1550">
        <v>4168</v>
      </c>
      <c r="J1550" t="s">
        <v>564</v>
      </c>
      <c r="K1550" s="698">
        <v>45957.484722222223</v>
      </c>
      <c r="L1550" s="698">
        <v>45957.484722222223</v>
      </c>
      <c r="M1550" t="s">
        <v>565</v>
      </c>
      <c r="N1550" t="s">
        <v>565</v>
      </c>
      <c r="O1550" t="s">
        <v>566</v>
      </c>
      <c r="P1550" t="s">
        <v>567</v>
      </c>
      <c r="S1550" t="s">
        <v>567</v>
      </c>
      <c r="T1550" t="s">
        <v>567</v>
      </c>
      <c r="Z1550" t="s">
        <v>568</v>
      </c>
      <c r="AA1550" t="s">
        <v>568</v>
      </c>
    </row>
    <row r="1551" spans="1:27">
      <c r="A1551" t="s">
        <v>3984</v>
      </c>
      <c r="B1551" t="s">
        <v>2786</v>
      </c>
      <c r="C1551" t="s">
        <v>2631</v>
      </c>
      <c r="D1551" t="s">
        <v>562</v>
      </c>
      <c r="E1551" t="s">
        <v>3985</v>
      </c>
      <c r="F1551" t="s">
        <v>562</v>
      </c>
      <c r="G1551" t="s">
        <v>562</v>
      </c>
      <c r="H1551" t="s">
        <v>562</v>
      </c>
      <c r="I1551">
        <v>5146</v>
      </c>
      <c r="J1551" t="s">
        <v>564</v>
      </c>
      <c r="K1551" s="698">
        <v>45957.5625</v>
      </c>
      <c r="L1551" s="698">
        <v>45957.5625</v>
      </c>
      <c r="M1551" t="s">
        <v>565</v>
      </c>
      <c r="N1551" t="s">
        <v>565</v>
      </c>
      <c r="O1551" t="s">
        <v>566</v>
      </c>
      <c r="P1551" t="s">
        <v>567</v>
      </c>
      <c r="S1551" t="s">
        <v>567</v>
      </c>
      <c r="T1551" t="s">
        <v>567</v>
      </c>
      <c r="Z1551" t="s">
        <v>568</v>
      </c>
      <c r="AA1551" t="s">
        <v>568</v>
      </c>
    </row>
    <row r="1552" spans="1:27">
      <c r="A1552" t="s">
        <v>3986</v>
      </c>
      <c r="B1552" t="s">
        <v>562</v>
      </c>
      <c r="C1552" t="s">
        <v>562</v>
      </c>
      <c r="D1552" t="s">
        <v>3987</v>
      </c>
      <c r="E1552" t="s">
        <v>3988</v>
      </c>
      <c r="F1552" t="s">
        <v>562</v>
      </c>
      <c r="G1552" t="s">
        <v>562</v>
      </c>
      <c r="H1552" t="s">
        <v>562</v>
      </c>
      <c r="I1552">
        <v>4942</v>
      </c>
      <c r="J1552" t="s">
        <v>564</v>
      </c>
      <c r="K1552" s="698">
        <v>45957.556944444441</v>
      </c>
      <c r="L1552" s="698">
        <v>45957.556944444441</v>
      </c>
      <c r="M1552" t="s">
        <v>565</v>
      </c>
      <c r="N1552" t="s">
        <v>565</v>
      </c>
      <c r="O1552" t="s">
        <v>566</v>
      </c>
      <c r="P1552" t="s">
        <v>567</v>
      </c>
      <c r="S1552" t="s">
        <v>567</v>
      </c>
      <c r="T1552" t="s">
        <v>567</v>
      </c>
      <c r="Z1552" t="s">
        <v>568</v>
      </c>
      <c r="AA1552" t="s">
        <v>568</v>
      </c>
    </row>
    <row r="1553" spans="1:27">
      <c r="A1553" t="s">
        <v>3989</v>
      </c>
      <c r="B1553" t="s">
        <v>3990</v>
      </c>
      <c r="C1553" t="s">
        <v>3991</v>
      </c>
      <c r="D1553" t="s">
        <v>562</v>
      </c>
      <c r="E1553" t="s">
        <v>3992</v>
      </c>
      <c r="F1553" t="s">
        <v>562</v>
      </c>
      <c r="G1553" t="s">
        <v>562</v>
      </c>
      <c r="H1553" t="s">
        <v>562</v>
      </c>
      <c r="I1553">
        <v>4860</v>
      </c>
      <c r="J1553" t="s">
        <v>564</v>
      </c>
      <c r="K1553" s="698">
        <v>45957.554166666669</v>
      </c>
      <c r="L1553" s="698">
        <v>45957.554166666669</v>
      </c>
      <c r="M1553" t="s">
        <v>565</v>
      </c>
      <c r="N1553" t="s">
        <v>565</v>
      </c>
      <c r="O1553" t="s">
        <v>566</v>
      </c>
      <c r="P1553" t="s">
        <v>567</v>
      </c>
      <c r="S1553" t="s">
        <v>567</v>
      </c>
      <c r="T1553" t="s">
        <v>567</v>
      </c>
      <c r="Z1553" t="s">
        <v>568</v>
      </c>
      <c r="AA1553" t="s">
        <v>568</v>
      </c>
    </row>
    <row r="1554" spans="1:27">
      <c r="A1554" t="s">
        <v>3993</v>
      </c>
      <c r="B1554" t="s">
        <v>562</v>
      </c>
      <c r="C1554" t="s">
        <v>3994</v>
      </c>
      <c r="D1554" t="s">
        <v>3995</v>
      </c>
      <c r="E1554" t="s">
        <v>3996</v>
      </c>
      <c r="F1554" t="s">
        <v>562</v>
      </c>
      <c r="G1554" t="s">
        <v>562</v>
      </c>
      <c r="H1554" t="s">
        <v>562</v>
      </c>
      <c r="I1554">
        <v>3571</v>
      </c>
      <c r="J1554" t="s">
        <v>564</v>
      </c>
      <c r="K1554" s="698">
        <v>45957.417361111111</v>
      </c>
      <c r="L1554" s="698">
        <v>45957.417361111111</v>
      </c>
      <c r="M1554" t="s">
        <v>565</v>
      </c>
      <c r="N1554" t="s">
        <v>565</v>
      </c>
      <c r="O1554" t="s">
        <v>566</v>
      </c>
      <c r="P1554" t="s">
        <v>567</v>
      </c>
      <c r="S1554" t="s">
        <v>567</v>
      </c>
      <c r="T1554" t="s">
        <v>567</v>
      </c>
      <c r="Z1554" t="s">
        <v>568</v>
      </c>
      <c r="AA1554" t="s">
        <v>568</v>
      </c>
    </row>
    <row r="1555" spans="1:27">
      <c r="A1555" t="s">
        <v>3997</v>
      </c>
      <c r="B1555" t="s">
        <v>3998</v>
      </c>
      <c r="C1555" t="s">
        <v>3999</v>
      </c>
      <c r="D1555" t="s">
        <v>4000</v>
      </c>
      <c r="E1555" t="s">
        <v>4001</v>
      </c>
      <c r="F1555" t="s">
        <v>562</v>
      </c>
      <c r="G1555" t="s">
        <v>562</v>
      </c>
      <c r="H1555" t="s">
        <v>562</v>
      </c>
      <c r="I1555">
        <v>3806</v>
      </c>
      <c r="J1555" t="s">
        <v>564</v>
      </c>
      <c r="K1555" s="698">
        <v>45957.442361111112</v>
      </c>
      <c r="L1555" s="698">
        <v>45957.442361111112</v>
      </c>
      <c r="M1555" t="s">
        <v>565</v>
      </c>
      <c r="N1555" t="s">
        <v>565</v>
      </c>
      <c r="O1555" t="s">
        <v>566</v>
      </c>
      <c r="P1555" t="s">
        <v>567</v>
      </c>
      <c r="S1555" t="s">
        <v>567</v>
      </c>
      <c r="T1555" t="s">
        <v>567</v>
      </c>
      <c r="Z1555" t="s">
        <v>568</v>
      </c>
      <c r="AA1555" t="s">
        <v>568</v>
      </c>
    </row>
    <row r="1556" spans="1:27">
      <c r="A1556" t="s">
        <v>4002</v>
      </c>
      <c r="B1556" t="s">
        <v>4003</v>
      </c>
      <c r="C1556" t="s">
        <v>4004</v>
      </c>
      <c r="D1556" t="s">
        <v>562</v>
      </c>
      <c r="E1556" t="s">
        <v>4005</v>
      </c>
      <c r="F1556" t="s">
        <v>562</v>
      </c>
      <c r="G1556" t="s">
        <v>562</v>
      </c>
      <c r="H1556" t="s">
        <v>562</v>
      </c>
      <c r="I1556">
        <v>5103</v>
      </c>
      <c r="J1556" t="s">
        <v>564</v>
      </c>
      <c r="K1556" s="698">
        <v>45957.561805555553</v>
      </c>
      <c r="L1556" s="698">
        <v>45957.561805555553</v>
      </c>
      <c r="M1556" t="s">
        <v>565</v>
      </c>
      <c r="N1556" t="s">
        <v>565</v>
      </c>
      <c r="O1556" t="s">
        <v>566</v>
      </c>
      <c r="P1556" t="s">
        <v>567</v>
      </c>
      <c r="S1556" t="s">
        <v>567</v>
      </c>
      <c r="T1556" t="s">
        <v>567</v>
      </c>
      <c r="Z1556" t="s">
        <v>568</v>
      </c>
      <c r="AA1556" t="s">
        <v>568</v>
      </c>
    </row>
    <row r="1557" spans="1:27">
      <c r="A1557" t="s">
        <v>4006</v>
      </c>
      <c r="B1557" t="s">
        <v>4007</v>
      </c>
      <c r="C1557" t="s">
        <v>4008</v>
      </c>
      <c r="D1557" t="s">
        <v>562</v>
      </c>
      <c r="E1557" t="s">
        <v>4009</v>
      </c>
      <c r="F1557" t="s">
        <v>562</v>
      </c>
      <c r="G1557" t="s">
        <v>562</v>
      </c>
      <c r="H1557" t="s">
        <v>562</v>
      </c>
      <c r="I1557">
        <v>3882</v>
      </c>
      <c r="J1557" t="s">
        <v>564</v>
      </c>
      <c r="K1557" s="698">
        <v>45957.450694444444</v>
      </c>
      <c r="L1557" s="698">
        <v>45957.450694444444</v>
      </c>
      <c r="M1557" t="s">
        <v>565</v>
      </c>
      <c r="N1557" t="s">
        <v>565</v>
      </c>
      <c r="O1557" t="s">
        <v>566</v>
      </c>
      <c r="P1557" t="s">
        <v>567</v>
      </c>
      <c r="S1557" t="s">
        <v>567</v>
      </c>
      <c r="T1557" t="s">
        <v>567</v>
      </c>
      <c r="Z1557" t="s">
        <v>568</v>
      </c>
      <c r="AA1557" t="s">
        <v>568</v>
      </c>
    </row>
    <row r="1558" spans="1:27">
      <c r="A1558" t="s">
        <v>4006</v>
      </c>
      <c r="B1558" t="s">
        <v>4007</v>
      </c>
      <c r="C1558" t="s">
        <v>4008</v>
      </c>
      <c r="D1558" t="s">
        <v>562</v>
      </c>
      <c r="E1558" t="s">
        <v>4010</v>
      </c>
      <c r="F1558" t="s">
        <v>562</v>
      </c>
      <c r="G1558" t="s">
        <v>562</v>
      </c>
      <c r="H1558" t="s">
        <v>562</v>
      </c>
      <c r="I1558">
        <v>3922</v>
      </c>
      <c r="J1558" t="s">
        <v>564</v>
      </c>
      <c r="K1558" s="698">
        <v>45957.454861111109</v>
      </c>
      <c r="L1558" s="698">
        <v>45957.454861111109</v>
      </c>
      <c r="M1558" t="s">
        <v>565</v>
      </c>
      <c r="N1558" t="s">
        <v>565</v>
      </c>
      <c r="O1558" t="s">
        <v>566</v>
      </c>
      <c r="P1558" t="s">
        <v>567</v>
      </c>
      <c r="S1558" t="s">
        <v>567</v>
      </c>
      <c r="T1558" t="s">
        <v>567</v>
      </c>
      <c r="Z1558" t="s">
        <v>568</v>
      </c>
      <c r="AA1558" t="s">
        <v>568</v>
      </c>
    </row>
    <row r="1559" spans="1:27">
      <c r="A1559" t="s">
        <v>4006</v>
      </c>
      <c r="B1559" t="s">
        <v>4007</v>
      </c>
      <c r="C1559" t="s">
        <v>4008</v>
      </c>
      <c r="D1559" t="s">
        <v>562</v>
      </c>
      <c r="E1559" t="s">
        <v>4011</v>
      </c>
      <c r="F1559" t="s">
        <v>562</v>
      </c>
      <c r="G1559" t="s">
        <v>562</v>
      </c>
      <c r="H1559" t="s">
        <v>562</v>
      </c>
      <c r="I1559">
        <v>4093</v>
      </c>
      <c r="J1559" t="s">
        <v>564</v>
      </c>
      <c r="K1559" s="698">
        <v>45957.475694444445</v>
      </c>
      <c r="L1559" s="698">
        <v>45957.475694444445</v>
      </c>
      <c r="M1559" t="s">
        <v>565</v>
      </c>
      <c r="N1559" t="s">
        <v>565</v>
      </c>
      <c r="O1559" t="s">
        <v>566</v>
      </c>
      <c r="P1559" t="s">
        <v>567</v>
      </c>
      <c r="S1559" t="s">
        <v>567</v>
      </c>
      <c r="T1559" t="s">
        <v>567</v>
      </c>
      <c r="Z1559" t="s">
        <v>568</v>
      </c>
      <c r="AA1559" t="s">
        <v>568</v>
      </c>
    </row>
    <row r="1560" spans="1:27">
      <c r="A1560" t="s">
        <v>4006</v>
      </c>
      <c r="B1560" t="s">
        <v>2394</v>
      </c>
      <c r="C1560" t="s">
        <v>4012</v>
      </c>
      <c r="D1560" t="s">
        <v>562</v>
      </c>
      <c r="E1560" t="s">
        <v>4013</v>
      </c>
      <c r="F1560" t="s">
        <v>562</v>
      </c>
      <c r="G1560" t="s">
        <v>562</v>
      </c>
      <c r="H1560" t="s">
        <v>562</v>
      </c>
      <c r="I1560">
        <v>4258</v>
      </c>
      <c r="J1560" t="s">
        <v>564</v>
      </c>
      <c r="K1560" s="698">
        <v>45957.495833333334</v>
      </c>
      <c r="L1560" s="698">
        <v>45957.495833333334</v>
      </c>
      <c r="M1560" t="s">
        <v>565</v>
      </c>
      <c r="N1560" t="s">
        <v>565</v>
      </c>
      <c r="O1560" t="s">
        <v>566</v>
      </c>
      <c r="P1560" t="s">
        <v>567</v>
      </c>
      <c r="S1560" t="s">
        <v>567</v>
      </c>
      <c r="T1560" t="s">
        <v>567</v>
      </c>
      <c r="Z1560" t="s">
        <v>568</v>
      </c>
      <c r="AA1560" t="s">
        <v>568</v>
      </c>
    </row>
    <row r="1561" spans="1:27">
      <c r="A1561" t="s">
        <v>4014</v>
      </c>
      <c r="B1561" t="s">
        <v>4015</v>
      </c>
      <c r="C1561" t="s">
        <v>562</v>
      </c>
      <c r="D1561" t="s">
        <v>4016</v>
      </c>
      <c r="E1561" t="s">
        <v>4017</v>
      </c>
      <c r="F1561" t="s">
        <v>562</v>
      </c>
      <c r="G1561" t="s">
        <v>562</v>
      </c>
      <c r="H1561" t="s">
        <v>562</v>
      </c>
      <c r="I1561">
        <v>4281</v>
      </c>
      <c r="J1561" t="s">
        <v>564</v>
      </c>
      <c r="K1561" s="698">
        <v>45957.498611111114</v>
      </c>
      <c r="L1561" s="698">
        <v>45957.498611111114</v>
      </c>
      <c r="M1561" t="s">
        <v>565</v>
      </c>
      <c r="N1561" t="s">
        <v>565</v>
      </c>
      <c r="O1561" t="s">
        <v>566</v>
      </c>
      <c r="P1561" t="s">
        <v>567</v>
      </c>
      <c r="S1561" t="s">
        <v>567</v>
      </c>
      <c r="T1561" t="s">
        <v>567</v>
      </c>
      <c r="Z1561" t="s">
        <v>568</v>
      </c>
      <c r="AA1561" t="s">
        <v>568</v>
      </c>
    </row>
    <row r="1562" spans="1:27">
      <c r="A1562" t="s">
        <v>4014</v>
      </c>
      <c r="B1562" t="s">
        <v>562</v>
      </c>
      <c r="C1562" t="s">
        <v>562</v>
      </c>
      <c r="D1562" t="s">
        <v>4016</v>
      </c>
      <c r="E1562" t="s">
        <v>4018</v>
      </c>
      <c r="F1562" t="s">
        <v>562</v>
      </c>
      <c r="G1562" t="s">
        <v>562</v>
      </c>
      <c r="H1562" t="s">
        <v>562</v>
      </c>
      <c r="I1562">
        <v>4330</v>
      </c>
      <c r="J1562" t="s">
        <v>564</v>
      </c>
      <c r="K1562" s="698">
        <v>45957.505555555559</v>
      </c>
      <c r="L1562" s="698">
        <v>45957.505555555559</v>
      </c>
      <c r="M1562" t="s">
        <v>565</v>
      </c>
      <c r="N1562" t="s">
        <v>565</v>
      </c>
      <c r="O1562" t="s">
        <v>566</v>
      </c>
      <c r="P1562" t="s">
        <v>567</v>
      </c>
      <c r="S1562" t="s">
        <v>567</v>
      </c>
      <c r="T1562" t="s">
        <v>567</v>
      </c>
      <c r="Z1562" t="s">
        <v>568</v>
      </c>
      <c r="AA1562" t="s">
        <v>568</v>
      </c>
    </row>
    <row r="1563" spans="1:27">
      <c r="A1563" t="s">
        <v>4019</v>
      </c>
      <c r="B1563" t="s">
        <v>562</v>
      </c>
      <c r="C1563" t="s">
        <v>4020</v>
      </c>
      <c r="D1563" t="s">
        <v>4021</v>
      </c>
      <c r="E1563" t="s">
        <v>4022</v>
      </c>
      <c r="F1563" t="s">
        <v>562</v>
      </c>
      <c r="G1563" t="s">
        <v>562</v>
      </c>
      <c r="H1563" t="s">
        <v>562</v>
      </c>
      <c r="I1563">
        <v>4277</v>
      </c>
      <c r="J1563" t="s">
        <v>564</v>
      </c>
      <c r="K1563" s="698">
        <v>45957.498611111114</v>
      </c>
      <c r="L1563" s="698">
        <v>45957.498611111114</v>
      </c>
      <c r="M1563" t="s">
        <v>565</v>
      </c>
      <c r="N1563" t="s">
        <v>565</v>
      </c>
      <c r="O1563" t="s">
        <v>566</v>
      </c>
      <c r="P1563" t="s">
        <v>567</v>
      </c>
      <c r="S1563" t="s">
        <v>567</v>
      </c>
      <c r="T1563" t="s">
        <v>567</v>
      </c>
      <c r="Z1563" t="s">
        <v>568</v>
      </c>
      <c r="AA1563" t="s">
        <v>568</v>
      </c>
    </row>
    <row r="1564" spans="1:27">
      <c r="A1564" t="s">
        <v>4019</v>
      </c>
      <c r="B1564" t="s">
        <v>562</v>
      </c>
      <c r="C1564" t="s">
        <v>4020</v>
      </c>
      <c r="D1564" t="s">
        <v>4021</v>
      </c>
      <c r="E1564" t="s">
        <v>4023</v>
      </c>
      <c r="F1564" t="s">
        <v>562</v>
      </c>
      <c r="G1564" t="s">
        <v>562</v>
      </c>
      <c r="H1564" t="s">
        <v>562</v>
      </c>
      <c r="I1564">
        <v>4278</v>
      </c>
      <c r="J1564" t="s">
        <v>564</v>
      </c>
      <c r="K1564" s="698">
        <v>45957.498611111114</v>
      </c>
      <c r="L1564" s="698">
        <v>45957.498611111114</v>
      </c>
      <c r="M1564" t="s">
        <v>565</v>
      </c>
      <c r="N1564" t="s">
        <v>565</v>
      </c>
      <c r="O1564" t="s">
        <v>566</v>
      </c>
      <c r="P1564" t="s">
        <v>567</v>
      </c>
      <c r="S1564" t="s">
        <v>567</v>
      </c>
      <c r="T1564" t="s">
        <v>567</v>
      </c>
      <c r="Z1564" t="s">
        <v>568</v>
      </c>
      <c r="AA1564" t="s">
        <v>568</v>
      </c>
    </row>
    <row r="1565" spans="1:27">
      <c r="A1565" t="s">
        <v>4019</v>
      </c>
      <c r="B1565" t="s">
        <v>4024</v>
      </c>
      <c r="C1565" t="s">
        <v>4025</v>
      </c>
      <c r="D1565" t="s">
        <v>4021</v>
      </c>
      <c r="E1565" t="s">
        <v>4026</v>
      </c>
      <c r="F1565" t="s">
        <v>562</v>
      </c>
      <c r="G1565" t="s">
        <v>562</v>
      </c>
      <c r="H1565" t="s">
        <v>562</v>
      </c>
      <c r="I1565">
        <v>4547</v>
      </c>
      <c r="J1565" t="s">
        <v>564</v>
      </c>
      <c r="K1565" s="698">
        <v>45957.531944444447</v>
      </c>
      <c r="L1565" s="698">
        <v>45957.531944444447</v>
      </c>
      <c r="M1565" t="s">
        <v>565</v>
      </c>
      <c r="N1565" t="s">
        <v>565</v>
      </c>
      <c r="O1565" t="s">
        <v>566</v>
      </c>
      <c r="P1565" t="s">
        <v>567</v>
      </c>
      <c r="S1565" t="s">
        <v>567</v>
      </c>
      <c r="T1565" t="s">
        <v>567</v>
      </c>
      <c r="Z1565" t="s">
        <v>568</v>
      </c>
      <c r="AA1565" t="s">
        <v>568</v>
      </c>
    </row>
    <row r="1566" spans="1:27">
      <c r="A1566" t="s">
        <v>4027</v>
      </c>
      <c r="B1566" t="s">
        <v>4028</v>
      </c>
      <c r="C1566" t="s">
        <v>4029</v>
      </c>
      <c r="D1566" t="s">
        <v>562</v>
      </c>
      <c r="E1566" t="s">
        <v>4030</v>
      </c>
      <c r="F1566" t="s">
        <v>562</v>
      </c>
      <c r="G1566" t="s">
        <v>562</v>
      </c>
      <c r="H1566" t="s">
        <v>562</v>
      </c>
      <c r="I1566">
        <v>4969</v>
      </c>
      <c r="J1566" t="s">
        <v>564</v>
      </c>
      <c r="K1566" s="698">
        <v>45957.557638888888</v>
      </c>
      <c r="L1566" s="698">
        <v>45957.557638888888</v>
      </c>
      <c r="M1566" t="s">
        <v>565</v>
      </c>
      <c r="N1566" t="s">
        <v>565</v>
      </c>
      <c r="O1566" t="s">
        <v>566</v>
      </c>
      <c r="P1566" t="s">
        <v>567</v>
      </c>
      <c r="S1566" t="s">
        <v>567</v>
      </c>
      <c r="T1566" t="s">
        <v>567</v>
      </c>
      <c r="Z1566" t="s">
        <v>568</v>
      </c>
      <c r="AA1566" t="s">
        <v>568</v>
      </c>
    </row>
    <row r="1567" spans="1:27">
      <c r="A1567" t="s">
        <v>4031</v>
      </c>
      <c r="B1567" t="s">
        <v>562</v>
      </c>
      <c r="C1567" t="s">
        <v>4032</v>
      </c>
      <c r="D1567" t="s">
        <v>4033</v>
      </c>
      <c r="E1567" t="s">
        <v>562</v>
      </c>
      <c r="F1567" t="s">
        <v>562</v>
      </c>
      <c r="G1567" t="s">
        <v>562</v>
      </c>
      <c r="H1567" t="s">
        <v>562</v>
      </c>
      <c r="I1567">
        <v>3572</v>
      </c>
      <c r="J1567" t="s">
        <v>564</v>
      </c>
      <c r="K1567" s="698">
        <v>45957.417361111111</v>
      </c>
      <c r="L1567" s="698">
        <v>45957.417361111111</v>
      </c>
      <c r="M1567" t="s">
        <v>565</v>
      </c>
      <c r="N1567" t="s">
        <v>565</v>
      </c>
      <c r="O1567" t="s">
        <v>566</v>
      </c>
      <c r="P1567" t="s">
        <v>567</v>
      </c>
      <c r="S1567" t="s">
        <v>567</v>
      </c>
      <c r="T1567" t="s">
        <v>567</v>
      </c>
      <c r="Z1567" t="s">
        <v>568</v>
      </c>
      <c r="AA1567" t="s">
        <v>568</v>
      </c>
    </row>
    <row r="1568" spans="1:27">
      <c r="A1568" t="s">
        <v>4034</v>
      </c>
      <c r="B1568" t="s">
        <v>4035</v>
      </c>
      <c r="C1568" t="s">
        <v>4036</v>
      </c>
      <c r="D1568" t="s">
        <v>4037</v>
      </c>
      <c r="E1568" t="s">
        <v>4038</v>
      </c>
      <c r="F1568" t="s">
        <v>562</v>
      </c>
      <c r="G1568" t="s">
        <v>562</v>
      </c>
      <c r="H1568" t="s">
        <v>562</v>
      </c>
      <c r="I1568">
        <v>5021</v>
      </c>
      <c r="J1568" t="s">
        <v>564</v>
      </c>
      <c r="K1568" s="698">
        <v>45957.559027777781</v>
      </c>
      <c r="L1568" s="698">
        <v>45957.559027777781</v>
      </c>
      <c r="M1568" t="s">
        <v>565</v>
      </c>
      <c r="N1568" t="s">
        <v>565</v>
      </c>
      <c r="O1568" t="s">
        <v>566</v>
      </c>
      <c r="P1568" t="s">
        <v>567</v>
      </c>
      <c r="S1568" t="s">
        <v>567</v>
      </c>
      <c r="T1568" t="s">
        <v>567</v>
      </c>
      <c r="Z1568" t="s">
        <v>568</v>
      </c>
      <c r="AA1568" t="s">
        <v>568</v>
      </c>
    </row>
    <row r="1569" spans="1:27">
      <c r="A1569" t="s">
        <v>4039</v>
      </c>
      <c r="B1569" t="s">
        <v>562</v>
      </c>
      <c r="C1569" t="s">
        <v>562</v>
      </c>
      <c r="D1569" t="s">
        <v>4040</v>
      </c>
      <c r="E1569" t="s">
        <v>2174</v>
      </c>
      <c r="F1569" t="s">
        <v>562</v>
      </c>
      <c r="G1569" t="s">
        <v>562</v>
      </c>
      <c r="H1569" t="s">
        <v>562</v>
      </c>
      <c r="I1569">
        <v>4449</v>
      </c>
      <c r="J1569" t="s">
        <v>564</v>
      </c>
      <c r="K1569" s="698">
        <v>45957.520138888889</v>
      </c>
      <c r="L1569" s="698">
        <v>45957.520138888889</v>
      </c>
      <c r="M1569" t="s">
        <v>565</v>
      </c>
      <c r="N1569" t="s">
        <v>565</v>
      </c>
      <c r="O1569" t="s">
        <v>566</v>
      </c>
      <c r="P1569" t="s">
        <v>567</v>
      </c>
      <c r="S1569" t="s">
        <v>567</v>
      </c>
      <c r="T1569" t="s">
        <v>567</v>
      </c>
      <c r="Z1569" t="s">
        <v>568</v>
      </c>
      <c r="AA1569" t="s">
        <v>568</v>
      </c>
    </row>
    <row r="1570" spans="1:27">
      <c r="A1570" t="s">
        <v>4041</v>
      </c>
      <c r="B1570" t="s">
        <v>4041</v>
      </c>
      <c r="C1570" t="s">
        <v>4042</v>
      </c>
      <c r="D1570" t="s">
        <v>4043</v>
      </c>
      <c r="E1570" t="s">
        <v>4044</v>
      </c>
      <c r="F1570" t="s">
        <v>562</v>
      </c>
      <c r="G1570" t="s">
        <v>562</v>
      </c>
      <c r="H1570" t="s">
        <v>562</v>
      </c>
      <c r="I1570">
        <v>4471</v>
      </c>
      <c r="J1570" t="s">
        <v>564</v>
      </c>
      <c r="K1570" s="698">
        <v>45957.522916666669</v>
      </c>
      <c r="L1570" s="698">
        <v>45957.522916666669</v>
      </c>
      <c r="M1570" t="s">
        <v>565</v>
      </c>
      <c r="N1570" t="s">
        <v>565</v>
      </c>
      <c r="O1570" t="s">
        <v>566</v>
      </c>
      <c r="P1570" t="s">
        <v>567</v>
      </c>
      <c r="S1570" t="s">
        <v>567</v>
      </c>
      <c r="T1570" t="s">
        <v>567</v>
      </c>
      <c r="Z1570" t="s">
        <v>568</v>
      </c>
      <c r="AA1570" t="s">
        <v>568</v>
      </c>
    </row>
    <row r="1571" spans="1:27">
      <c r="A1571" t="s">
        <v>4045</v>
      </c>
      <c r="B1571" t="s">
        <v>4045</v>
      </c>
      <c r="C1571" t="s">
        <v>4046</v>
      </c>
      <c r="D1571" t="s">
        <v>4047</v>
      </c>
      <c r="E1571" t="s">
        <v>4048</v>
      </c>
      <c r="F1571" t="s">
        <v>562</v>
      </c>
      <c r="G1571" t="s">
        <v>562</v>
      </c>
      <c r="H1571" t="s">
        <v>562</v>
      </c>
      <c r="I1571">
        <v>4068</v>
      </c>
      <c r="J1571" t="s">
        <v>564</v>
      </c>
      <c r="K1571" s="698">
        <v>45957.472222222219</v>
      </c>
      <c r="L1571" s="698">
        <v>45957.472222222219</v>
      </c>
      <c r="M1571" t="s">
        <v>565</v>
      </c>
      <c r="N1571" t="s">
        <v>565</v>
      </c>
      <c r="O1571" t="s">
        <v>566</v>
      </c>
      <c r="P1571" t="s">
        <v>567</v>
      </c>
      <c r="S1571" t="s">
        <v>567</v>
      </c>
      <c r="T1571" t="s">
        <v>567</v>
      </c>
      <c r="Z1571" t="s">
        <v>568</v>
      </c>
      <c r="AA1571" t="s">
        <v>568</v>
      </c>
    </row>
    <row r="1572" spans="1:27">
      <c r="A1572" t="s">
        <v>4045</v>
      </c>
      <c r="B1572" t="s">
        <v>2742</v>
      </c>
      <c r="C1572" t="s">
        <v>4049</v>
      </c>
      <c r="D1572" t="s">
        <v>4047</v>
      </c>
      <c r="E1572" t="s">
        <v>4050</v>
      </c>
      <c r="F1572" t="s">
        <v>562</v>
      </c>
      <c r="G1572" t="s">
        <v>562</v>
      </c>
      <c r="H1572" t="s">
        <v>562</v>
      </c>
      <c r="I1572">
        <v>4071</v>
      </c>
      <c r="J1572" t="s">
        <v>564</v>
      </c>
      <c r="K1572" s="698">
        <v>45957.472916666666</v>
      </c>
      <c r="L1572" s="698">
        <v>45957.472916666666</v>
      </c>
      <c r="M1572" t="s">
        <v>565</v>
      </c>
      <c r="N1572" t="s">
        <v>565</v>
      </c>
      <c r="O1572" t="s">
        <v>566</v>
      </c>
      <c r="P1572" t="s">
        <v>567</v>
      </c>
      <c r="S1572" t="s">
        <v>567</v>
      </c>
      <c r="T1572" t="s">
        <v>567</v>
      </c>
      <c r="Z1572" t="s">
        <v>568</v>
      </c>
      <c r="AA1572" t="s">
        <v>568</v>
      </c>
    </row>
    <row r="1573" spans="1:27">
      <c r="A1573" t="s">
        <v>4045</v>
      </c>
      <c r="B1573" t="s">
        <v>2742</v>
      </c>
      <c r="C1573" t="s">
        <v>562</v>
      </c>
      <c r="D1573" t="s">
        <v>4047</v>
      </c>
      <c r="E1573" t="s">
        <v>4051</v>
      </c>
      <c r="F1573" t="s">
        <v>562</v>
      </c>
      <c r="G1573" t="s">
        <v>562</v>
      </c>
      <c r="H1573" t="s">
        <v>562</v>
      </c>
      <c r="I1573">
        <v>5022</v>
      </c>
      <c r="J1573" t="s">
        <v>564</v>
      </c>
      <c r="K1573" s="698">
        <v>45957.559027777781</v>
      </c>
      <c r="L1573" s="698">
        <v>45957.559027777781</v>
      </c>
      <c r="M1573" t="s">
        <v>565</v>
      </c>
      <c r="N1573" t="s">
        <v>565</v>
      </c>
      <c r="O1573" t="s">
        <v>566</v>
      </c>
      <c r="P1573" t="s">
        <v>567</v>
      </c>
      <c r="S1573" t="s">
        <v>567</v>
      </c>
      <c r="T1573" t="s">
        <v>567</v>
      </c>
      <c r="Z1573" t="s">
        <v>568</v>
      </c>
      <c r="AA1573" t="s">
        <v>568</v>
      </c>
    </row>
    <row r="1574" spans="1:27">
      <c r="A1574" t="s">
        <v>4052</v>
      </c>
      <c r="B1574" t="s">
        <v>1123</v>
      </c>
      <c r="C1574" t="s">
        <v>4053</v>
      </c>
      <c r="D1574" t="s">
        <v>562</v>
      </c>
      <c r="E1574" t="s">
        <v>4054</v>
      </c>
      <c r="F1574" t="s">
        <v>562</v>
      </c>
      <c r="G1574" t="s">
        <v>562</v>
      </c>
      <c r="H1574" t="s">
        <v>562</v>
      </c>
      <c r="I1574">
        <v>4169</v>
      </c>
      <c r="J1574" t="s">
        <v>564</v>
      </c>
      <c r="K1574" s="698">
        <v>45957.484722222223</v>
      </c>
      <c r="L1574" s="698">
        <v>45957.484722222223</v>
      </c>
      <c r="M1574" t="s">
        <v>565</v>
      </c>
      <c r="N1574" t="s">
        <v>565</v>
      </c>
      <c r="O1574" t="s">
        <v>566</v>
      </c>
      <c r="P1574" t="s">
        <v>567</v>
      </c>
      <c r="S1574" t="s">
        <v>567</v>
      </c>
      <c r="T1574" t="s">
        <v>567</v>
      </c>
      <c r="Z1574" t="s">
        <v>568</v>
      </c>
      <c r="AA1574" t="s">
        <v>568</v>
      </c>
    </row>
    <row r="1575" spans="1:27">
      <c r="A1575" t="s">
        <v>4055</v>
      </c>
      <c r="B1575" t="s">
        <v>562</v>
      </c>
      <c r="C1575" t="s">
        <v>562</v>
      </c>
      <c r="D1575" t="s">
        <v>4056</v>
      </c>
      <c r="E1575" t="s">
        <v>1820</v>
      </c>
      <c r="F1575" t="s">
        <v>562</v>
      </c>
      <c r="G1575" t="s">
        <v>562</v>
      </c>
      <c r="H1575" t="s">
        <v>562</v>
      </c>
      <c r="I1575">
        <v>4328</v>
      </c>
      <c r="J1575" t="s">
        <v>564</v>
      </c>
      <c r="K1575" s="698">
        <v>45957.504861111112</v>
      </c>
      <c r="L1575" s="698">
        <v>45957.504861111112</v>
      </c>
      <c r="M1575" t="s">
        <v>565</v>
      </c>
      <c r="N1575" t="s">
        <v>565</v>
      </c>
      <c r="O1575" t="s">
        <v>566</v>
      </c>
      <c r="P1575" t="s">
        <v>567</v>
      </c>
      <c r="S1575" t="s">
        <v>567</v>
      </c>
      <c r="T1575" t="s">
        <v>567</v>
      </c>
      <c r="Z1575" t="s">
        <v>568</v>
      </c>
      <c r="AA1575" t="s">
        <v>568</v>
      </c>
    </row>
    <row r="1576" spans="1:27">
      <c r="A1576" t="s">
        <v>4055</v>
      </c>
      <c r="B1576" t="s">
        <v>4057</v>
      </c>
      <c r="C1576" t="s">
        <v>4058</v>
      </c>
      <c r="D1576" t="s">
        <v>4056</v>
      </c>
      <c r="E1576" t="s">
        <v>4059</v>
      </c>
      <c r="F1576" t="s">
        <v>562</v>
      </c>
      <c r="G1576" t="s">
        <v>562</v>
      </c>
      <c r="H1576" t="s">
        <v>562</v>
      </c>
      <c r="I1576">
        <v>4371</v>
      </c>
      <c r="J1576" t="s">
        <v>564</v>
      </c>
      <c r="K1576" s="698">
        <v>45957.510416666664</v>
      </c>
      <c r="L1576" s="698">
        <v>45957.510416666664</v>
      </c>
      <c r="M1576" t="s">
        <v>565</v>
      </c>
      <c r="N1576" t="s">
        <v>565</v>
      </c>
      <c r="O1576" t="s">
        <v>566</v>
      </c>
      <c r="P1576" t="s">
        <v>567</v>
      </c>
      <c r="S1576" t="s">
        <v>567</v>
      </c>
      <c r="T1576" t="s">
        <v>567</v>
      </c>
      <c r="Z1576" t="s">
        <v>568</v>
      </c>
      <c r="AA1576" t="s">
        <v>568</v>
      </c>
    </row>
    <row r="1577" spans="1:27">
      <c r="A1577" t="s">
        <v>4060</v>
      </c>
      <c r="B1577" t="s">
        <v>3140</v>
      </c>
      <c r="C1577" t="s">
        <v>4061</v>
      </c>
      <c r="D1577" t="s">
        <v>562</v>
      </c>
      <c r="E1577" t="s">
        <v>2825</v>
      </c>
      <c r="F1577" t="s">
        <v>562</v>
      </c>
      <c r="G1577" t="s">
        <v>562</v>
      </c>
      <c r="H1577" t="s">
        <v>562</v>
      </c>
      <c r="I1577">
        <v>5011</v>
      </c>
      <c r="J1577" t="s">
        <v>564</v>
      </c>
      <c r="K1577" s="698">
        <v>45957.559027777781</v>
      </c>
      <c r="L1577" s="698">
        <v>45957.559027777781</v>
      </c>
      <c r="M1577" t="s">
        <v>565</v>
      </c>
      <c r="N1577" t="s">
        <v>565</v>
      </c>
      <c r="O1577" t="s">
        <v>566</v>
      </c>
      <c r="P1577" t="s">
        <v>567</v>
      </c>
      <c r="S1577" t="s">
        <v>567</v>
      </c>
      <c r="T1577" t="s">
        <v>567</v>
      </c>
      <c r="Z1577" t="s">
        <v>568</v>
      </c>
      <c r="AA1577" t="s">
        <v>568</v>
      </c>
    </row>
    <row r="1578" spans="1:27">
      <c r="A1578" t="s">
        <v>4062</v>
      </c>
      <c r="B1578" t="s">
        <v>4063</v>
      </c>
      <c r="C1578" t="s">
        <v>4064</v>
      </c>
      <c r="D1578" t="s">
        <v>562</v>
      </c>
      <c r="E1578" t="s">
        <v>4065</v>
      </c>
      <c r="F1578" t="s">
        <v>562</v>
      </c>
      <c r="G1578" t="s">
        <v>562</v>
      </c>
      <c r="H1578" t="s">
        <v>562</v>
      </c>
      <c r="I1578">
        <v>5150</v>
      </c>
      <c r="J1578" t="s">
        <v>564</v>
      </c>
      <c r="K1578" s="698">
        <v>45957.563194444447</v>
      </c>
      <c r="L1578" s="698">
        <v>45957.563194444447</v>
      </c>
      <c r="M1578" t="s">
        <v>565</v>
      </c>
      <c r="N1578" t="s">
        <v>565</v>
      </c>
      <c r="O1578" t="s">
        <v>566</v>
      </c>
      <c r="P1578" t="s">
        <v>567</v>
      </c>
      <c r="S1578" t="s">
        <v>567</v>
      </c>
      <c r="T1578" t="s">
        <v>567</v>
      </c>
      <c r="Z1578" t="s">
        <v>568</v>
      </c>
      <c r="AA1578" t="s">
        <v>568</v>
      </c>
    </row>
    <row r="1579" spans="1:27">
      <c r="A1579" t="s">
        <v>4066</v>
      </c>
      <c r="B1579" t="s">
        <v>4067</v>
      </c>
      <c r="C1579" t="s">
        <v>4068</v>
      </c>
      <c r="D1579" t="s">
        <v>562</v>
      </c>
      <c r="E1579" t="s">
        <v>4069</v>
      </c>
      <c r="F1579" t="s">
        <v>562</v>
      </c>
      <c r="G1579" t="s">
        <v>562</v>
      </c>
      <c r="H1579" t="s">
        <v>562</v>
      </c>
      <c r="I1579">
        <v>4434</v>
      </c>
      <c r="J1579" t="s">
        <v>564</v>
      </c>
      <c r="K1579" s="698">
        <v>45957.518055555556</v>
      </c>
      <c r="L1579" s="698">
        <v>45957.518055555556</v>
      </c>
      <c r="M1579" t="s">
        <v>565</v>
      </c>
      <c r="N1579" t="s">
        <v>565</v>
      </c>
      <c r="O1579" t="s">
        <v>566</v>
      </c>
      <c r="P1579" t="s">
        <v>567</v>
      </c>
      <c r="S1579" t="s">
        <v>567</v>
      </c>
      <c r="T1579" t="s">
        <v>567</v>
      </c>
      <c r="Z1579" t="s">
        <v>568</v>
      </c>
      <c r="AA1579" t="s">
        <v>568</v>
      </c>
    </row>
    <row r="1580" spans="1:27">
      <c r="A1580" t="s">
        <v>4070</v>
      </c>
      <c r="B1580" t="s">
        <v>562</v>
      </c>
      <c r="C1580" t="s">
        <v>562</v>
      </c>
      <c r="D1580" t="s">
        <v>4071</v>
      </c>
      <c r="E1580" t="s">
        <v>4072</v>
      </c>
      <c r="F1580" t="s">
        <v>562</v>
      </c>
      <c r="G1580" t="s">
        <v>562</v>
      </c>
      <c r="H1580" t="s">
        <v>562</v>
      </c>
      <c r="I1580">
        <v>3635</v>
      </c>
      <c r="J1580" t="s">
        <v>564</v>
      </c>
      <c r="K1580" s="698">
        <v>45957.423611111109</v>
      </c>
      <c r="L1580" s="698">
        <v>45957.423611111109</v>
      </c>
      <c r="M1580" t="s">
        <v>565</v>
      </c>
      <c r="N1580" t="s">
        <v>565</v>
      </c>
      <c r="O1580" t="s">
        <v>566</v>
      </c>
      <c r="P1580" t="s">
        <v>567</v>
      </c>
      <c r="S1580" t="s">
        <v>567</v>
      </c>
      <c r="T1580" t="s">
        <v>567</v>
      </c>
      <c r="Z1580" t="s">
        <v>568</v>
      </c>
      <c r="AA1580" t="s">
        <v>568</v>
      </c>
    </row>
    <row r="1581" spans="1:27">
      <c r="A1581" t="s">
        <v>4070</v>
      </c>
      <c r="B1581" t="s">
        <v>562</v>
      </c>
      <c r="C1581" t="s">
        <v>562</v>
      </c>
      <c r="D1581" t="s">
        <v>4071</v>
      </c>
      <c r="E1581" t="s">
        <v>4073</v>
      </c>
      <c r="F1581" t="s">
        <v>562</v>
      </c>
      <c r="G1581" t="s">
        <v>562</v>
      </c>
      <c r="H1581" t="s">
        <v>562</v>
      </c>
      <c r="I1581">
        <v>4346</v>
      </c>
      <c r="J1581" t="s">
        <v>564</v>
      </c>
      <c r="K1581" s="698">
        <v>45957.507638888892</v>
      </c>
      <c r="L1581" s="698">
        <v>45957.507638888892</v>
      </c>
      <c r="M1581" t="s">
        <v>565</v>
      </c>
      <c r="N1581" t="s">
        <v>565</v>
      </c>
      <c r="O1581" t="s">
        <v>566</v>
      </c>
      <c r="P1581" t="s">
        <v>567</v>
      </c>
      <c r="S1581" t="s">
        <v>567</v>
      </c>
      <c r="T1581" t="s">
        <v>567</v>
      </c>
      <c r="Z1581" t="s">
        <v>568</v>
      </c>
      <c r="AA1581" t="s">
        <v>568</v>
      </c>
    </row>
    <row r="1582" spans="1:27">
      <c r="A1582" t="s">
        <v>4070</v>
      </c>
      <c r="B1582" t="s">
        <v>562</v>
      </c>
      <c r="C1582" t="s">
        <v>562</v>
      </c>
      <c r="D1582" t="s">
        <v>4071</v>
      </c>
      <c r="E1582" t="s">
        <v>4074</v>
      </c>
      <c r="F1582" t="s">
        <v>562</v>
      </c>
      <c r="G1582" t="s">
        <v>562</v>
      </c>
      <c r="H1582" t="s">
        <v>562</v>
      </c>
      <c r="I1582">
        <v>4605</v>
      </c>
      <c r="J1582" t="s">
        <v>564</v>
      </c>
      <c r="K1582" s="698">
        <v>45957.538888888892</v>
      </c>
      <c r="L1582" s="698">
        <v>45957.538888888892</v>
      </c>
      <c r="M1582" t="s">
        <v>565</v>
      </c>
      <c r="N1582" t="s">
        <v>565</v>
      </c>
      <c r="O1582" t="s">
        <v>566</v>
      </c>
      <c r="P1582" t="s">
        <v>567</v>
      </c>
      <c r="S1582" t="s">
        <v>567</v>
      </c>
      <c r="T1582" t="s">
        <v>567</v>
      </c>
      <c r="Z1582" t="s">
        <v>568</v>
      </c>
      <c r="AA1582" t="s">
        <v>568</v>
      </c>
    </row>
    <row r="1583" spans="1:27">
      <c r="A1583" t="s">
        <v>4070</v>
      </c>
      <c r="B1583" t="s">
        <v>4075</v>
      </c>
      <c r="C1583" t="s">
        <v>4076</v>
      </c>
      <c r="D1583" t="s">
        <v>4071</v>
      </c>
      <c r="E1583" t="s">
        <v>4077</v>
      </c>
      <c r="F1583" t="s">
        <v>562</v>
      </c>
      <c r="G1583" t="s">
        <v>562</v>
      </c>
      <c r="H1583" t="s">
        <v>562</v>
      </c>
      <c r="I1583">
        <v>4823</v>
      </c>
      <c r="J1583" t="s">
        <v>564</v>
      </c>
      <c r="K1583" s="698">
        <v>45957.552777777775</v>
      </c>
      <c r="L1583" s="698">
        <v>45957.552777777775</v>
      </c>
      <c r="M1583" t="s">
        <v>565</v>
      </c>
      <c r="N1583" t="s">
        <v>565</v>
      </c>
      <c r="O1583" t="s">
        <v>566</v>
      </c>
      <c r="P1583" t="s">
        <v>567</v>
      </c>
      <c r="S1583" t="s">
        <v>567</v>
      </c>
      <c r="T1583" t="s">
        <v>567</v>
      </c>
      <c r="Z1583" t="s">
        <v>568</v>
      </c>
      <c r="AA1583" t="s">
        <v>568</v>
      </c>
    </row>
    <row r="1584" spans="1:27">
      <c r="A1584" t="s">
        <v>4070</v>
      </c>
      <c r="B1584" t="s">
        <v>562</v>
      </c>
      <c r="C1584" t="s">
        <v>562</v>
      </c>
      <c r="D1584" t="s">
        <v>4071</v>
      </c>
      <c r="E1584" t="s">
        <v>4078</v>
      </c>
      <c r="F1584" t="s">
        <v>562</v>
      </c>
      <c r="G1584" t="s">
        <v>562</v>
      </c>
      <c r="H1584" t="s">
        <v>562</v>
      </c>
      <c r="I1584">
        <v>4910</v>
      </c>
      <c r="J1584" t="s">
        <v>564</v>
      </c>
      <c r="K1584" s="698">
        <v>45957.555555555555</v>
      </c>
      <c r="L1584" s="698">
        <v>45957.555555555555</v>
      </c>
      <c r="M1584" t="s">
        <v>565</v>
      </c>
      <c r="N1584" t="s">
        <v>565</v>
      </c>
      <c r="O1584" t="s">
        <v>566</v>
      </c>
      <c r="P1584" t="s">
        <v>567</v>
      </c>
      <c r="S1584" t="s">
        <v>567</v>
      </c>
      <c r="T1584" t="s">
        <v>567</v>
      </c>
      <c r="Z1584" t="s">
        <v>568</v>
      </c>
      <c r="AA1584" t="s">
        <v>568</v>
      </c>
    </row>
    <row r="1585" spans="1:27">
      <c r="A1585" t="s">
        <v>4070</v>
      </c>
      <c r="B1585" t="s">
        <v>562</v>
      </c>
      <c r="C1585" t="s">
        <v>562</v>
      </c>
      <c r="D1585" t="s">
        <v>4071</v>
      </c>
      <c r="E1585" t="s">
        <v>4079</v>
      </c>
      <c r="F1585" t="s">
        <v>562</v>
      </c>
      <c r="G1585" t="s">
        <v>562</v>
      </c>
      <c r="H1585" t="s">
        <v>562</v>
      </c>
      <c r="I1585">
        <v>4926</v>
      </c>
      <c r="J1585" t="s">
        <v>564</v>
      </c>
      <c r="K1585" s="698">
        <v>45957.556250000001</v>
      </c>
      <c r="L1585" s="698">
        <v>45957.556250000001</v>
      </c>
      <c r="M1585" t="s">
        <v>565</v>
      </c>
      <c r="N1585" t="s">
        <v>565</v>
      </c>
      <c r="O1585" t="s">
        <v>566</v>
      </c>
      <c r="P1585" t="s">
        <v>567</v>
      </c>
      <c r="S1585" t="s">
        <v>567</v>
      </c>
      <c r="T1585" t="s">
        <v>567</v>
      </c>
      <c r="Z1585" t="s">
        <v>568</v>
      </c>
      <c r="AA1585" t="s">
        <v>568</v>
      </c>
    </row>
    <row r="1586" spans="1:27">
      <c r="A1586" t="s">
        <v>4070</v>
      </c>
      <c r="B1586" t="s">
        <v>562</v>
      </c>
      <c r="C1586" t="s">
        <v>562</v>
      </c>
      <c r="D1586" t="s">
        <v>4071</v>
      </c>
      <c r="E1586" t="s">
        <v>4080</v>
      </c>
      <c r="F1586" t="s">
        <v>562</v>
      </c>
      <c r="G1586" t="s">
        <v>562</v>
      </c>
      <c r="H1586" t="s">
        <v>562</v>
      </c>
      <c r="I1586">
        <v>5159</v>
      </c>
      <c r="J1586" t="s">
        <v>564</v>
      </c>
      <c r="K1586" s="698">
        <v>45957.563194444447</v>
      </c>
      <c r="L1586" s="698">
        <v>45957.563194444447</v>
      </c>
      <c r="M1586" t="s">
        <v>565</v>
      </c>
      <c r="N1586" t="s">
        <v>565</v>
      </c>
      <c r="O1586" t="s">
        <v>566</v>
      </c>
      <c r="P1586" t="s">
        <v>567</v>
      </c>
      <c r="S1586" t="s">
        <v>567</v>
      </c>
      <c r="T1586" t="s">
        <v>567</v>
      </c>
      <c r="Z1586" t="s">
        <v>568</v>
      </c>
      <c r="AA1586" t="s">
        <v>568</v>
      </c>
    </row>
    <row r="1587" spans="1:27">
      <c r="A1587" t="s">
        <v>4081</v>
      </c>
      <c r="B1587" t="s">
        <v>4082</v>
      </c>
      <c r="C1587" t="s">
        <v>562</v>
      </c>
      <c r="D1587" t="s">
        <v>562</v>
      </c>
      <c r="E1587" t="s">
        <v>706</v>
      </c>
      <c r="F1587" t="s">
        <v>562</v>
      </c>
      <c r="G1587" t="s">
        <v>562</v>
      </c>
      <c r="H1587" t="s">
        <v>562</v>
      </c>
      <c r="I1587">
        <v>4818</v>
      </c>
      <c r="J1587" t="s">
        <v>564</v>
      </c>
      <c r="K1587" s="698">
        <v>45957.552777777775</v>
      </c>
      <c r="L1587" s="698">
        <v>45957.552777777775</v>
      </c>
      <c r="M1587" t="s">
        <v>565</v>
      </c>
      <c r="N1587" t="s">
        <v>565</v>
      </c>
      <c r="O1587" t="s">
        <v>566</v>
      </c>
      <c r="P1587" t="s">
        <v>567</v>
      </c>
      <c r="S1587" t="s">
        <v>567</v>
      </c>
      <c r="T1587" t="s">
        <v>567</v>
      </c>
      <c r="Z1587" t="s">
        <v>568</v>
      </c>
      <c r="AA1587" t="s">
        <v>568</v>
      </c>
    </row>
    <row r="1588" spans="1:27">
      <c r="A1588" t="s">
        <v>4083</v>
      </c>
      <c r="B1588" t="s">
        <v>4084</v>
      </c>
      <c r="C1588" t="s">
        <v>4085</v>
      </c>
      <c r="D1588" t="s">
        <v>562</v>
      </c>
      <c r="E1588" t="s">
        <v>4086</v>
      </c>
      <c r="F1588" t="s">
        <v>562</v>
      </c>
      <c r="G1588" t="s">
        <v>562</v>
      </c>
      <c r="H1588" t="s">
        <v>562</v>
      </c>
      <c r="I1588">
        <v>5191</v>
      </c>
      <c r="J1588" t="s">
        <v>564</v>
      </c>
      <c r="K1588" s="698">
        <v>45957.563888888886</v>
      </c>
      <c r="L1588" s="698">
        <v>45957.563888888886</v>
      </c>
      <c r="M1588" t="s">
        <v>565</v>
      </c>
      <c r="N1588" t="s">
        <v>565</v>
      </c>
      <c r="O1588" t="s">
        <v>566</v>
      </c>
      <c r="P1588" t="s">
        <v>567</v>
      </c>
      <c r="S1588" t="s">
        <v>567</v>
      </c>
      <c r="T1588" t="s">
        <v>567</v>
      </c>
      <c r="Z1588" t="s">
        <v>568</v>
      </c>
      <c r="AA1588" t="s">
        <v>568</v>
      </c>
    </row>
    <row r="1589" spans="1:27">
      <c r="A1589" t="s">
        <v>4083</v>
      </c>
      <c r="B1589" t="s">
        <v>4084</v>
      </c>
      <c r="C1589" t="s">
        <v>562</v>
      </c>
      <c r="D1589" t="s">
        <v>4087</v>
      </c>
      <c r="E1589" t="s">
        <v>4086</v>
      </c>
      <c r="F1589" t="s">
        <v>562</v>
      </c>
      <c r="G1589" t="s">
        <v>562</v>
      </c>
      <c r="H1589" t="s">
        <v>562</v>
      </c>
      <c r="I1589">
        <v>5223</v>
      </c>
      <c r="J1589" t="s">
        <v>564</v>
      </c>
      <c r="K1589" s="698">
        <v>45957.56527777778</v>
      </c>
      <c r="L1589" s="698">
        <v>45957.56527777778</v>
      </c>
      <c r="M1589" t="s">
        <v>565</v>
      </c>
      <c r="N1589" t="s">
        <v>565</v>
      </c>
      <c r="O1589" t="s">
        <v>566</v>
      </c>
      <c r="P1589" t="s">
        <v>567</v>
      </c>
      <c r="S1589" t="s">
        <v>567</v>
      </c>
      <c r="T1589" t="s">
        <v>567</v>
      </c>
      <c r="Z1589" t="s">
        <v>568</v>
      </c>
      <c r="AA1589" t="s">
        <v>568</v>
      </c>
    </row>
    <row r="1590" spans="1:27">
      <c r="A1590" t="s">
        <v>4088</v>
      </c>
      <c r="B1590" t="s">
        <v>4089</v>
      </c>
      <c r="C1590" t="s">
        <v>562</v>
      </c>
      <c r="D1590" t="s">
        <v>4090</v>
      </c>
      <c r="E1590" t="s">
        <v>4091</v>
      </c>
      <c r="F1590" t="s">
        <v>562</v>
      </c>
      <c r="G1590" t="s">
        <v>562</v>
      </c>
      <c r="H1590" t="s">
        <v>562</v>
      </c>
      <c r="I1590">
        <v>5218</v>
      </c>
      <c r="J1590" t="s">
        <v>564</v>
      </c>
      <c r="K1590" s="698">
        <v>45957.564583333333</v>
      </c>
      <c r="L1590" s="698">
        <v>45957.564583333333</v>
      </c>
      <c r="M1590" t="s">
        <v>565</v>
      </c>
      <c r="N1590" t="s">
        <v>565</v>
      </c>
      <c r="O1590" t="s">
        <v>566</v>
      </c>
      <c r="P1590" t="s">
        <v>567</v>
      </c>
      <c r="S1590" t="s">
        <v>567</v>
      </c>
      <c r="T1590" t="s">
        <v>567</v>
      </c>
      <c r="Z1590" t="s">
        <v>568</v>
      </c>
      <c r="AA1590" t="s">
        <v>568</v>
      </c>
    </row>
    <row r="1591" spans="1:27">
      <c r="A1591" t="s">
        <v>4092</v>
      </c>
      <c r="B1591" t="s">
        <v>4093</v>
      </c>
      <c r="C1591" t="s">
        <v>4094</v>
      </c>
      <c r="D1591" t="s">
        <v>4095</v>
      </c>
      <c r="E1591" t="s">
        <v>4096</v>
      </c>
      <c r="F1591" t="s">
        <v>562</v>
      </c>
      <c r="G1591" t="s">
        <v>562</v>
      </c>
      <c r="H1591" t="s">
        <v>562</v>
      </c>
      <c r="I1591">
        <v>5129</v>
      </c>
      <c r="J1591" t="s">
        <v>564</v>
      </c>
      <c r="K1591" s="698">
        <v>45957.5625</v>
      </c>
      <c r="L1591" s="698">
        <v>45957.5625</v>
      </c>
      <c r="M1591" t="s">
        <v>565</v>
      </c>
      <c r="N1591" t="s">
        <v>565</v>
      </c>
      <c r="O1591" t="s">
        <v>566</v>
      </c>
      <c r="P1591" t="s">
        <v>567</v>
      </c>
      <c r="S1591" t="s">
        <v>567</v>
      </c>
      <c r="T1591" t="s">
        <v>567</v>
      </c>
      <c r="Z1591" t="s">
        <v>568</v>
      </c>
      <c r="AA1591" t="s">
        <v>568</v>
      </c>
    </row>
    <row r="1592" spans="1:27">
      <c r="A1592" t="s">
        <v>4097</v>
      </c>
      <c r="B1592" t="s">
        <v>4098</v>
      </c>
      <c r="C1592" t="s">
        <v>4099</v>
      </c>
      <c r="D1592" t="s">
        <v>562</v>
      </c>
      <c r="E1592" t="s">
        <v>4100</v>
      </c>
      <c r="F1592" t="s">
        <v>562</v>
      </c>
      <c r="G1592" t="s">
        <v>562</v>
      </c>
      <c r="H1592" t="s">
        <v>562</v>
      </c>
      <c r="I1592">
        <v>5164</v>
      </c>
      <c r="J1592" t="s">
        <v>564</v>
      </c>
      <c r="K1592" s="698">
        <v>45957.563194444447</v>
      </c>
      <c r="L1592" s="698">
        <v>45957.563194444447</v>
      </c>
      <c r="M1592" t="s">
        <v>565</v>
      </c>
      <c r="N1592" t="s">
        <v>565</v>
      </c>
      <c r="O1592" t="s">
        <v>566</v>
      </c>
      <c r="P1592" t="s">
        <v>567</v>
      </c>
      <c r="S1592" t="s">
        <v>567</v>
      </c>
      <c r="T1592" t="s">
        <v>567</v>
      </c>
      <c r="Z1592" t="s">
        <v>568</v>
      </c>
      <c r="AA1592" t="s">
        <v>568</v>
      </c>
    </row>
    <row r="1593" spans="1:27">
      <c r="A1593" t="s">
        <v>4097</v>
      </c>
      <c r="B1593" t="s">
        <v>4098</v>
      </c>
      <c r="C1593" t="s">
        <v>4099</v>
      </c>
      <c r="D1593" t="s">
        <v>562</v>
      </c>
      <c r="E1593" t="s">
        <v>4101</v>
      </c>
      <c r="F1593" t="s">
        <v>562</v>
      </c>
      <c r="G1593" t="s">
        <v>562</v>
      </c>
      <c r="H1593" t="s">
        <v>562</v>
      </c>
      <c r="I1593">
        <v>5175</v>
      </c>
      <c r="J1593" t="s">
        <v>564</v>
      </c>
      <c r="K1593" s="698">
        <v>45957.563888888886</v>
      </c>
      <c r="L1593" s="698">
        <v>45957.563888888886</v>
      </c>
      <c r="M1593" t="s">
        <v>565</v>
      </c>
      <c r="N1593" t="s">
        <v>565</v>
      </c>
      <c r="O1593" t="s">
        <v>566</v>
      </c>
      <c r="P1593" t="s">
        <v>567</v>
      </c>
      <c r="S1593" t="s">
        <v>567</v>
      </c>
      <c r="T1593" t="s">
        <v>567</v>
      </c>
      <c r="Z1593" t="s">
        <v>568</v>
      </c>
      <c r="AA1593" t="s">
        <v>568</v>
      </c>
    </row>
    <row r="1594" spans="1:27">
      <c r="A1594" t="s">
        <v>4102</v>
      </c>
      <c r="B1594" t="s">
        <v>562</v>
      </c>
      <c r="C1594" t="s">
        <v>4103</v>
      </c>
      <c r="D1594" t="s">
        <v>1472</v>
      </c>
      <c r="E1594" t="s">
        <v>562</v>
      </c>
      <c r="F1594" t="s">
        <v>562</v>
      </c>
      <c r="G1594" t="s">
        <v>562</v>
      </c>
      <c r="H1594" t="s">
        <v>562</v>
      </c>
      <c r="I1594">
        <v>3573</v>
      </c>
      <c r="J1594" t="s">
        <v>564</v>
      </c>
      <c r="K1594" s="698">
        <v>45957.417361111111</v>
      </c>
      <c r="L1594" s="698">
        <v>45957.417361111111</v>
      </c>
      <c r="M1594" t="s">
        <v>565</v>
      </c>
      <c r="N1594" t="s">
        <v>565</v>
      </c>
      <c r="O1594" t="s">
        <v>566</v>
      </c>
      <c r="P1594" t="s">
        <v>567</v>
      </c>
      <c r="S1594" t="s">
        <v>567</v>
      </c>
      <c r="T1594" t="s">
        <v>567</v>
      </c>
      <c r="Z1594" t="s">
        <v>568</v>
      </c>
      <c r="AA1594" t="s">
        <v>568</v>
      </c>
    </row>
    <row r="1595" spans="1:27">
      <c r="A1595" t="s">
        <v>4102</v>
      </c>
      <c r="B1595" t="s">
        <v>4104</v>
      </c>
      <c r="C1595" t="s">
        <v>4105</v>
      </c>
      <c r="D1595" t="s">
        <v>562</v>
      </c>
      <c r="E1595" t="s">
        <v>2112</v>
      </c>
      <c r="F1595" t="s">
        <v>562</v>
      </c>
      <c r="G1595" t="s">
        <v>562</v>
      </c>
      <c r="H1595" t="s">
        <v>562</v>
      </c>
      <c r="I1595">
        <v>3819</v>
      </c>
      <c r="J1595" t="s">
        <v>564</v>
      </c>
      <c r="K1595" s="698">
        <v>45957.443749999999</v>
      </c>
      <c r="L1595" s="698">
        <v>45957.443749999999</v>
      </c>
      <c r="M1595" t="s">
        <v>565</v>
      </c>
      <c r="N1595" t="s">
        <v>565</v>
      </c>
      <c r="O1595" t="s">
        <v>566</v>
      </c>
      <c r="P1595" t="s">
        <v>567</v>
      </c>
      <c r="S1595" t="s">
        <v>567</v>
      </c>
      <c r="T1595" t="s">
        <v>567</v>
      </c>
      <c r="Z1595" t="s">
        <v>568</v>
      </c>
      <c r="AA1595" t="s">
        <v>568</v>
      </c>
    </row>
    <row r="1596" spans="1:27">
      <c r="A1596" t="s">
        <v>4102</v>
      </c>
      <c r="B1596" t="s">
        <v>4098</v>
      </c>
      <c r="C1596" t="s">
        <v>4099</v>
      </c>
      <c r="D1596" t="s">
        <v>562</v>
      </c>
      <c r="E1596" t="s">
        <v>4106</v>
      </c>
      <c r="F1596" t="s">
        <v>562</v>
      </c>
      <c r="G1596" t="s">
        <v>562</v>
      </c>
      <c r="H1596" t="s">
        <v>562</v>
      </c>
      <c r="I1596">
        <v>4460</v>
      </c>
      <c r="J1596" t="s">
        <v>564</v>
      </c>
      <c r="K1596" s="698">
        <v>45957.521527777775</v>
      </c>
      <c r="L1596" s="698">
        <v>45957.521527777775</v>
      </c>
      <c r="M1596" t="s">
        <v>565</v>
      </c>
      <c r="N1596" t="s">
        <v>565</v>
      </c>
      <c r="O1596" t="s">
        <v>566</v>
      </c>
      <c r="P1596" t="s">
        <v>567</v>
      </c>
      <c r="S1596" t="s">
        <v>567</v>
      </c>
      <c r="T1596" t="s">
        <v>567</v>
      </c>
      <c r="Z1596" t="s">
        <v>568</v>
      </c>
      <c r="AA1596" t="s">
        <v>568</v>
      </c>
    </row>
    <row r="1597" spans="1:27">
      <c r="A1597" t="s">
        <v>4102</v>
      </c>
      <c r="B1597" t="s">
        <v>4107</v>
      </c>
      <c r="C1597" t="s">
        <v>562</v>
      </c>
      <c r="D1597" t="s">
        <v>562</v>
      </c>
      <c r="E1597" t="s">
        <v>4108</v>
      </c>
      <c r="F1597" t="s">
        <v>562</v>
      </c>
      <c r="G1597" t="s">
        <v>562</v>
      </c>
      <c r="H1597" t="s">
        <v>562</v>
      </c>
      <c r="I1597">
        <v>4468</v>
      </c>
      <c r="J1597" t="s">
        <v>564</v>
      </c>
      <c r="K1597" s="698">
        <v>45957.522222222222</v>
      </c>
      <c r="L1597" s="698">
        <v>45957.522222222222</v>
      </c>
      <c r="M1597" t="s">
        <v>565</v>
      </c>
      <c r="N1597" t="s">
        <v>565</v>
      </c>
      <c r="O1597" t="s">
        <v>566</v>
      </c>
      <c r="P1597" t="s">
        <v>567</v>
      </c>
      <c r="S1597" t="s">
        <v>567</v>
      </c>
      <c r="T1597" t="s">
        <v>567</v>
      </c>
      <c r="Z1597" t="s">
        <v>568</v>
      </c>
      <c r="AA1597" t="s">
        <v>568</v>
      </c>
    </row>
    <row r="1598" spans="1:27">
      <c r="A1598" t="s">
        <v>4102</v>
      </c>
      <c r="B1598" t="s">
        <v>4107</v>
      </c>
      <c r="C1598" t="s">
        <v>562</v>
      </c>
      <c r="D1598" t="s">
        <v>562</v>
      </c>
      <c r="E1598" t="s">
        <v>4109</v>
      </c>
      <c r="F1598" t="s">
        <v>562</v>
      </c>
      <c r="G1598" t="s">
        <v>562</v>
      </c>
      <c r="H1598" t="s">
        <v>562</v>
      </c>
      <c r="I1598">
        <v>4474</v>
      </c>
      <c r="J1598" t="s">
        <v>564</v>
      </c>
      <c r="K1598" s="698">
        <v>45957.522916666669</v>
      </c>
      <c r="L1598" s="698">
        <v>45957.522916666669</v>
      </c>
      <c r="M1598" t="s">
        <v>565</v>
      </c>
      <c r="N1598" t="s">
        <v>565</v>
      </c>
      <c r="O1598" t="s">
        <v>566</v>
      </c>
      <c r="P1598" t="s">
        <v>567</v>
      </c>
      <c r="S1598" t="s">
        <v>567</v>
      </c>
      <c r="T1598" t="s">
        <v>567</v>
      </c>
      <c r="Z1598" t="s">
        <v>568</v>
      </c>
      <c r="AA1598" t="s">
        <v>568</v>
      </c>
    </row>
    <row r="1599" spans="1:27">
      <c r="A1599" t="s">
        <v>4102</v>
      </c>
      <c r="B1599" t="s">
        <v>4107</v>
      </c>
      <c r="C1599" t="s">
        <v>562</v>
      </c>
      <c r="D1599" t="s">
        <v>562</v>
      </c>
      <c r="E1599" t="s">
        <v>4110</v>
      </c>
      <c r="F1599" t="s">
        <v>562</v>
      </c>
      <c r="G1599" t="s">
        <v>562</v>
      </c>
      <c r="H1599" t="s">
        <v>562</v>
      </c>
      <c r="I1599">
        <v>4684</v>
      </c>
      <c r="J1599" t="s">
        <v>564</v>
      </c>
      <c r="K1599" s="698">
        <v>45957.548611111109</v>
      </c>
      <c r="L1599" s="698">
        <v>45957.548611111109</v>
      </c>
      <c r="M1599" t="s">
        <v>565</v>
      </c>
      <c r="N1599" t="s">
        <v>565</v>
      </c>
      <c r="O1599" t="s">
        <v>566</v>
      </c>
      <c r="P1599" t="s">
        <v>567</v>
      </c>
      <c r="S1599" t="s">
        <v>567</v>
      </c>
      <c r="T1599" t="s">
        <v>567</v>
      </c>
      <c r="Z1599" t="s">
        <v>568</v>
      </c>
      <c r="AA1599" t="s">
        <v>568</v>
      </c>
    </row>
    <row r="1600" spans="1:27">
      <c r="A1600" t="s">
        <v>4102</v>
      </c>
      <c r="B1600" t="s">
        <v>4104</v>
      </c>
      <c r="C1600" t="s">
        <v>4105</v>
      </c>
      <c r="D1600" t="s">
        <v>562</v>
      </c>
      <c r="E1600" t="s">
        <v>4101</v>
      </c>
      <c r="F1600" t="s">
        <v>562</v>
      </c>
      <c r="G1600" t="s">
        <v>562</v>
      </c>
      <c r="H1600" t="s">
        <v>562</v>
      </c>
      <c r="I1600">
        <v>4982</v>
      </c>
      <c r="J1600" t="s">
        <v>564</v>
      </c>
      <c r="K1600" s="698">
        <v>45957.557638888888</v>
      </c>
      <c r="L1600" s="698">
        <v>45957.557638888888</v>
      </c>
      <c r="M1600" t="s">
        <v>565</v>
      </c>
      <c r="N1600" t="s">
        <v>565</v>
      </c>
      <c r="O1600" t="s">
        <v>566</v>
      </c>
      <c r="P1600" t="s">
        <v>567</v>
      </c>
      <c r="S1600" t="s">
        <v>567</v>
      </c>
      <c r="T1600" t="s">
        <v>567</v>
      </c>
      <c r="Z1600" t="s">
        <v>568</v>
      </c>
      <c r="AA1600" t="s">
        <v>568</v>
      </c>
    </row>
    <row r="1601" spans="1:27">
      <c r="A1601" t="s">
        <v>4111</v>
      </c>
      <c r="B1601" t="s">
        <v>4112</v>
      </c>
      <c r="C1601" t="s">
        <v>562</v>
      </c>
      <c r="D1601" t="s">
        <v>562</v>
      </c>
      <c r="E1601" t="s">
        <v>4113</v>
      </c>
      <c r="F1601" t="s">
        <v>562</v>
      </c>
      <c r="G1601" t="s">
        <v>562</v>
      </c>
      <c r="H1601" t="s">
        <v>562</v>
      </c>
      <c r="I1601">
        <v>4040</v>
      </c>
      <c r="J1601" t="s">
        <v>564</v>
      </c>
      <c r="K1601" s="698">
        <v>45957.469444444447</v>
      </c>
      <c r="L1601" s="698">
        <v>45957.469444444447</v>
      </c>
      <c r="M1601" t="s">
        <v>565</v>
      </c>
      <c r="N1601" t="s">
        <v>565</v>
      </c>
      <c r="O1601" t="s">
        <v>566</v>
      </c>
      <c r="P1601" t="s">
        <v>567</v>
      </c>
      <c r="S1601" t="s">
        <v>567</v>
      </c>
      <c r="T1601" t="s">
        <v>567</v>
      </c>
      <c r="Z1601" t="s">
        <v>568</v>
      </c>
      <c r="AA1601" t="s">
        <v>568</v>
      </c>
    </row>
    <row r="1602" spans="1:27">
      <c r="A1602" t="s">
        <v>4114</v>
      </c>
      <c r="B1602" t="s">
        <v>4115</v>
      </c>
      <c r="C1602" t="s">
        <v>4116</v>
      </c>
      <c r="D1602" t="s">
        <v>562</v>
      </c>
      <c r="E1602" t="s">
        <v>4117</v>
      </c>
      <c r="F1602" t="s">
        <v>562</v>
      </c>
      <c r="G1602" t="s">
        <v>562</v>
      </c>
      <c r="H1602" t="s">
        <v>562</v>
      </c>
      <c r="I1602">
        <v>4355</v>
      </c>
      <c r="J1602" t="s">
        <v>564</v>
      </c>
      <c r="K1602" s="698">
        <v>45957.508333333331</v>
      </c>
      <c r="L1602" s="698">
        <v>45957.508333333331</v>
      </c>
      <c r="M1602" t="s">
        <v>565</v>
      </c>
      <c r="N1602" t="s">
        <v>565</v>
      </c>
      <c r="O1602" t="s">
        <v>566</v>
      </c>
      <c r="P1602" t="s">
        <v>567</v>
      </c>
      <c r="S1602" t="s">
        <v>567</v>
      </c>
      <c r="T1602" t="s">
        <v>567</v>
      </c>
      <c r="Z1602" t="s">
        <v>568</v>
      </c>
      <c r="AA1602" t="s">
        <v>568</v>
      </c>
    </row>
    <row r="1603" spans="1:27">
      <c r="A1603" t="s">
        <v>4118</v>
      </c>
      <c r="B1603" t="s">
        <v>4119</v>
      </c>
      <c r="C1603" t="s">
        <v>562</v>
      </c>
      <c r="D1603" t="s">
        <v>562</v>
      </c>
      <c r="E1603" t="s">
        <v>4120</v>
      </c>
      <c r="F1603" t="s">
        <v>562</v>
      </c>
      <c r="G1603" t="s">
        <v>562</v>
      </c>
      <c r="H1603" t="s">
        <v>562</v>
      </c>
      <c r="I1603">
        <v>4995</v>
      </c>
      <c r="J1603" t="s">
        <v>564</v>
      </c>
      <c r="K1603" s="698">
        <v>45957.558333333334</v>
      </c>
      <c r="L1603" s="698">
        <v>45957.558333333334</v>
      </c>
      <c r="M1603" t="s">
        <v>565</v>
      </c>
      <c r="N1603" t="s">
        <v>565</v>
      </c>
      <c r="O1603" t="s">
        <v>566</v>
      </c>
      <c r="P1603" t="s">
        <v>567</v>
      </c>
      <c r="S1603" t="s">
        <v>567</v>
      </c>
      <c r="T1603" t="s">
        <v>567</v>
      </c>
      <c r="Z1603" t="s">
        <v>568</v>
      </c>
      <c r="AA1603" t="s">
        <v>568</v>
      </c>
    </row>
    <row r="1604" spans="1:27">
      <c r="A1604" t="s">
        <v>4121</v>
      </c>
      <c r="B1604" t="s">
        <v>4122</v>
      </c>
      <c r="C1604" t="s">
        <v>4123</v>
      </c>
      <c r="D1604" t="s">
        <v>562</v>
      </c>
      <c r="E1604" t="s">
        <v>4124</v>
      </c>
      <c r="F1604" t="s">
        <v>562</v>
      </c>
      <c r="G1604" t="s">
        <v>562</v>
      </c>
      <c r="H1604" t="s">
        <v>562</v>
      </c>
      <c r="I1604">
        <v>4477</v>
      </c>
      <c r="J1604" t="s">
        <v>564</v>
      </c>
      <c r="K1604" s="698">
        <v>45957.523611111108</v>
      </c>
      <c r="L1604" s="698">
        <v>45957.523611111108</v>
      </c>
      <c r="M1604" t="s">
        <v>565</v>
      </c>
      <c r="N1604" t="s">
        <v>565</v>
      </c>
      <c r="O1604" t="s">
        <v>566</v>
      </c>
      <c r="P1604" t="s">
        <v>567</v>
      </c>
      <c r="S1604" t="s">
        <v>567</v>
      </c>
      <c r="T1604" t="s">
        <v>567</v>
      </c>
      <c r="Z1604" t="s">
        <v>568</v>
      </c>
      <c r="AA1604" t="s">
        <v>568</v>
      </c>
    </row>
    <row r="1605" spans="1:27">
      <c r="A1605" t="s">
        <v>4125</v>
      </c>
      <c r="B1605" t="s">
        <v>1803</v>
      </c>
      <c r="C1605" t="s">
        <v>4126</v>
      </c>
      <c r="D1605" t="s">
        <v>4127</v>
      </c>
      <c r="E1605" t="s">
        <v>1116</v>
      </c>
      <c r="F1605" t="s">
        <v>562</v>
      </c>
      <c r="G1605" t="s">
        <v>562</v>
      </c>
      <c r="H1605" t="s">
        <v>562</v>
      </c>
      <c r="I1605">
        <v>3623</v>
      </c>
      <c r="J1605" t="s">
        <v>564</v>
      </c>
      <c r="K1605" s="698">
        <v>45957.42291666667</v>
      </c>
      <c r="L1605" s="698">
        <v>45957.42291666667</v>
      </c>
      <c r="M1605" t="s">
        <v>565</v>
      </c>
      <c r="N1605" t="s">
        <v>565</v>
      </c>
      <c r="O1605" t="s">
        <v>566</v>
      </c>
      <c r="P1605" t="s">
        <v>567</v>
      </c>
      <c r="S1605" t="s">
        <v>567</v>
      </c>
      <c r="T1605" t="s">
        <v>567</v>
      </c>
      <c r="Z1605" t="s">
        <v>568</v>
      </c>
      <c r="AA1605" t="s">
        <v>568</v>
      </c>
    </row>
    <row r="1606" spans="1:27">
      <c r="A1606" t="s">
        <v>4128</v>
      </c>
      <c r="B1606" t="s">
        <v>562</v>
      </c>
      <c r="C1606" t="s">
        <v>562</v>
      </c>
      <c r="D1606" t="s">
        <v>4129</v>
      </c>
      <c r="E1606" t="s">
        <v>4130</v>
      </c>
      <c r="F1606" t="s">
        <v>562</v>
      </c>
      <c r="G1606" t="s">
        <v>562</v>
      </c>
      <c r="H1606" t="s">
        <v>562</v>
      </c>
      <c r="I1606">
        <v>5054</v>
      </c>
      <c r="J1606" t="s">
        <v>564</v>
      </c>
      <c r="K1606" s="698">
        <v>45957.55972222222</v>
      </c>
      <c r="L1606" s="698">
        <v>45957.55972222222</v>
      </c>
      <c r="M1606" t="s">
        <v>565</v>
      </c>
      <c r="N1606" t="s">
        <v>565</v>
      </c>
      <c r="O1606" t="s">
        <v>566</v>
      </c>
      <c r="P1606" t="s">
        <v>567</v>
      </c>
      <c r="S1606" t="s">
        <v>567</v>
      </c>
      <c r="T1606" t="s">
        <v>567</v>
      </c>
      <c r="Z1606" t="s">
        <v>568</v>
      </c>
      <c r="AA1606" t="s">
        <v>568</v>
      </c>
    </row>
    <row r="1607" spans="1:27">
      <c r="A1607" t="s">
        <v>4131</v>
      </c>
      <c r="B1607" t="s">
        <v>4132</v>
      </c>
      <c r="C1607" t="s">
        <v>4133</v>
      </c>
      <c r="D1607" t="s">
        <v>4134</v>
      </c>
      <c r="E1607" t="s">
        <v>4135</v>
      </c>
      <c r="F1607" t="s">
        <v>562</v>
      </c>
      <c r="G1607" t="s">
        <v>562</v>
      </c>
      <c r="H1607" t="s">
        <v>562</v>
      </c>
      <c r="I1607">
        <v>3682</v>
      </c>
      <c r="J1607" t="s">
        <v>564</v>
      </c>
      <c r="K1607" s="698">
        <v>45957.429166666669</v>
      </c>
      <c r="L1607" s="698">
        <v>45957.429166666669</v>
      </c>
      <c r="M1607" t="s">
        <v>565</v>
      </c>
      <c r="N1607" t="s">
        <v>565</v>
      </c>
      <c r="O1607" t="s">
        <v>566</v>
      </c>
      <c r="P1607" t="s">
        <v>567</v>
      </c>
      <c r="S1607" t="s">
        <v>567</v>
      </c>
      <c r="T1607" t="s">
        <v>567</v>
      </c>
      <c r="Z1607" t="s">
        <v>568</v>
      </c>
      <c r="AA1607" t="s">
        <v>568</v>
      </c>
    </row>
    <row r="1608" spans="1:27">
      <c r="A1608" t="s">
        <v>4131</v>
      </c>
      <c r="B1608" t="s">
        <v>562</v>
      </c>
      <c r="C1608" t="s">
        <v>562</v>
      </c>
      <c r="D1608" t="s">
        <v>4134</v>
      </c>
      <c r="E1608" t="s">
        <v>4136</v>
      </c>
      <c r="F1608" t="s">
        <v>562</v>
      </c>
      <c r="G1608" t="s">
        <v>562</v>
      </c>
      <c r="H1608" t="s">
        <v>562</v>
      </c>
      <c r="I1608">
        <v>3781</v>
      </c>
      <c r="J1608" t="s">
        <v>564</v>
      </c>
      <c r="K1608" s="698">
        <v>45957.439583333333</v>
      </c>
      <c r="L1608" s="698">
        <v>45957.439583333333</v>
      </c>
      <c r="M1608" t="s">
        <v>565</v>
      </c>
      <c r="N1608" t="s">
        <v>565</v>
      </c>
      <c r="O1608" t="s">
        <v>566</v>
      </c>
      <c r="P1608" t="s">
        <v>567</v>
      </c>
      <c r="S1608" t="s">
        <v>567</v>
      </c>
      <c r="T1608" t="s">
        <v>567</v>
      </c>
      <c r="Z1608" t="s">
        <v>568</v>
      </c>
      <c r="AA1608" t="s">
        <v>568</v>
      </c>
    </row>
    <row r="1609" spans="1:27">
      <c r="A1609" t="s">
        <v>4131</v>
      </c>
      <c r="B1609" t="s">
        <v>4132</v>
      </c>
      <c r="C1609" t="s">
        <v>4133</v>
      </c>
      <c r="D1609" t="s">
        <v>4134</v>
      </c>
      <c r="E1609" t="s">
        <v>4137</v>
      </c>
      <c r="F1609" t="s">
        <v>562</v>
      </c>
      <c r="G1609" t="s">
        <v>562</v>
      </c>
      <c r="H1609" t="s">
        <v>562</v>
      </c>
      <c r="I1609">
        <v>4483</v>
      </c>
      <c r="J1609" t="s">
        <v>564</v>
      </c>
      <c r="K1609" s="698">
        <v>45957.524305555555</v>
      </c>
      <c r="L1609" s="698">
        <v>45957.524305555555</v>
      </c>
      <c r="M1609" t="s">
        <v>565</v>
      </c>
      <c r="N1609" t="s">
        <v>565</v>
      </c>
      <c r="O1609" t="s">
        <v>566</v>
      </c>
      <c r="P1609" t="s">
        <v>567</v>
      </c>
      <c r="S1609" t="s">
        <v>567</v>
      </c>
      <c r="T1609" t="s">
        <v>567</v>
      </c>
      <c r="Z1609" t="s">
        <v>568</v>
      </c>
      <c r="AA1609" t="s">
        <v>568</v>
      </c>
    </row>
    <row r="1610" spans="1:27">
      <c r="A1610" t="s">
        <v>4131</v>
      </c>
      <c r="B1610" t="s">
        <v>562</v>
      </c>
      <c r="C1610" t="s">
        <v>562</v>
      </c>
      <c r="D1610" t="s">
        <v>4134</v>
      </c>
      <c r="E1610" t="s">
        <v>4138</v>
      </c>
      <c r="F1610" t="s">
        <v>562</v>
      </c>
      <c r="G1610" t="s">
        <v>562</v>
      </c>
      <c r="H1610" t="s">
        <v>562</v>
      </c>
      <c r="I1610">
        <v>4919</v>
      </c>
      <c r="J1610" t="s">
        <v>564</v>
      </c>
      <c r="K1610" s="698">
        <v>45957.556250000001</v>
      </c>
      <c r="L1610" s="698">
        <v>45957.556250000001</v>
      </c>
      <c r="M1610" t="s">
        <v>565</v>
      </c>
      <c r="N1610" t="s">
        <v>565</v>
      </c>
      <c r="O1610" t="s">
        <v>566</v>
      </c>
      <c r="P1610" t="s">
        <v>567</v>
      </c>
      <c r="S1610" t="s">
        <v>567</v>
      </c>
      <c r="T1610" t="s">
        <v>567</v>
      </c>
      <c r="Z1610" t="s">
        <v>568</v>
      </c>
      <c r="AA1610" t="s">
        <v>568</v>
      </c>
    </row>
    <row r="1611" spans="1:27">
      <c r="A1611" t="s">
        <v>4131</v>
      </c>
      <c r="B1611" t="s">
        <v>562</v>
      </c>
      <c r="C1611" t="s">
        <v>562</v>
      </c>
      <c r="D1611" t="s">
        <v>4134</v>
      </c>
      <c r="E1611" t="s">
        <v>4139</v>
      </c>
      <c r="F1611" t="s">
        <v>562</v>
      </c>
      <c r="G1611" t="s">
        <v>562</v>
      </c>
      <c r="H1611" t="s">
        <v>562</v>
      </c>
      <c r="I1611">
        <v>5148</v>
      </c>
      <c r="J1611" t="s">
        <v>564</v>
      </c>
      <c r="K1611" s="698">
        <v>45957.5625</v>
      </c>
      <c r="L1611" s="698">
        <v>45957.5625</v>
      </c>
      <c r="M1611" t="s">
        <v>565</v>
      </c>
      <c r="N1611" t="s">
        <v>565</v>
      </c>
      <c r="O1611" t="s">
        <v>566</v>
      </c>
      <c r="P1611" t="s">
        <v>567</v>
      </c>
      <c r="S1611" t="s">
        <v>567</v>
      </c>
      <c r="T1611" t="s">
        <v>567</v>
      </c>
      <c r="Z1611" t="s">
        <v>568</v>
      </c>
      <c r="AA1611" t="s">
        <v>568</v>
      </c>
    </row>
    <row r="1612" spans="1:27">
      <c r="A1612" t="s">
        <v>4140</v>
      </c>
      <c r="B1612" t="s">
        <v>4141</v>
      </c>
      <c r="C1612" t="s">
        <v>4142</v>
      </c>
      <c r="D1612" t="s">
        <v>562</v>
      </c>
      <c r="E1612" t="s">
        <v>4143</v>
      </c>
      <c r="F1612" t="s">
        <v>562</v>
      </c>
      <c r="G1612" t="s">
        <v>562</v>
      </c>
      <c r="H1612" t="s">
        <v>562</v>
      </c>
      <c r="I1612">
        <v>4122</v>
      </c>
      <c r="J1612" t="s">
        <v>564</v>
      </c>
      <c r="K1612" s="698">
        <v>45957.479166666664</v>
      </c>
      <c r="L1612" s="698">
        <v>45957.479166666664</v>
      </c>
      <c r="M1612" t="s">
        <v>565</v>
      </c>
      <c r="N1612" t="s">
        <v>565</v>
      </c>
      <c r="O1612" t="s">
        <v>566</v>
      </c>
      <c r="P1612" t="s">
        <v>567</v>
      </c>
      <c r="S1612" t="s">
        <v>567</v>
      </c>
      <c r="T1612" t="s">
        <v>567</v>
      </c>
      <c r="Z1612" t="s">
        <v>568</v>
      </c>
      <c r="AA1612" t="s">
        <v>568</v>
      </c>
    </row>
    <row r="1613" spans="1:27">
      <c r="A1613" t="s">
        <v>4140</v>
      </c>
      <c r="B1613" t="s">
        <v>4141</v>
      </c>
      <c r="C1613" t="s">
        <v>4142</v>
      </c>
      <c r="D1613" t="s">
        <v>562</v>
      </c>
      <c r="E1613" t="s">
        <v>4144</v>
      </c>
      <c r="F1613" t="s">
        <v>562</v>
      </c>
      <c r="G1613" t="s">
        <v>562</v>
      </c>
      <c r="H1613" t="s">
        <v>562</v>
      </c>
      <c r="I1613">
        <v>4123</v>
      </c>
      <c r="J1613" t="s">
        <v>564</v>
      </c>
      <c r="K1613" s="698">
        <v>45957.479166666664</v>
      </c>
      <c r="L1613" s="698">
        <v>45957.479166666664</v>
      </c>
      <c r="M1613" t="s">
        <v>565</v>
      </c>
      <c r="N1613" t="s">
        <v>565</v>
      </c>
      <c r="O1613" t="s">
        <v>566</v>
      </c>
      <c r="P1613" t="s">
        <v>567</v>
      </c>
      <c r="S1613" t="s">
        <v>567</v>
      </c>
      <c r="T1613" t="s">
        <v>567</v>
      </c>
      <c r="Z1613" t="s">
        <v>568</v>
      </c>
      <c r="AA1613" t="s">
        <v>568</v>
      </c>
    </row>
    <row r="1614" spans="1:27">
      <c r="A1614" t="s">
        <v>4140</v>
      </c>
      <c r="B1614" t="s">
        <v>4145</v>
      </c>
      <c r="C1614" t="s">
        <v>4146</v>
      </c>
      <c r="D1614" t="s">
        <v>562</v>
      </c>
      <c r="E1614" t="s">
        <v>4147</v>
      </c>
      <c r="F1614" t="s">
        <v>562</v>
      </c>
      <c r="G1614" t="s">
        <v>562</v>
      </c>
      <c r="H1614" t="s">
        <v>562</v>
      </c>
      <c r="I1614">
        <v>4128</v>
      </c>
      <c r="J1614" t="s">
        <v>564</v>
      </c>
      <c r="K1614" s="698">
        <v>45957.479861111111</v>
      </c>
      <c r="L1614" s="698">
        <v>45957.479861111111</v>
      </c>
      <c r="M1614" t="s">
        <v>565</v>
      </c>
      <c r="N1614" t="s">
        <v>565</v>
      </c>
      <c r="O1614" t="s">
        <v>566</v>
      </c>
      <c r="P1614" t="s">
        <v>567</v>
      </c>
      <c r="S1614" t="s">
        <v>567</v>
      </c>
      <c r="T1614" t="s">
        <v>567</v>
      </c>
      <c r="Z1614" t="s">
        <v>568</v>
      </c>
      <c r="AA1614" t="s">
        <v>568</v>
      </c>
    </row>
    <row r="1615" spans="1:27">
      <c r="A1615" t="s">
        <v>4140</v>
      </c>
      <c r="B1615" t="s">
        <v>4141</v>
      </c>
      <c r="C1615" t="s">
        <v>4142</v>
      </c>
      <c r="D1615" t="s">
        <v>562</v>
      </c>
      <c r="E1615" t="s">
        <v>4148</v>
      </c>
      <c r="F1615" t="s">
        <v>562</v>
      </c>
      <c r="G1615" t="s">
        <v>562</v>
      </c>
      <c r="H1615" t="s">
        <v>562</v>
      </c>
      <c r="I1615">
        <v>4129</v>
      </c>
      <c r="J1615" t="s">
        <v>564</v>
      </c>
      <c r="K1615" s="698">
        <v>45957.479861111111</v>
      </c>
      <c r="L1615" s="698">
        <v>45957.479861111111</v>
      </c>
      <c r="M1615" t="s">
        <v>565</v>
      </c>
      <c r="N1615" t="s">
        <v>565</v>
      </c>
      <c r="O1615" t="s">
        <v>566</v>
      </c>
      <c r="P1615" t="s">
        <v>567</v>
      </c>
      <c r="S1615" t="s">
        <v>567</v>
      </c>
      <c r="T1615" t="s">
        <v>567</v>
      </c>
      <c r="Z1615" t="s">
        <v>568</v>
      </c>
      <c r="AA1615" t="s">
        <v>568</v>
      </c>
    </row>
    <row r="1616" spans="1:27">
      <c r="A1616" t="s">
        <v>4140</v>
      </c>
      <c r="B1616" t="s">
        <v>4145</v>
      </c>
      <c r="C1616" t="s">
        <v>4146</v>
      </c>
      <c r="D1616" t="s">
        <v>562</v>
      </c>
      <c r="E1616" t="s">
        <v>4149</v>
      </c>
      <c r="F1616" t="s">
        <v>562</v>
      </c>
      <c r="G1616" t="s">
        <v>562</v>
      </c>
      <c r="H1616" t="s">
        <v>562</v>
      </c>
      <c r="I1616">
        <v>4130</v>
      </c>
      <c r="J1616" t="s">
        <v>564</v>
      </c>
      <c r="K1616" s="698">
        <v>45957.479861111111</v>
      </c>
      <c r="L1616" s="698">
        <v>45957.479861111111</v>
      </c>
      <c r="M1616" t="s">
        <v>565</v>
      </c>
      <c r="N1616" t="s">
        <v>565</v>
      </c>
      <c r="O1616" t="s">
        <v>566</v>
      </c>
      <c r="P1616" t="s">
        <v>567</v>
      </c>
      <c r="S1616" t="s">
        <v>567</v>
      </c>
      <c r="T1616" t="s">
        <v>567</v>
      </c>
      <c r="Z1616" t="s">
        <v>568</v>
      </c>
      <c r="AA1616" t="s">
        <v>568</v>
      </c>
    </row>
    <row r="1617" spans="1:27">
      <c r="A1617" t="s">
        <v>4140</v>
      </c>
      <c r="B1617" t="s">
        <v>4141</v>
      </c>
      <c r="C1617" t="s">
        <v>4142</v>
      </c>
      <c r="D1617" t="s">
        <v>562</v>
      </c>
      <c r="E1617" t="s">
        <v>4150</v>
      </c>
      <c r="F1617" t="s">
        <v>562</v>
      </c>
      <c r="G1617" t="s">
        <v>562</v>
      </c>
      <c r="H1617" t="s">
        <v>562</v>
      </c>
      <c r="I1617">
        <v>4131</v>
      </c>
      <c r="J1617" t="s">
        <v>564</v>
      </c>
      <c r="K1617" s="698">
        <v>45957.479861111111</v>
      </c>
      <c r="L1617" s="698">
        <v>45957.479861111111</v>
      </c>
      <c r="M1617" t="s">
        <v>565</v>
      </c>
      <c r="N1617" t="s">
        <v>565</v>
      </c>
      <c r="O1617" t="s">
        <v>566</v>
      </c>
      <c r="P1617" t="s">
        <v>567</v>
      </c>
      <c r="S1617" t="s">
        <v>567</v>
      </c>
      <c r="T1617" t="s">
        <v>567</v>
      </c>
      <c r="Z1617" t="s">
        <v>568</v>
      </c>
      <c r="AA1617" t="s">
        <v>568</v>
      </c>
    </row>
    <row r="1618" spans="1:27">
      <c r="A1618" t="s">
        <v>4140</v>
      </c>
      <c r="B1618" t="s">
        <v>4141</v>
      </c>
      <c r="C1618" t="s">
        <v>4142</v>
      </c>
      <c r="D1618" t="s">
        <v>562</v>
      </c>
      <c r="E1618" t="s">
        <v>4151</v>
      </c>
      <c r="F1618" t="s">
        <v>562</v>
      </c>
      <c r="G1618" t="s">
        <v>562</v>
      </c>
      <c r="H1618" t="s">
        <v>562</v>
      </c>
      <c r="I1618">
        <v>4132</v>
      </c>
      <c r="J1618" t="s">
        <v>564</v>
      </c>
      <c r="K1618" s="698">
        <v>45957.480555555558</v>
      </c>
      <c r="L1618" s="698">
        <v>45957.480555555558</v>
      </c>
      <c r="M1618" t="s">
        <v>565</v>
      </c>
      <c r="N1618" t="s">
        <v>565</v>
      </c>
      <c r="O1618" t="s">
        <v>566</v>
      </c>
      <c r="P1618" t="s">
        <v>567</v>
      </c>
      <c r="S1618" t="s">
        <v>567</v>
      </c>
      <c r="T1618" t="s">
        <v>567</v>
      </c>
      <c r="Z1618" t="s">
        <v>568</v>
      </c>
      <c r="AA1618" t="s">
        <v>568</v>
      </c>
    </row>
    <row r="1619" spans="1:27">
      <c r="A1619" t="s">
        <v>4140</v>
      </c>
      <c r="B1619" t="s">
        <v>4145</v>
      </c>
      <c r="C1619" t="s">
        <v>4146</v>
      </c>
      <c r="D1619" t="s">
        <v>562</v>
      </c>
      <c r="E1619" t="s">
        <v>4152</v>
      </c>
      <c r="F1619" t="s">
        <v>562</v>
      </c>
      <c r="G1619" t="s">
        <v>562</v>
      </c>
      <c r="H1619" t="s">
        <v>562</v>
      </c>
      <c r="I1619">
        <v>4133</v>
      </c>
      <c r="J1619" t="s">
        <v>564</v>
      </c>
      <c r="K1619" s="698">
        <v>45957.480555555558</v>
      </c>
      <c r="L1619" s="698">
        <v>45957.480555555558</v>
      </c>
      <c r="M1619" t="s">
        <v>565</v>
      </c>
      <c r="N1619" t="s">
        <v>565</v>
      </c>
      <c r="O1619" t="s">
        <v>566</v>
      </c>
      <c r="P1619" t="s">
        <v>567</v>
      </c>
      <c r="S1619" t="s">
        <v>567</v>
      </c>
      <c r="T1619" t="s">
        <v>567</v>
      </c>
      <c r="Z1619" t="s">
        <v>568</v>
      </c>
      <c r="AA1619" t="s">
        <v>568</v>
      </c>
    </row>
    <row r="1620" spans="1:27">
      <c r="A1620" t="s">
        <v>4140</v>
      </c>
      <c r="B1620" t="s">
        <v>4145</v>
      </c>
      <c r="C1620" t="s">
        <v>4146</v>
      </c>
      <c r="D1620" t="s">
        <v>562</v>
      </c>
      <c r="E1620" t="s">
        <v>4153</v>
      </c>
      <c r="F1620" t="s">
        <v>562</v>
      </c>
      <c r="G1620" t="s">
        <v>562</v>
      </c>
      <c r="H1620" t="s">
        <v>562</v>
      </c>
      <c r="I1620">
        <v>4139</v>
      </c>
      <c r="J1620" t="s">
        <v>564</v>
      </c>
      <c r="K1620" s="698">
        <v>45957.481249999997</v>
      </c>
      <c r="L1620" s="698">
        <v>45957.481249999997</v>
      </c>
      <c r="M1620" t="s">
        <v>565</v>
      </c>
      <c r="N1620" t="s">
        <v>565</v>
      </c>
      <c r="O1620" t="s">
        <v>566</v>
      </c>
      <c r="P1620" t="s">
        <v>567</v>
      </c>
      <c r="S1620" t="s">
        <v>567</v>
      </c>
      <c r="T1620" t="s">
        <v>567</v>
      </c>
      <c r="Z1620" t="s">
        <v>568</v>
      </c>
      <c r="AA1620" t="s">
        <v>568</v>
      </c>
    </row>
    <row r="1621" spans="1:27">
      <c r="A1621" t="s">
        <v>4140</v>
      </c>
      <c r="B1621" t="s">
        <v>4145</v>
      </c>
      <c r="C1621" t="s">
        <v>4146</v>
      </c>
      <c r="D1621" t="s">
        <v>562</v>
      </c>
      <c r="E1621" t="s">
        <v>4154</v>
      </c>
      <c r="F1621" t="s">
        <v>562</v>
      </c>
      <c r="G1621" t="s">
        <v>562</v>
      </c>
      <c r="H1621" t="s">
        <v>562</v>
      </c>
      <c r="I1621">
        <v>4142</v>
      </c>
      <c r="J1621" t="s">
        <v>564</v>
      </c>
      <c r="K1621" s="698">
        <v>45957.481249999997</v>
      </c>
      <c r="L1621" s="698">
        <v>45957.481249999997</v>
      </c>
      <c r="M1621" t="s">
        <v>565</v>
      </c>
      <c r="N1621" t="s">
        <v>565</v>
      </c>
      <c r="O1621" t="s">
        <v>566</v>
      </c>
      <c r="P1621" t="s">
        <v>567</v>
      </c>
      <c r="S1621" t="s">
        <v>567</v>
      </c>
      <c r="T1621" t="s">
        <v>567</v>
      </c>
      <c r="Z1621" t="s">
        <v>568</v>
      </c>
      <c r="AA1621" t="s">
        <v>568</v>
      </c>
    </row>
    <row r="1622" spans="1:27">
      <c r="A1622" t="s">
        <v>4140</v>
      </c>
      <c r="B1622" t="s">
        <v>4145</v>
      </c>
      <c r="C1622" t="s">
        <v>4146</v>
      </c>
      <c r="D1622" t="s">
        <v>562</v>
      </c>
      <c r="E1622" t="s">
        <v>4155</v>
      </c>
      <c r="F1622" t="s">
        <v>562</v>
      </c>
      <c r="G1622" t="s">
        <v>562</v>
      </c>
      <c r="H1622" t="s">
        <v>562</v>
      </c>
      <c r="I1622">
        <v>4143</v>
      </c>
      <c r="J1622" t="s">
        <v>564</v>
      </c>
      <c r="K1622" s="698">
        <v>45957.481944444444</v>
      </c>
      <c r="L1622" s="698">
        <v>45957.481944444444</v>
      </c>
      <c r="M1622" t="s">
        <v>565</v>
      </c>
      <c r="N1622" t="s">
        <v>565</v>
      </c>
      <c r="O1622" t="s">
        <v>566</v>
      </c>
      <c r="P1622" t="s">
        <v>567</v>
      </c>
      <c r="S1622" t="s">
        <v>567</v>
      </c>
      <c r="T1622" t="s">
        <v>567</v>
      </c>
      <c r="Z1622" t="s">
        <v>568</v>
      </c>
      <c r="AA1622" t="s">
        <v>568</v>
      </c>
    </row>
    <row r="1623" spans="1:27">
      <c r="A1623" t="s">
        <v>4140</v>
      </c>
      <c r="B1623" t="s">
        <v>4145</v>
      </c>
      <c r="C1623" t="s">
        <v>4146</v>
      </c>
      <c r="D1623" t="s">
        <v>562</v>
      </c>
      <c r="E1623" t="s">
        <v>4156</v>
      </c>
      <c r="F1623" t="s">
        <v>562</v>
      </c>
      <c r="G1623" t="s">
        <v>562</v>
      </c>
      <c r="H1623" t="s">
        <v>562</v>
      </c>
      <c r="I1623">
        <v>4144</v>
      </c>
      <c r="J1623" t="s">
        <v>564</v>
      </c>
      <c r="K1623" s="698">
        <v>45957.481944444444</v>
      </c>
      <c r="L1623" s="698">
        <v>45957.481944444444</v>
      </c>
      <c r="M1623" t="s">
        <v>565</v>
      </c>
      <c r="N1623" t="s">
        <v>565</v>
      </c>
      <c r="O1623" t="s">
        <v>566</v>
      </c>
      <c r="P1623" t="s">
        <v>567</v>
      </c>
      <c r="S1623" t="s">
        <v>567</v>
      </c>
      <c r="T1623" t="s">
        <v>567</v>
      </c>
      <c r="Z1623" t="s">
        <v>568</v>
      </c>
      <c r="AA1623" t="s">
        <v>568</v>
      </c>
    </row>
    <row r="1624" spans="1:27">
      <c r="A1624" t="s">
        <v>4140</v>
      </c>
      <c r="B1624" t="s">
        <v>4145</v>
      </c>
      <c r="C1624" t="s">
        <v>4146</v>
      </c>
      <c r="D1624" t="s">
        <v>562</v>
      </c>
      <c r="E1624" t="s">
        <v>4157</v>
      </c>
      <c r="F1624" t="s">
        <v>562</v>
      </c>
      <c r="G1624" t="s">
        <v>562</v>
      </c>
      <c r="H1624" t="s">
        <v>562</v>
      </c>
      <c r="I1624">
        <v>4146</v>
      </c>
      <c r="J1624" t="s">
        <v>564</v>
      </c>
      <c r="K1624" s="698">
        <v>45957.481944444444</v>
      </c>
      <c r="L1624" s="698">
        <v>45957.481944444444</v>
      </c>
      <c r="M1624" t="s">
        <v>565</v>
      </c>
      <c r="N1624" t="s">
        <v>565</v>
      </c>
      <c r="O1624" t="s">
        <v>566</v>
      </c>
      <c r="P1624" t="s">
        <v>567</v>
      </c>
      <c r="S1624" t="s">
        <v>567</v>
      </c>
      <c r="T1624" t="s">
        <v>567</v>
      </c>
      <c r="Z1624" t="s">
        <v>568</v>
      </c>
      <c r="AA1624" t="s">
        <v>568</v>
      </c>
    </row>
    <row r="1625" spans="1:27">
      <c r="A1625" t="s">
        <v>4140</v>
      </c>
      <c r="B1625" t="s">
        <v>4145</v>
      </c>
      <c r="C1625" t="s">
        <v>4146</v>
      </c>
      <c r="D1625" t="s">
        <v>562</v>
      </c>
      <c r="E1625" t="s">
        <v>4158</v>
      </c>
      <c r="F1625" t="s">
        <v>562</v>
      </c>
      <c r="G1625" t="s">
        <v>562</v>
      </c>
      <c r="H1625" t="s">
        <v>562</v>
      </c>
      <c r="I1625">
        <v>4148</v>
      </c>
      <c r="J1625" t="s">
        <v>564</v>
      </c>
      <c r="K1625" s="698">
        <v>45957.481944444444</v>
      </c>
      <c r="L1625" s="698">
        <v>45957.481944444444</v>
      </c>
      <c r="M1625" t="s">
        <v>565</v>
      </c>
      <c r="N1625" t="s">
        <v>565</v>
      </c>
      <c r="O1625" t="s">
        <v>566</v>
      </c>
      <c r="P1625" t="s">
        <v>567</v>
      </c>
      <c r="S1625" t="s">
        <v>567</v>
      </c>
      <c r="T1625" t="s">
        <v>567</v>
      </c>
      <c r="Z1625" t="s">
        <v>568</v>
      </c>
      <c r="AA1625" t="s">
        <v>568</v>
      </c>
    </row>
    <row r="1626" spans="1:27">
      <c r="A1626" t="s">
        <v>4140</v>
      </c>
      <c r="B1626" t="s">
        <v>4159</v>
      </c>
      <c r="C1626" t="s">
        <v>4160</v>
      </c>
      <c r="D1626" t="s">
        <v>562</v>
      </c>
      <c r="E1626" t="s">
        <v>4161</v>
      </c>
      <c r="F1626" t="s">
        <v>562</v>
      </c>
      <c r="G1626" t="s">
        <v>562</v>
      </c>
      <c r="H1626" t="s">
        <v>562</v>
      </c>
      <c r="I1626">
        <v>4149</v>
      </c>
      <c r="J1626" t="s">
        <v>564</v>
      </c>
      <c r="K1626" s="698">
        <v>45957.481944444444</v>
      </c>
      <c r="L1626" s="698">
        <v>45957.481944444444</v>
      </c>
      <c r="M1626" t="s">
        <v>565</v>
      </c>
      <c r="N1626" t="s">
        <v>565</v>
      </c>
      <c r="O1626" t="s">
        <v>566</v>
      </c>
      <c r="P1626" t="s">
        <v>567</v>
      </c>
      <c r="S1626" t="s">
        <v>567</v>
      </c>
      <c r="T1626" t="s">
        <v>567</v>
      </c>
      <c r="Z1626" t="s">
        <v>568</v>
      </c>
      <c r="AA1626" t="s">
        <v>568</v>
      </c>
    </row>
    <row r="1627" spans="1:27">
      <c r="A1627" t="s">
        <v>4140</v>
      </c>
      <c r="B1627" t="s">
        <v>4145</v>
      </c>
      <c r="C1627" t="s">
        <v>4146</v>
      </c>
      <c r="D1627" t="s">
        <v>562</v>
      </c>
      <c r="E1627" t="s">
        <v>4162</v>
      </c>
      <c r="F1627" t="s">
        <v>562</v>
      </c>
      <c r="G1627" t="s">
        <v>562</v>
      </c>
      <c r="H1627" t="s">
        <v>562</v>
      </c>
      <c r="I1627">
        <v>4152</v>
      </c>
      <c r="J1627" t="s">
        <v>564</v>
      </c>
      <c r="K1627" s="698">
        <v>45957.482638888891</v>
      </c>
      <c r="L1627" s="698">
        <v>45957.482638888891</v>
      </c>
      <c r="M1627" t="s">
        <v>565</v>
      </c>
      <c r="N1627" t="s">
        <v>565</v>
      </c>
      <c r="O1627" t="s">
        <v>566</v>
      </c>
      <c r="P1627" t="s">
        <v>567</v>
      </c>
      <c r="S1627" t="s">
        <v>567</v>
      </c>
      <c r="T1627" t="s">
        <v>567</v>
      </c>
      <c r="Z1627" t="s">
        <v>568</v>
      </c>
      <c r="AA1627" t="s">
        <v>568</v>
      </c>
    </row>
    <row r="1628" spans="1:27">
      <c r="A1628" t="s">
        <v>4140</v>
      </c>
      <c r="B1628" t="s">
        <v>4145</v>
      </c>
      <c r="C1628" t="s">
        <v>4146</v>
      </c>
      <c r="D1628" t="s">
        <v>562</v>
      </c>
      <c r="E1628" t="s">
        <v>4163</v>
      </c>
      <c r="F1628" t="s">
        <v>562</v>
      </c>
      <c r="G1628" t="s">
        <v>562</v>
      </c>
      <c r="H1628" t="s">
        <v>562</v>
      </c>
      <c r="I1628">
        <v>4153</v>
      </c>
      <c r="J1628" t="s">
        <v>564</v>
      </c>
      <c r="K1628" s="698">
        <v>45957.482638888891</v>
      </c>
      <c r="L1628" s="698">
        <v>45957.482638888891</v>
      </c>
      <c r="M1628" t="s">
        <v>565</v>
      </c>
      <c r="N1628" t="s">
        <v>565</v>
      </c>
      <c r="O1628" t="s">
        <v>566</v>
      </c>
      <c r="P1628" t="s">
        <v>567</v>
      </c>
      <c r="S1628" t="s">
        <v>567</v>
      </c>
      <c r="T1628" t="s">
        <v>567</v>
      </c>
      <c r="Z1628" t="s">
        <v>568</v>
      </c>
      <c r="AA1628" t="s">
        <v>568</v>
      </c>
    </row>
    <row r="1629" spans="1:27">
      <c r="A1629" t="s">
        <v>4140</v>
      </c>
      <c r="B1629" t="s">
        <v>4145</v>
      </c>
      <c r="C1629" t="s">
        <v>4146</v>
      </c>
      <c r="D1629" t="s">
        <v>562</v>
      </c>
      <c r="E1629" t="s">
        <v>4164</v>
      </c>
      <c r="F1629" t="s">
        <v>562</v>
      </c>
      <c r="G1629" t="s">
        <v>562</v>
      </c>
      <c r="H1629" t="s">
        <v>562</v>
      </c>
      <c r="I1629">
        <v>4158</v>
      </c>
      <c r="J1629" t="s">
        <v>564</v>
      </c>
      <c r="K1629" s="698">
        <v>45957.48333333333</v>
      </c>
      <c r="L1629" s="698">
        <v>45957.48333333333</v>
      </c>
      <c r="M1629" t="s">
        <v>565</v>
      </c>
      <c r="N1629" t="s">
        <v>565</v>
      </c>
      <c r="O1629" t="s">
        <v>566</v>
      </c>
      <c r="P1629" t="s">
        <v>567</v>
      </c>
      <c r="S1629" t="s">
        <v>567</v>
      </c>
      <c r="T1629" t="s">
        <v>567</v>
      </c>
      <c r="Z1629" t="s">
        <v>568</v>
      </c>
      <c r="AA1629" t="s">
        <v>568</v>
      </c>
    </row>
    <row r="1630" spans="1:27">
      <c r="A1630" t="s">
        <v>4140</v>
      </c>
      <c r="B1630" t="s">
        <v>4141</v>
      </c>
      <c r="C1630" t="s">
        <v>4142</v>
      </c>
      <c r="D1630" t="s">
        <v>562</v>
      </c>
      <c r="E1630" t="s">
        <v>4165</v>
      </c>
      <c r="F1630" t="s">
        <v>562</v>
      </c>
      <c r="G1630" t="s">
        <v>562</v>
      </c>
      <c r="H1630" t="s">
        <v>562</v>
      </c>
      <c r="I1630">
        <v>4163</v>
      </c>
      <c r="J1630" t="s">
        <v>564</v>
      </c>
      <c r="K1630" s="698">
        <v>45957.484027777777</v>
      </c>
      <c r="L1630" s="698">
        <v>45957.484027777777</v>
      </c>
      <c r="M1630" t="s">
        <v>565</v>
      </c>
      <c r="N1630" t="s">
        <v>565</v>
      </c>
      <c r="O1630" t="s">
        <v>566</v>
      </c>
      <c r="P1630" t="s">
        <v>567</v>
      </c>
      <c r="S1630" t="s">
        <v>567</v>
      </c>
      <c r="T1630" t="s">
        <v>567</v>
      </c>
      <c r="Z1630" t="s">
        <v>568</v>
      </c>
      <c r="AA1630" t="s">
        <v>568</v>
      </c>
    </row>
    <row r="1631" spans="1:27">
      <c r="A1631" t="s">
        <v>4140</v>
      </c>
      <c r="B1631" t="s">
        <v>4145</v>
      </c>
      <c r="C1631" t="s">
        <v>4146</v>
      </c>
      <c r="D1631" t="s">
        <v>562</v>
      </c>
      <c r="E1631" t="s">
        <v>4166</v>
      </c>
      <c r="F1631" t="s">
        <v>562</v>
      </c>
      <c r="G1631" t="s">
        <v>562</v>
      </c>
      <c r="H1631" t="s">
        <v>562</v>
      </c>
      <c r="I1631">
        <v>4164</v>
      </c>
      <c r="J1631" t="s">
        <v>564</v>
      </c>
      <c r="K1631" s="698">
        <v>45957.484027777777</v>
      </c>
      <c r="L1631" s="698">
        <v>45957.484027777777</v>
      </c>
      <c r="M1631" t="s">
        <v>565</v>
      </c>
      <c r="N1631" t="s">
        <v>565</v>
      </c>
      <c r="O1631" t="s">
        <v>566</v>
      </c>
      <c r="P1631" t="s">
        <v>567</v>
      </c>
      <c r="S1631" t="s">
        <v>567</v>
      </c>
      <c r="T1631" t="s">
        <v>567</v>
      </c>
      <c r="Z1631" t="s">
        <v>568</v>
      </c>
      <c r="AA1631" t="s">
        <v>568</v>
      </c>
    </row>
    <row r="1632" spans="1:27">
      <c r="A1632" t="s">
        <v>4140</v>
      </c>
      <c r="B1632" t="s">
        <v>4145</v>
      </c>
      <c r="C1632" t="s">
        <v>4146</v>
      </c>
      <c r="D1632" t="s">
        <v>562</v>
      </c>
      <c r="E1632" t="s">
        <v>4167</v>
      </c>
      <c r="F1632" t="s">
        <v>562</v>
      </c>
      <c r="G1632" t="s">
        <v>562</v>
      </c>
      <c r="H1632" t="s">
        <v>562</v>
      </c>
      <c r="I1632">
        <v>4167</v>
      </c>
      <c r="J1632" t="s">
        <v>564</v>
      </c>
      <c r="K1632" s="698">
        <v>45957.484722222223</v>
      </c>
      <c r="L1632" s="698">
        <v>45957.484722222223</v>
      </c>
      <c r="M1632" t="s">
        <v>565</v>
      </c>
      <c r="N1632" t="s">
        <v>565</v>
      </c>
      <c r="O1632" t="s">
        <v>566</v>
      </c>
      <c r="P1632" t="s">
        <v>567</v>
      </c>
      <c r="S1632" t="s">
        <v>567</v>
      </c>
      <c r="T1632" t="s">
        <v>567</v>
      </c>
      <c r="Z1632" t="s">
        <v>568</v>
      </c>
      <c r="AA1632" t="s">
        <v>568</v>
      </c>
    </row>
    <row r="1633" spans="1:27">
      <c r="A1633" t="s">
        <v>4140</v>
      </c>
      <c r="B1633" t="s">
        <v>4145</v>
      </c>
      <c r="C1633" t="s">
        <v>4146</v>
      </c>
      <c r="D1633" t="s">
        <v>562</v>
      </c>
      <c r="E1633" t="s">
        <v>4168</v>
      </c>
      <c r="F1633" t="s">
        <v>562</v>
      </c>
      <c r="G1633" t="s">
        <v>562</v>
      </c>
      <c r="H1633" t="s">
        <v>562</v>
      </c>
      <c r="I1633">
        <v>4173</v>
      </c>
      <c r="J1633" t="s">
        <v>564</v>
      </c>
      <c r="K1633" s="698">
        <v>45957.48541666667</v>
      </c>
      <c r="L1633" s="698">
        <v>45957.48541666667</v>
      </c>
      <c r="M1633" t="s">
        <v>565</v>
      </c>
      <c r="N1633" t="s">
        <v>565</v>
      </c>
      <c r="O1633" t="s">
        <v>566</v>
      </c>
      <c r="P1633" t="s">
        <v>567</v>
      </c>
      <c r="S1633" t="s">
        <v>567</v>
      </c>
      <c r="T1633" t="s">
        <v>567</v>
      </c>
      <c r="Z1633" t="s">
        <v>568</v>
      </c>
      <c r="AA1633" t="s">
        <v>568</v>
      </c>
    </row>
    <row r="1634" spans="1:27">
      <c r="A1634" t="s">
        <v>4140</v>
      </c>
      <c r="B1634" t="s">
        <v>4145</v>
      </c>
      <c r="C1634" t="s">
        <v>4146</v>
      </c>
      <c r="D1634" t="s">
        <v>562</v>
      </c>
      <c r="E1634" t="s">
        <v>4169</v>
      </c>
      <c r="F1634" t="s">
        <v>562</v>
      </c>
      <c r="G1634" t="s">
        <v>562</v>
      </c>
      <c r="H1634" t="s">
        <v>562</v>
      </c>
      <c r="I1634">
        <v>4174</v>
      </c>
      <c r="J1634" t="s">
        <v>564</v>
      </c>
      <c r="K1634" s="698">
        <v>45957.48541666667</v>
      </c>
      <c r="L1634" s="698">
        <v>45957.48541666667</v>
      </c>
      <c r="M1634" t="s">
        <v>565</v>
      </c>
      <c r="N1634" t="s">
        <v>565</v>
      </c>
      <c r="O1634" t="s">
        <v>566</v>
      </c>
      <c r="P1634" t="s">
        <v>567</v>
      </c>
      <c r="S1634" t="s">
        <v>567</v>
      </c>
      <c r="T1634" t="s">
        <v>567</v>
      </c>
      <c r="Z1634" t="s">
        <v>568</v>
      </c>
      <c r="AA1634" t="s">
        <v>568</v>
      </c>
    </row>
    <row r="1635" spans="1:27">
      <c r="A1635" t="s">
        <v>4140</v>
      </c>
      <c r="B1635" t="s">
        <v>4145</v>
      </c>
      <c r="C1635" t="s">
        <v>4146</v>
      </c>
      <c r="D1635" t="s">
        <v>562</v>
      </c>
      <c r="E1635" t="s">
        <v>4170</v>
      </c>
      <c r="F1635" t="s">
        <v>562</v>
      </c>
      <c r="G1635" t="s">
        <v>562</v>
      </c>
      <c r="H1635" t="s">
        <v>562</v>
      </c>
      <c r="I1635">
        <v>4175</v>
      </c>
      <c r="J1635" t="s">
        <v>564</v>
      </c>
      <c r="K1635" s="698">
        <v>45957.48541666667</v>
      </c>
      <c r="L1635" s="698">
        <v>45957.48541666667</v>
      </c>
      <c r="M1635" t="s">
        <v>565</v>
      </c>
      <c r="N1635" t="s">
        <v>565</v>
      </c>
      <c r="O1635" t="s">
        <v>566</v>
      </c>
      <c r="P1635" t="s">
        <v>567</v>
      </c>
      <c r="S1635" t="s">
        <v>567</v>
      </c>
      <c r="T1635" t="s">
        <v>567</v>
      </c>
      <c r="Z1635" t="s">
        <v>568</v>
      </c>
      <c r="AA1635" t="s">
        <v>568</v>
      </c>
    </row>
    <row r="1636" spans="1:27">
      <c r="A1636" t="s">
        <v>4140</v>
      </c>
      <c r="B1636" t="s">
        <v>4145</v>
      </c>
      <c r="C1636" t="s">
        <v>4146</v>
      </c>
      <c r="D1636" t="s">
        <v>562</v>
      </c>
      <c r="E1636" t="s">
        <v>4171</v>
      </c>
      <c r="F1636" t="s">
        <v>562</v>
      </c>
      <c r="G1636" t="s">
        <v>562</v>
      </c>
      <c r="H1636" t="s">
        <v>562</v>
      </c>
      <c r="I1636">
        <v>4176</v>
      </c>
      <c r="J1636" t="s">
        <v>564</v>
      </c>
      <c r="K1636" s="698">
        <v>45957.48541666667</v>
      </c>
      <c r="L1636" s="698">
        <v>45957.48541666667</v>
      </c>
      <c r="M1636" t="s">
        <v>565</v>
      </c>
      <c r="N1636" t="s">
        <v>565</v>
      </c>
      <c r="O1636" t="s">
        <v>566</v>
      </c>
      <c r="P1636" t="s">
        <v>567</v>
      </c>
      <c r="S1636" t="s">
        <v>567</v>
      </c>
      <c r="T1636" t="s">
        <v>567</v>
      </c>
      <c r="Z1636" t="s">
        <v>568</v>
      </c>
      <c r="AA1636" t="s">
        <v>568</v>
      </c>
    </row>
    <row r="1637" spans="1:27">
      <c r="A1637" t="s">
        <v>4140</v>
      </c>
      <c r="B1637" t="s">
        <v>4145</v>
      </c>
      <c r="C1637" t="s">
        <v>4146</v>
      </c>
      <c r="D1637" t="s">
        <v>562</v>
      </c>
      <c r="E1637" t="s">
        <v>4172</v>
      </c>
      <c r="F1637" t="s">
        <v>562</v>
      </c>
      <c r="G1637" t="s">
        <v>562</v>
      </c>
      <c r="H1637" t="s">
        <v>562</v>
      </c>
      <c r="I1637">
        <v>4177</v>
      </c>
      <c r="J1637" t="s">
        <v>564</v>
      </c>
      <c r="K1637" s="698">
        <v>45957.486111111109</v>
      </c>
      <c r="L1637" s="698">
        <v>45957.486111111109</v>
      </c>
      <c r="M1637" t="s">
        <v>565</v>
      </c>
      <c r="N1637" t="s">
        <v>565</v>
      </c>
      <c r="O1637" t="s">
        <v>566</v>
      </c>
      <c r="P1637" t="s">
        <v>567</v>
      </c>
      <c r="S1637" t="s">
        <v>567</v>
      </c>
      <c r="T1637" t="s">
        <v>567</v>
      </c>
      <c r="Z1637" t="s">
        <v>568</v>
      </c>
      <c r="AA1637" t="s">
        <v>568</v>
      </c>
    </row>
    <row r="1638" spans="1:27">
      <c r="A1638" t="s">
        <v>4140</v>
      </c>
      <c r="B1638" t="s">
        <v>4145</v>
      </c>
      <c r="C1638" t="s">
        <v>4146</v>
      </c>
      <c r="D1638" t="s">
        <v>562</v>
      </c>
      <c r="E1638" t="s">
        <v>4173</v>
      </c>
      <c r="F1638" t="s">
        <v>562</v>
      </c>
      <c r="G1638" t="s">
        <v>562</v>
      </c>
      <c r="H1638" t="s">
        <v>562</v>
      </c>
      <c r="I1638">
        <v>4178</v>
      </c>
      <c r="J1638" t="s">
        <v>564</v>
      </c>
      <c r="K1638" s="698">
        <v>45957.486111111109</v>
      </c>
      <c r="L1638" s="698">
        <v>45957.486111111109</v>
      </c>
      <c r="M1638" t="s">
        <v>565</v>
      </c>
      <c r="N1638" t="s">
        <v>565</v>
      </c>
      <c r="O1638" t="s">
        <v>566</v>
      </c>
      <c r="P1638" t="s">
        <v>567</v>
      </c>
      <c r="S1638" t="s">
        <v>567</v>
      </c>
      <c r="T1638" t="s">
        <v>567</v>
      </c>
      <c r="Z1638" t="s">
        <v>568</v>
      </c>
      <c r="AA1638" t="s">
        <v>568</v>
      </c>
    </row>
    <row r="1639" spans="1:27">
      <c r="A1639" t="s">
        <v>4140</v>
      </c>
      <c r="B1639" t="s">
        <v>4145</v>
      </c>
      <c r="C1639" t="s">
        <v>4146</v>
      </c>
      <c r="D1639" t="s">
        <v>562</v>
      </c>
      <c r="E1639" t="s">
        <v>4174</v>
      </c>
      <c r="F1639" t="s">
        <v>562</v>
      </c>
      <c r="G1639" t="s">
        <v>562</v>
      </c>
      <c r="H1639" t="s">
        <v>562</v>
      </c>
      <c r="I1639">
        <v>4180</v>
      </c>
      <c r="J1639" t="s">
        <v>564</v>
      </c>
      <c r="K1639" s="698">
        <v>45957.486111111109</v>
      </c>
      <c r="L1639" s="698">
        <v>45957.486111111109</v>
      </c>
      <c r="M1639" t="s">
        <v>565</v>
      </c>
      <c r="N1639" t="s">
        <v>565</v>
      </c>
      <c r="O1639" t="s">
        <v>566</v>
      </c>
      <c r="P1639" t="s">
        <v>567</v>
      </c>
      <c r="S1639" t="s">
        <v>567</v>
      </c>
      <c r="T1639" t="s">
        <v>567</v>
      </c>
      <c r="Z1639" t="s">
        <v>568</v>
      </c>
      <c r="AA1639" t="s">
        <v>568</v>
      </c>
    </row>
    <row r="1640" spans="1:27">
      <c r="A1640" t="s">
        <v>4140</v>
      </c>
      <c r="B1640" t="s">
        <v>4145</v>
      </c>
      <c r="C1640" t="s">
        <v>4146</v>
      </c>
      <c r="D1640" t="s">
        <v>562</v>
      </c>
      <c r="E1640" t="s">
        <v>4175</v>
      </c>
      <c r="F1640" t="s">
        <v>562</v>
      </c>
      <c r="G1640" t="s">
        <v>562</v>
      </c>
      <c r="H1640" t="s">
        <v>562</v>
      </c>
      <c r="I1640">
        <v>4181</v>
      </c>
      <c r="J1640" t="s">
        <v>564</v>
      </c>
      <c r="K1640" s="698">
        <v>45957.486111111109</v>
      </c>
      <c r="L1640" s="698">
        <v>45957.486111111109</v>
      </c>
      <c r="M1640" t="s">
        <v>565</v>
      </c>
      <c r="N1640" t="s">
        <v>565</v>
      </c>
      <c r="O1640" t="s">
        <v>566</v>
      </c>
      <c r="P1640" t="s">
        <v>567</v>
      </c>
      <c r="S1640" t="s">
        <v>567</v>
      </c>
      <c r="T1640" t="s">
        <v>567</v>
      </c>
      <c r="Z1640" t="s">
        <v>568</v>
      </c>
      <c r="AA1640" t="s">
        <v>568</v>
      </c>
    </row>
    <row r="1641" spans="1:27">
      <c r="A1641" t="s">
        <v>4140</v>
      </c>
      <c r="B1641" t="s">
        <v>4145</v>
      </c>
      <c r="C1641" t="s">
        <v>4146</v>
      </c>
      <c r="D1641" t="s">
        <v>562</v>
      </c>
      <c r="E1641" t="s">
        <v>4176</v>
      </c>
      <c r="F1641" t="s">
        <v>562</v>
      </c>
      <c r="G1641" t="s">
        <v>562</v>
      </c>
      <c r="H1641" t="s">
        <v>562</v>
      </c>
      <c r="I1641">
        <v>4182</v>
      </c>
      <c r="J1641" t="s">
        <v>564</v>
      </c>
      <c r="K1641" s="698">
        <v>45957.486111111109</v>
      </c>
      <c r="L1641" s="698">
        <v>45957.486111111109</v>
      </c>
      <c r="M1641" t="s">
        <v>565</v>
      </c>
      <c r="N1641" t="s">
        <v>565</v>
      </c>
      <c r="O1641" t="s">
        <v>566</v>
      </c>
      <c r="P1641" t="s">
        <v>567</v>
      </c>
      <c r="S1641" t="s">
        <v>567</v>
      </c>
      <c r="T1641" t="s">
        <v>567</v>
      </c>
      <c r="Z1641" t="s">
        <v>568</v>
      </c>
      <c r="AA1641" t="s">
        <v>568</v>
      </c>
    </row>
    <row r="1642" spans="1:27">
      <c r="A1642" t="s">
        <v>4140</v>
      </c>
      <c r="B1642" t="s">
        <v>4145</v>
      </c>
      <c r="C1642" t="s">
        <v>4146</v>
      </c>
      <c r="D1642" t="s">
        <v>562</v>
      </c>
      <c r="E1642" t="s">
        <v>4177</v>
      </c>
      <c r="F1642" t="s">
        <v>562</v>
      </c>
      <c r="G1642" t="s">
        <v>562</v>
      </c>
      <c r="H1642" t="s">
        <v>562</v>
      </c>
      <c r="I1642">
        <v>4183</v>
      </c>
      <c r="J1642" t="s">
        <v>564</v>
      </c>
      <c r="K1642" s="698">
        <v>45957.486805555556</v>
      </c>
      <c r="L1642" s="698">
        <v>45957.486805555556</v>
      </c>
      <c r="M1642" t="s">
        <v>565</v>
      </c>
      <c r="N1642" t="s">
        <v>565</v>
      </c>
      <c r="O1642" t="s">
        <v>566</v>
      </c>
      <c r="P1642" t="s">
        <v>567</v>
      </c>
      <c r="S1642" t="s">
        <v>567</v>
      </c>
      <c r="T1642" t="s">
        <v>567</v>
      </c>
      <c r="Z1642" t="s">
        <v>568</v>
      </c>
      <c r="AA1642" t="s">
        <v>568</v>
      </c>
    </row>
    <row r="1643" spans="1:27">
      <c r="A1643" t="s">
        <v>4140</v>
      </c>
      <c r="B1643" t="s">
        <v>4145</v>
      </c>
      <c r="C1643" t="s">
        <v>4146</v>
      </c>
      <c r="D1643" t="s">
        <v>562</v>
      </c>
      <c r="E1643" t="s">
        <v>4178</v>
      </c>
      <c r="F1643" t="s">
        <v>562</v>
      </c>
      <c r="G1643" t="s">
        <v>562</v>
      </c>
      <c r="H1643" t="s">
        <v>562</v>
      </c>
      <c r="I1643">
        <v>4187</v>
      </c>
      <c r="J1643" t="s">
        <v>564</v>
      </c>
      <c r="K1643" s="698">
        <v>45957.486805555556</v>
      </c>
      <c r="L1643" s="698">
        <v>45957.486805555556</v>
      </c>
      <c r="M1643" t="s">
        <v>565</v>
      </c>
      <c r="N1643" t="s">
        <v>565</v>
      </c>
      <c r="O1643" t="s">
        <v>566</v>
      </c>
      <c r="P1643" t="s">
        <v>567</v>
      </c>
      <c r="S1643" t="s">
        <v>567</v>
      </c>
      <c r="T1643" t="s">
        <v>567</v>
      </c>
      <c r="Z1643" t="s">
        <v>568</v>
      </c>
      <c r="AA1643" t="s">
        <v>568</v>
      </c>
    </row>
    <row r="1644" spans="1:27">
      <c r="A1644" t="s">
        <v>4140</v>
      </c>
      <c r="B1644" t="s">
        <v>4145</v>
      </c>
      <c r="C1644" t="s">
        <v>4146</v>
      </c>
      <c r="D1644" t="s">
        <v>562</v>
      </c>
      <c r="E1644" t="s">
        <v>4179</v>
      </c>
      <c r="F1644" t="s">
        <v>562</v>
      </c>
      <c r="G1644" t="s">
        <v>562</v>
      </c>
      <c r="H1644" t="s">
        <v>562</v>
      </c>
      <c r="I1644">
        <v>4188</v>
      </c>
      <c r="J1644" t="s">
        <v>564</v>
      </c>
      <c r="K1644" s="698">
        <v>45957.486805555556</v>
      </c>
      <c r="L1644" s="698">
        <v>45957.486805555556</v>
      </c>
      <c r="M1644" t="s">
        <v>565</v>
      </c>
      <c r="N1644" t="s">
        <v>565</v>
      </c>
      <c r="O1644" t="s">
        <v>566</v>
      </c>
      <c r="P1644" t="s">
        <v>567</v>
      </c>
      <c r="S1644" t="s">
        <v>567</v>
      </c>
      <c r="T1644" t="s">
        <v>567</v>
      </c>
      <c r="Z1644" t="s">
        <v>568</v>
      </c>
      <c r="AA1644" t="s">
        <v>568</v>
      </c>
    </row>
    <row r="1645" spans="1:27">
      <c r="A1645" t="s">
        <v>4140</v>
      </c>
      <c r="B1645" t="s">
        <v>4180</v>
      </c>
      <c r="C1645" t="s">
        <v>4181</v>
      </c>
      <c r="D1645" t="s">
        <v>562</v>
      </c>
      <c r="E1645" t="s">
        <v>4182</v>
      </c>
      <c r="F1645" t="s">
        <v>562</v>
      </c>
      <c r="G1645" t="s">
        <v>562</v>
      </c>
      <c r="H1645" t="s">
        <v>562</v>
      </c>
      <c r="I1645">
        <v>4191</v>
      </c>
      <c r="J1645" t="s">
        <v>564</v>
      </c>
      <c r="K1645" s="698">
        <v>45957.487500000003</v>
      </c>
      <c r="L1645" s="698">
        <v>45957.487500000003</v>
      </c>
      <c r="M1645" t="s">
        <v>565</v>
      </c>
      <c r="N1645" t="s">
        <v>565</v>
      </c>
      <c r="O1645" t="s">
        <v>566</v>
      </c>
      <c r="P1645" t="s">
        <v>567</v>
      </c>
      <c r="S1645" t="s">
        <v>567</v>
      </c>
      <c r="T1645" t="s">
        <v>567</v>
      </c>
      <c r="Z1645" t="s">
        <v>568</v>
      </c>
      <c r="AA1645" t="s">
        <v>568</v>
      </c>
    </row>
    <row r="1646" spans="1:27">
      <c r="A1646" t="s">
        <v>4140</v>
      </c>
      <c r="B1646" t="s">
        <v>847</v>
      </c>
      <c r="C1646" t="s">
        <v>4183</v>
      </c>
      <c r="D1646" t="s">
        <v>562</v>
      </c>
      <c r="E1646" t="s">
        <v>4184</v>
      </c>
      <c r="F1646" t="s">
        <v>562</v>
      </c>
      <c r="G1646" t="s">
        <v>562</v>
      </c>
      <c r="H1646" t="s">
        <v>562</v>
      </c>
      <c r="I1646">
        <v>4774</v>
      </c>
      <c r="J1646" t="s">
        <v>564</v>
      </c>
      <c r="K1646" s="698">
        <v>45957.551388888889</v>
      </c>
      <c r="L1646" s="698">
        <v>45957.551388888889</v>
      </c>
      <c r="M1646" t="s">
        <v>565</v>
      </c>
      <c r="N1646" t="s">
        <v>565</v>
      </c>
      <c r="O1646" t="s">
        <v>566</v>
      </c>
      <c r="P1646" t="s">
        <v>567</v>
      </c>
      <c r="S1646" t="s">
        <v>567</v>
      </c>
      <c r="T1646" t="s">
        <v>567</v>
      </c>
      <c r="Z1646" t="s">
        <v>568</v>
      </c>
      <c r="AA1646" t="s">
        <v>568</v>
      </c>
    </row>
    <row r="1647" spans="1:27">
      <c r="A1647" t="s">
        <v>4185</v>
      </c>
      <c r="B1647" t="s">
        <v>4186</v>
      </c>
      <c r="C1647" t="s">
        <v>4187</v>
      </c>
      <c r="D1647" t="s">
        <v>4188</v>
      </c>
      <c r="E1647" t="s">
        <v>4189</v>
      </c>
      <c r="F1647" t="s">
        <v>562</v>
      </c>
      <c r="G1647" t="s">
        <v>562</v>
      </c>
      <c r="H1647" t="s">
        <v>562</v>
      </c>
      <c r="I1647">
        <v>4246</v>
      </c>
      <c r="J1647" t="s">
        <v>564</v>
      </c>
      <c r="K1647" s="698">
        <v>45957.494444444441</v>
      </c>
      <c r="L1647" s="698">
        <v>45957.494444444441</v>
      </c>
      <c r="M1647" t="s">
        <v>565</v>
      </c>
      <c r="N1647" t="s">
        <v>565</v>
      </c>
      <c r="O1647" t="s">
        <v>566</v>
      </c>
      <c r="P1647" t="s">
        <v>567</v>
      </c>
      <c r="S1647" t="s">
        <v>567</v>
      </c>
      <c r="T1647" t="s">
        <v>567</v>
      </c>
      <c r="Z1647" t="s">
        <v>568</v>
      </c>
      <c r="AA1647" t="s">
        <v>568</v>
      </c>
    </row>
    <row r="1648" spans="1:27">
      <c r="A1648" t="s">
        <v>4190</v>
      </c>
      <c r="B1648" t="s">
        <v>4191</v>
      </c>
      <c r="C1648" t="s">
        <v>4192</v>
      </c>
      <c r="D1648" t="s">
        <v>4193</v>
      </c>
      <c r="E1648" t="s">
        <v>4194</v>
      </c>
      <c r="F1648" t="s">
        <v>562</v>
      </c>
      <c r="G1648" t="s">
        <v>562</v>
      </c>
      <c r="H1648" t="s">
        <v>562</v>
      </c>
      <c r="I1648">
        <v>4202</v>
      </c>
      <c r="J1648" t="s">
        <v>564</v>
      </c>
      <c r="K1648" s="698">
        <v>45957.488888888889</v>
      </c>
      <c r="L1648" s="698">
        <v>45957.488888888889</v>
      </c>
      <c r="M1648" t="s">
        <v>565</v>
      </c>
      <c r="N1648" t="s">
        <v>565</v>
      </c>
      <c r="O1648" t="s">
        <v>566</v>
      </c>
      <c r="P1648" t="s">
        <v>567</v>
      </c>
      <c r="S1648" t="s">
        <v>567</v>
      </c>
      <c r="T1648" t="s">
        <v>567</v>
      </c>
      <c r="Z1648" t="s">
        <v>568</v>
      </c>
      <c r="AA1648" t="s">
        <v>568</v>
      </c>
    </row>
    <row r="1649" spans="1:27">
      <c r="A1649" t="s">
        <v>4190</v>
      </c>
      <c r="B1649" t="s">
        <v>4191</v>
      </c>
      <c r="C1649" t="s">
        <v>4192</v>
      </c>
      <c r="D1649" t="s">
        <v>4193</v>
      </c>
      <c r="E1649" t="s">
        <v>4195</v>
      </c>
      <c r="F1649" t="s">
        <v>562</v>
      </c>
      <c r="G1649" t="s">
        <v>562</v>
      </c>
      <c r="H1649" t="s">
        <v>562</v>
      </c>
      <c r="I1649">
        <v>4222</v>
      </c>
      <c r="J1649" t="s">
        <v>564</v>
      </c>
      <c r="K1649" s="698">
        <v>45957.491666666669</v>
      </c>
      <c r="L1649" s="698">
        <v>45957.491666666669</v>
      </c>
      <c r="M1649" t="s">
        <v>565</v>
      </c>
      <c r="N1649" t="s">
        <v>565</v>
      </c>
      <c r="O1649" t="s">
        <v>566</v>
      </c>
      <c r="P1649" t="s">
        <v>567</v>
      </c>
      <c r="S1649" t="s">
        <v>567</v>
      </c>
      <c r="T1649" t="s">
        <v>567</v>
      </c>
      <c r="Z1649" t="s">
        <v>568</v>
      </c>
      <c r="AA1649" t="s">
        <v>568</v>
      </c>
    </row>
    <row r="1650" spans="1:27">
      <c r="A1650" t="s">
        <v>4190</v>
      </c>
      <c r="B1650" t="s">
        <v>4191</v>
      </c>
      <c r="C1650" t="s">
        <v>4192</v>
      </c>
      <c r="D1650" t="s">
        <v>4193</v>
      </c>
      <c r="E1650" t="s">
        <v>4196</v>
      </c>
      <c r="F1650" t="s">
        <v>562</v>
      </c>
      <c r="G1650" t="s">
        <v>562</v>
      </c>
      <c r="H1650" t="s">
        <v>562</v>
      </c>
      <c r="I1650">
        <v>4233</v>
      </c>
      <c r="J1650" t="s">
        <v>564</v>
      </c>
      <c r="K1650" s="698">
        <v>45957.493055555555</v>
      </c>
      <c r="L1650" s="698">
        <v>45957.493055555555</v>
      </c>
      <c r="M1650" t="s">
        <v>565</v>
      </c>
      <c r="N1650" t="s">
        <v>565</v>
      </c>
      <c r="O1650" t="s">
        <v>566</v>
      </c>
      <c r="P1650" t="s">
        <v>567</v>
      </c>
      <c r="S1650" t="s">
        <v>567</v>
      </c>
      <c r="T1650" t="s">
        <v>567</v>
      </c>
      <c r="Z1650" t="s">
        <v>568</v>
      </c>
      <c r="AA1650" t="s">
        <v>568</v>
      </c>
    </row>
    <row r="1651" spans="1:27">
      <c r="A1651" t="s">
        <v>4190</v>
      </c>
      <c r="B1651" t="s">
        <v>4191</v>
      </c>
      <c r="C1651" t="s">
        <v>4192</v>
      </c>
      <c r="D1651" t="s">
        <v>4193</v>
      </c>
      <c r="E1651" t="s">
        <v>4197</v>
      </c>
      <c r="F1651" t="s">
        <v>562</v>
      </c>
      <c r="G1651" t="s">
        <v>562</v>
      </c>
      <c r="H1651" t="s">
        <v>562</v>
      </c>
      <c r="I1651">
        <v>4241</v>
      </c>
      <c r="J1651" t="s">
        <v>564</v>
      </c>
      <c r="K1651" s="698">
        <v>45957.493750000001</v>
      </c>
      <c r="L1651" s="698">
        <v>45957.493750000001</v>
      </c>
      <c r="M1651" t="s">
        <v>565</v>
      </c>
      <c r="N1651" t="s">
        <v>565</v>
      </c>
      <c r="O1651" t="s">
        <v>566</v>
      </c>
      <c r="P1651" t="s">
        <v>567</v>
      </c>
      <c r="S1651" t="s">
        <v>567</v>
      </c>
      <c r="T1651" t="s">
        <v>567</v>
      </c>
      <c r="Z1651" t="s">
        <v>568</v>
      </c>
      <c r="AA1651" t="s">
        <v>568</v>
      </c>
    </row>
    <row r="1652" spans="1:27">
      <c r="A1652" t="s">
        <v>4190</v>
      </c>
      <c r="B1652" t="s">
        <v>562</v>
      </c>
      <c r="C1652" t="s">
        <v>4192</v>
      </c>
      <c r="D1652" t="s">
        <v>4193</v>
      </c>
      <c r="E1652" t="s">
        <v>4198</v>
      </c>
      <c r="F1652" t="s">
        <v>562</v>
      </c>
      <c r="G1652" t="s">
        <v>562</v>
      </c>
      <c r="H1652" t="s">
        <v>562</v>
      </c>
      <c r="I1652">
        <v>4242</v>
      </c>
      <c r="J1652" t="s">
        <v>564</v>
      </c>
      <c r="K1652" s="698">
        <v>45957.493750000001</v>
      </c>
      <c r="L1652" s="698">
        <v>45957.493750000001</v>
      </c>
      <c r="M1652" t="s">
        <v>565</v>
      </c>
      <c r="N1652" t="s">
        <v>565</v>
      </c>
      <c r="O1652" t="s">
        <v>566</v>
      </c>
      <c r="P1652" t="s">
        <v>567</v>
      </c>
      <c r="S1652" t="s">
        <v>567</v>
      </c>
      <c r="T1652" t="s">
        <v>567</v>
      </c>
      <c r="Z1652" t="s">
        <v>568</v>
      </c>
      <c r="AA1652" t="s">
        <v>568</v>
      </c>
    </row>
    <row r="1653" spans="1:27">
      <c r="A1653" t="s">
        <v>4190</v>
      </c>
      <c r="B1653" t="s">
        <v>4191</v>
      </c>
      <c r="C1653" t="s">
        <v>4192</v>
      </c>
      <c r="D1653" t="s">
        <v>4193</v>
      </c>
      <c r="E1653" t="s">
        <v>4199</v>
      </c>
      <c r="F1653" t="s">
        <v>562</v>
      </c>
      <c r="G1653" t="s">
        <v>562</v>
      </c>
      <c r="H1653" t="s">
        <v>562</v>
      </c>
      <c r="I1653">
        <v>4243</v>
      </c>
      <c r="J1653" t="s">
        <v>564</v>
      </c>
      <c r="K1653" s="698">
        <v>45957.493750000001</v>
      </c>
      <c r="L1653" s="698">
        <v>45957.493750000001</v>
      </c>
      <c r="M1653" t="s">
        <v>565</v>
      </c>
      <c r="N1653" t="s">
        <v>565</v>
      </c>
      <c r="O1653" t="s">
        <v>566</v>
      </c>
      <c r="P1653" t="s">
        <v>567</v>
      </c>
      <c r="S1653" t="s">
        <v>567</v>
      </c>
      <c r="T1653" t="s">
        <v>567</v>
      </c>
      <c r="Z1653" t="s">
        <v>568</v>
      </c>
      <c r="AA1653" t="s">
        <v>568</v>
      </c>
    </row>
    <row r="1654" spans="1:27">
      <c r="A1654" t="s">
        <v>4200</v>
      </c>
      <c r="B1654" t="s">
        <v>4201</v>
      </c>
      <c r="C1654" t="s">
        <v>4202</v>
      </c>
      <c r="D1654" t="s">
        <v>562</v>
      </c>
      <c r="E1654" t="s">
        <v>4203</v>
      </c>
      <c r="F1654" t="s">
        <v>562</v>
      </c>
      <c r="G1654" t="s">
        <v>562</v>
      </c>
      <c r="H1654" t="s">
        <v>562</v>
      </c>
      <c r="I1654">
        <v>4985</v>
      </c>
      <c r="J1654" t="s">
        <v>564</v>
      </c>
      <c r="K1654" s="698">
        <v>45957.557638888888</v>
      </c>
      <c r="L1654" s="698">
        <v>45957.557638888888</v>
      </c>
      <c r="M1654" t="s">
        <v>565</v>
      </c>
      <c r="N1654" t="s">
        <v>565</v>
      </c>
      <c r="O1654" t="s">
        <v>566</v>
      </c>
      <c r="P1654" t="s">
        <v>567</v>
      </c>
      <c r="S1654" t="s">
        <v>567</v>
      </c>
      <c r="T1654" t="s">
        <v>567</v>
      </c>
      <c r="Z1654" t="s">
        <v>568</v>
      </c>
      <c r="AA1654" t="s">
        <v>568</v>
      </c>
    </row>
    <row r="1655" spans="1:27">
      <c r="A1655" t="s">
        <v>4204</v>
      </c>
      <c r="B1655" t="s">
        <v>562</v>
      </c>
      <c r="C1655" t="s">
        <v>4205</v>
      </c>
      <c r="D1655" t="s">
        <v>4206</v>
      </c>
      <c r="E1655" t="s">
        <v>4207</v>
      </c>
      <c r="F1655" t="s">
        <v>562</v>
      </c>
      <c r="G1655" t="s">
        <v>562</v>
      </c>
      <c r="H1655" t="s">
        <v>562</v>
      </c>
      <c r="I1655">
        <v>3574</v>
      </c>
      <c r="J1655" t="s">
        <v>564</v>
      </c>
      <c r="K1655" s="698">
        <v>45957.417361111111</v>
      </c>
      <c r="L1655" s="698">
        <v>45957.417361111111</v>
      </c>
      <c r="M1655" t="s">
        <v>565</v>
      </c>
      <c r="N1655" t="s">
        <v>565</v>
      </c>
      <c r="O1655" t="s">
        <v>566</v>
      </c>
      <c r="P1655" t="s">
        <v>567</v>
      </c>
      <c r="S1655" t="s">
        <v>567</v>
      </c>
      <c r="T1655" t="s">
        <v>567</v>
      </c>
      <c r="Z1655" t="s">
        <v>568</v>
      </c>
      <c r="AA1655" t="s">
        <v>568</v>
      </c>
    </row>
    <row r="1656" spans="1:27">
      <c r="A1656" t="s">
        <v>4208</v>
      </c>
      <c r="B1656" t="s">
        <v>4209</v>
      </c>
      <c r="C1656" t="s">
        <v>4210</v>
      </c>
      <c r="D1656" t="s">
        <v>4211</v>
      </c>
      <c r="E1656" t="s">
        <v>4212</v>
      </c>
      <c r="F1656" t="s">
        <v>562</v>
      </c>
      <c r="G1656" t="s">
        <v>562</v>
      </c>
      <c r="H1656" t="s">
        <v>562</v>
      </c>
      <c r="I1656">
        <v>3883</v>
      </c>
      <c r="J1656" t="s">
        <v>564</v>
      </c>
      <c r="K1656" s="698">
        <v>45957.450694444444</v>
      </c>
      <c r="L1656" s="698">
        <v>45957.450694444444</v>
      </c>
      <c r="M1656" t="s">
        <v>565</v>
      </c>
      <c r="N1656" t="s">
        <v>565</v>
      </c>
      <c r="O1656" t="s">
        <v>566</v>
      </c>
      <c r="P1656" t="s">
        <v>567</v>
      </c>
      <c r="S1656" t="s">
        <v>567</v>
      </c>
      <c r="T1656" t="s">
        <v>567</v>
      </c>
      <c r="Z1656" t="s">
        <v>568</v>
      </c>
      <c r="AA1656" t="s">
        <v>568</v>
      </c>
    </row>
    <row r="1657" spans="1:27">
      <c r="A1657" t="s">
        <v>4208</v>
      </c>
      <c r="B1657" t="s">
        <v>562</v>
      </c>
      <c r="C1657" t="s">
        <v>562</v>
      </c>
      <c r="D1657" t="s">
        <v>4211</v>
      </c>
      <c r="E1657" t="s">
        <v>4213</v>
      </c>
      <c r="F1657" t="s">
        <v>562</v>
      </c>
      <c r="G1657" t="s">
        <v>562</v>
      </c>
      <c r="H1657" t="s">
        <v>562</v>
      </c>
      <c r="I1657">
        <v>4108</v>
      </c>
      <c r="J1657" t="s">
        <v>564</v>
      </c>
      <c r="K1657" s="698">
        <v>45957.477083333331</v>
      </c>
      <c r="L1657" s="698">
        <v>45957.477083333331</v>
      </c>
      <c r="M1657" t="s">
        <v>565</v>
      </c>
      <c r="N1657" t="s">
        <v>565</v>
      </c>
      <c r="O1657" t="s">
        <v>566</v>
      </c>
      <c r="P1657" t="s">
        <v>567</v>
      </c>
      <c r="S1657" t="s">
        <v>567</v>
      </c>
      <c r="T1657" t="s">
        <v>567</v>
      </c>
      <c r="Z1657" t="s">
        <v>568</v>
      </c>
      <c r="AA1657" t="s">
        <v>568</v>
      </c>
    </row>
    <row r="1658" spans="1:27">
      <c r="A1658" t="s">
        <v>4208</v>
      </c>
      <c r="B1658" t="s">
        <v>562</v>
      </c>
      <c r="C1658" t="s">
        <v>562</v>
      </c>
      <c r="D1658" t="s">
        <v>4211</v>
      </c>
      <c r="E1658" t="s">
        <v>4214</v>
      </c>
      <c r="F1658" t="s">
        <v>562</v>
      </c>
      <c r="G1658" t="s">
        <v>562</v>
      </c>
      <c r="H1658" t="s">
        <v>562</v>
      </c>
      <c r="I1658">
        <v>4458</v>
      </c>
      <c r="J1658" t="s">
        <v>564</v>
      </c>
      <c r="K1658" s="698">
        <v>45957.521527777775</v>
      </c>
      <c r="L1658" s="698">
        <v>45957.521527777775</v>
      </c>
      <c r="M1658" t="s">
        <v>565</v>
      </c>
      <c r="N1658" t="s">
        <v>565</v>
      </c>
      <c r="O1658" t="s">
        <v>566</v>
      </c>
      <c r="P1658" t="s">
        <v>567</v>
      </c>
      <c r="S1658" t="s">
        <v>567</v>
      </c>
      <c r="T1658" t="s">
        <v>567</v>
      </c>
      <c r="Z1658" t="s">
        <v>568</v>
      </c>
      <c r="AA1658" t="s">
        <v>568</v>
      </c>
    </row>
    <row r="1659" spans="1:27">
      <c r="A1659" t="s">
        <v>4208</v>
      </c>
      <c r="B1659" t="s">
        <v>562</v>
      </c>
      <c r="C1659" t="s">
        <v>562</v>
      </c>
      <c r="D1659" t="s">
        <v>4211</v>
      </c>
      <c r="E1659" t="s">
        <v>4215</v>
      </c>
      <c r="F1659" t="s">
        <v>562</v>
      </c>
      <c r="G1659" t="s">
        <v>562</v>
      </c>
      <c r="H1659" t="s">
        <v>562</v>
      </c>
      <c r="I1659">
        <v>4578</v>
      </c>
      <c r="J1659" t="s">
        <v>564</v>
      </c>
      <c r="K1659" s="698">
        <v>45957.536111111112</v>
      </c>
      <c r="L1659" s="698">
        <v>45957.536111111112</v>
      </c>
      <c r="M1659" t="s">
        <v>565</v>
      </c>
      <c r="N1659" t="s">
        <v>565</v>
      </c>
      <c r="O1659" t="s">
        <v>566</v>
      </c>
      <c r="P1659" t="s">
        <v>567</v>
      </c>
      <c r="S1659" t="s">
        <v>567</v>
      </c>
      <c r="T1659" t="s">
        <v>567</v>
      </c>
      <c r="Z1659" t="s">
        <v>568</v>
      </c>
      <c r="AA1659" t="s">
        <v>568</v>
      </c>
    </row>
    <row r="1660" spans="1:27">
      <c r="A1660" t="s">
        <v>4216</v>
      </c>
      <c r="B1660" t="s">
        <v>4217</v>
      </c>
      <c r="C1660" t="s">
        <v>562</v>
      </c>
      <c r="D1660" t="s">
        <v>562</v>
      </c>
      <c r="E1660" t="s">
        <v>4218</v>
      </c>
      <c r="F1660" t="s">
        <v>562</v>
      </c>
      <c r="G1660" t="s">
        <v>562</v>
      </c>
      <c r="H1660" t="s">
        <v>562</v>
      </c>
      <c r="I1660">
        <v>4943</v>
      </c>
      <c r="J1660" t="s">
        <v>564</v>
      </c>
      <c r="K1660" s="698">
        <v>45957.556944444441</v>
      </c>
      <c r="L1660" s="698">
        <v>45957.556944444441</v>
      </c>
      <c r="M1660" t="s">
        <v>565</v>
      </c>
      <c r="N1660" t="s">
        <v>565</v>
      </c>
      <c r="O1660" t="s">
        <v>566</v>
      </c>
      <c r="P1660" t="s">
        <v>567</v>
      </c>
      <c r="S1660" t="s">
        <v>567</v>
      </c>
      <c r="T1660" t="s">
        <v>567</v>
      </c>
      <c r="Z1660" t="s">
        <v>568</v>
      </c>
      <c r="AA1660" t="s">
        <v>568</v>
      </c>
    </row>
    <row r="1661" spans="1:27">
      <c r="A1661" t="s">
        <v>4216</v>
      </c>
      <c r="B1661" t="s">
        <v>4217</v>
      </c>
      <c r="C1661" t="s">
        <v>562</v>
      </c>
      <c r="D1661" t="s">
        <v>562</v>
      </c>
      <c r="E1661" t="s">
        <v>4219</v>
      </c>
      <c r="F1661" t="s">
        <v>562</v>
      </c>
      <c r="G1661" t="s">
        <v>562</v>
      </c>
      <c r="H1661" t="s">
        <v>562</v>
      </c>
      <c r="I1661">
        <v>4944</v>
      </c>
      <c r="J1661" t="s">
        <v>564</v>
      </c>
      <c r="K1661" s="698">
        <v>45957.556944444441</v>
      </c>
      <c r="L1661" s="698">
        <v>45957.556944444441</v>
      </c>
      <c r="M1661" t="s">
        <v>565</v>
      </c>
      <c r="N1661" t="s">
        <v>565</v>
      </c>
      <c r="O1661" t="s">
        <v>566</v>
      </c>
      <c r="P1661" t="s">
        <v>567</v>
      </c>
      <c r="S1661" t="s">
        <v>567</v>
      </c>
      <c r="T1661" t="s">
        <v>567</v>
      </c>
      <c r="Z1661" t="s">
        <v>568</v>
      </c>
      <c r="AA1661" t="s">
        <v>568</v>
      </c>
    </row>
    <row r="1662" spans="1:27">
      <c r="A1662" t="s">
        <v>4220</v>
      </c>
      <c r="B1662" t="s">
        <v>4221</v>
      </c>
      <c r="C1662" t="s">
        <v>4222</v>
      </c>
      <c r="D1662" t="s">
        <v>4223</v>
      </c>
      <c r="E1662" t="s">
        <v>4224</v>
      </c>
      <c r="F1662" t="s">
        <v>562</v>
      </c>
      <c r="G1662" t="s">
        <v>562</v>
      </c>
      <c r="H1662" t="s">
        <v>562</v>
      </c>
      <c r="I1662">
        <v>4115</v>
      </c>
      <c r="J1662" t="s">
        <v>564</v>
      </c>
      <c r="K1662" s="698">
        <v>45957.478472222225</v>
      </c>
      <c r="L1662" s="698">
        <v>45957.478472222225</v>
      </c>
      <c r="M1662" t="s">
        <v>565</v>
      </c>
      <c r="N1662" t="s">
        <v>565</v>
      </c>
      <c r="O1662" t="s">
        <v>566</v>
      </c>
      <c r="P1662" t="s">
        <v>567</v>
      </c>
      <c r="S1662" t="s">
        <v>567</v>
      </c>
      <c r="T1662" t="s">
        <v>567</v>
      </c>
      <c r="Z1662" t="s">
        <v>568</v>
      </c>
      <c r="AA1662" t="s">
        <v>568</v>
      </c>
    </row>
    <row r="1663" spans="1:27">
      <c r="A1663" t="s">
        <v>4225</v>
      </c>
      <c r="B1663" t="s">
        <v>4226</v>
      </c>
      <c r="C1663" t="s">
        <v>4227</v>
      </c>
      <c r="D1663" t="s">
        <v>562</v>
      </c>
      <c r="E1663" t="s">
        <v>4228</v>
      </c>
      <c r="F1663" t="s">
        <v>562</v>
      </c>
      <c r="G1663" t="s">
        <v>562</v>
      </c>
      <c r="H1663" t="s">
        <v>562</v>
      </c>
      <c r="I1663">
        <v>4651</v>
      </c>
      <c r="J1663" t="s">
        <v>564</v>
      </c>
      <c r="K1663" s="698">
        <v>45957.54791666667</v>
      </c>
      <c r="L1663" s="698">
        <v>45957.54791666667</v>
      </c>
      <c r="M1663" t="s">
        <v>565</v>
      </c>
      <c r="N1663" t="s">
        <v>565</v>
      </c>
      <c r="O1663" t="s">
        <v>566</v>
      </c>
      <c r="P1663" t="s">
        <v>567</v>
      </c>
      <c r="S1663" t="s">
        <v>567</v>
      </c>
      <c r="T1663" t="s">
        <v>567</v>
      </c>
      <c r="Z1663" t="s">
        <v>568</v>
      </c>
      <c r="AA1663" t="s">
        <v>568</v>
      </c>
    </row>
    <row r="1664" spans="1:27">
      <c r="A1664" t="s">
        <v>4229</v>
      </c>
      <c r="B1664" t="s">
        <v>4230</v>
      </c>
      <c r="C1664" t="s">
        <v>4004</v>
      </c>
      <c r="D1664" t="s">
        <v>562</v>
      </c>
      <c r="E1664" t="s">
        <v>4231</v>
      </c>
      <c r="F1664" t="s">
        <v>562</v>
      </c>
      <c r="G1664" t="s">
        <v>562</v>
      </c>
      <c r="H1664" t="s">
        <v>562</v>
      </c>
      <c r="I1664">
        <v>5025</v>
      </c>
      <c r="J1664" t="s">
        <v>564</v>
      </c>
      <c r="K1664" s="698">
        <v>45957.559027777781</v>
      </c>
      <c r="L1664" s="698">
        <v>45957.559027777781</v>
      </c>
      <c r="M1664" t="s">
        <v>565</v>
      </c>
      <c r="N1664" t="s">
        <v>565</v>
      </c>
      <c r="O1664" t="s">
        <v>566</v>
      </c>
      <c r="P1664" t="s">
        <v>567</v>
      </c>
      <c r="S1664" t="s">
        <v>567</v>
      </c>
      <c r="T1664" t="s">
        <v>567</v>
      </c>
      <c r="Z1664" t="s">
        <v>568</v>
      </c>
      <c r="AA1664" t="s">
        <v>568</v>
      </c>
    </row>
    <row r="1665" spans="1:27">
      <c r="A1665" t="s">
        <v>4232</v>
      </c>
      <c r="B1665" t="s">
        <v>562</v>
      </c>
      <c r="C1665" t="s">
        <v>562</v>
      </c>
      <c r="D1665" t="s">
        <v>4233</v>
      </c>
      <c r="E1665" t="s">
        <v>4234</v>
      </c>
      <c r="F1665" t="s">
        <v>562</v>
      </c>
      <c r="G1665" t="s">
        <v>562</v>
      </c>
      <c r="H1665" t="s">
        <v>562</v>
      </c>
      <c r="I1665">
        <v>4962</v>
      </c>
      <c r="J1665" t="s">
        <v>564</v>
      </c>
      <c r="K1665" s="698">
        <v>45957.556944444441</v>
      </c>
      <c r="L1665" s="698">
        <v>45957.556944444441</v>
      </c>
      <c r="M1665" t="s">
        <v>565</v>
      </c>
      <c r="N1665" t="s">
        <v>565</v>
      </c>
      <c r="O1665" t="s">
        <v>566</v>
      </c>
      <c r="P1665" t="s">
        <v>567</v>
      </c>
      <c r="S1665" t="s">
        <v>567</v>
      </c>
      <c r="T1665" t="s">
        <v>567</v>
      </c>
      <c r="Z1665" t="s">
        <v>568</v>
      </c>
      <c r="AA1665" t="s">
        <v>568</v>
      </c>
    </row>
    <row r="1666" spans="1:27">
      <c r="A1666" t="s">
        <v>4235</v>
      </c>
      <c r="B1666" t="s">
        <v>1123</v>
      </c>
      <c r="C1666" t="s">
        <v>4236</v>
      </c>
      <c r="D1666" t="s">
        <v>4237</v>
      </c>
      <c r="E1666" t="s">
        <v>4238</v>
      </c>
      <c r="F1666" t="s">
        <v>562</v>
      </c>
      <c r="G1666" t="s">
        <v>562</v>
      </c>
      <c r="H1666" t="s">
        <v>562</v>
      </c>
      <c r="I1666">
        <v>4998</v>
      </c>
      <c r="J1666" t="s">
        <v>564</v>
      </c>
      <c r="K1666" s="698">
        <v>45957.558333333334</v>
      </c>
      <c r="L1666" s="698">
        <v>45957.558333333334</v>
      </c>
      <c r="M1666" t="s">
        <v>565</v>
      </c>
      <c r="N1666" t="s">
        <v>565</v>
      </c>
      <c r="O1666" t="s">
        <v>566</v>
      </c>
      <c r="P1666" t="s">
        <v>567</v>
      </c>
      <c r="S1666" t="s">
        <v>567</v>
      </c>
      <c r="T1666" t="s">
        <v>567</v>
      </c>
      <c r="Z1666" t="s">
        <v>568</v>
      </c>
      <c r="AA1666" t="s">
        <v>568</v>
      </c>
    </row>
    <row r="1667" spans="1:27">
      <c r="A1667" t="s">
        <v>4239</v>
      </c>
      <c r="B1667" t="s">
        <v>4240</v>
      </c>
      <c r="C1667" t="s">
        <v>4241</v>
      </c>
      <c r="D1667" t="s">
        <v>562</v>
      </c>
      <c r="E1667" t="s">
        <v>4242</v>
      </c>
      <c r="F1667" t="s">
        <v>562</v>
      </c>
      <c r="G1667" t="s">
        <v>562</v>
      </c>
      <c r="H1667" t="s">
        <v>562</v>
      </c>
      <c r="I1667">
        <v>3719</v>
      </c>
      <c r="J1667" t="s">
        <v>564</v>
      </c>
      <c r="K1667" s="698">
        <v>45957.433333333334</v>
      </c>
      <c r="L1667" s="698">
        <v>45957.433333333334</v>
      </c>
      <c r="M1667" t="s">
        <v>565</v>
      </c>
      <c r="N1667" t="s">
        <v>565</v>
      </c>
      <c r="O1667" t="s">
        <v>566</v>
      </c>
      <c r="P1667" t="s">
        <v>567</v>
      </c>
      <c r="S1667" t="s">
        <v>567</v>
      </c>
      <c r="T1667" t="s">
        <v>567</v>
      </c>
      <c r="Z1667" t="s">
        <v>568</v>
      </c>
      <c r="AA1667" t="s">
        <v>568</v>
      </c>
    </row>
    <row r="1668" spans="1:27">
      <c r="A1668" t="s">
        <v>4243</v>
      </c>
      <c r="B1668" t="s">
        <v>4244</v>
      </c>
      <c r="C1668" t="s">
        <v>4245</v>
      </c>
      <c r="D1668" t="s">
        <v>562</v>
      </c>
      <c r="E1668" t="s">
        <v>4246</v>
      </c>
      <c r="F1668" t="s">
        <v>562</v>
      </c>
      <c r="G1668" t="s">
        <v>562</v>
      </c>
      <c r="H1668" t="s">
        <v>562</v>
      </c>
      <c r="I1668">
        <v>4097</v>
      </c>
      <c r="J1668" t="s">
        <v>564</v>
      </c>
      <c r="K1668" s="698">
        <v>45957.475694444445</v>
      </c>
      <c r="L1668" s="698">
        <v>45957.475694444445</v>
      </c>
      <c r="M1668" t="s">
        <v>565</v>
      </c>
      <c r="N1668" t="s">
        <v>565</v>
      </c>
      <c r="O1668" t="s">
        <v>566</v>
      </c>
      <c r="P1668" t="s">
        <v>567</v>
      </c>
      <c r="S1668" t="s">
        <v>567</v>
      </c>
      <c r="T1668" t="s">
        <v>567</v>
      </c>
      <c r="Z1668" t="s">
        <v>568</v>
      </c>
      <c r="AA1668" t="s">
        <v>568</v>
      </c>
    </row>
    <row r="1669" spans="1:27">
      <c r="A1669" t="s">
        <v>4247</v>
      </c>
      <c r="B1669" t="s">
        <v>1278</v>
      </c>
      <c r="C1669" t="s">
        <v>562</v>
      </c>
      <c r="D1669" t="s">
        <v>562</v>
      </c>
      <c r="E1669" t="s">
        <v>2745</v>
      </c>
      <c r="F1669" t="s">
        <v>562</v>
      </c>
      <c r="G1669" t="s">
        <v>562</v>
      </c>
      <c r="H1669" t="s">
        <v>562</v>
      </c>
      <c r="I1669">
        <v>3634</v>
      </c>
      <c r="J1669" t="s">
        <v>564</v>
      </c>
      <c r="K1669" s="698">
        <v>45957.423611111109</v>
      </c>
      <c r="L1669" s="698">
        <v>45957.423611111109</v>
      </c>
      <c r="M1669" t="s">
        <v>565</v>
      </c>
      <c r="N1669" t="s">
        <v>565</v>
      </c>
      <c r="O1669" t="s">
        <v>566</v>
      </c>
      <c r="P1669" t="s">
        <v>567</v>
      </c>
      <c r="S1669" t="s">
        <v>567</v>
      </c>
      <c r="T1669" t="s">
        <v>567</v>
      </c>
      <c r="Z1669" t="s">
        <v>568</v>
      </c>
      <c r="AA1669" t="s">
        <v>568</v>
      </c>
    </row>
    <row r="1670" spans="1:27">
      <c r="A1670" t="s">
        <v>4248</v>
      </c>
      <c r="B1670" t="s">
        <v>4249</v>
      </c>
      <c r="C1670" t="s">
        <v>4250</v>
      </c>
      <c r="D1670" t="s">
        <v>562</v>
      </c>
      <c r="E1670" t="s">
        <v>4251</v>
      </c>
      <c r="F1670" t="s">
        <v>562</v>
      </c>
      <c r="G1670" t="s">
        <v>562</v>
      </c>
      <c r="H1670" t="s">
        <v>562</v>
      </c>
      <c r="I1670">
        <v>4225</v>
      </c>
      <c r="J1670" t="s">
        <v>564</v>
      </c>
      <c r="K1670" s="698">
        <v>45957.491666666669</v>
      </c>
      <c r="L1670" s="698">
        <v>45957.491666666669</v>
      </c>
      <c r="M1670" t="s">
        <v>565</v>
      </c>
      <c r="N1670" t="s">
        <v>565</v>
      </c>
      <c r="O1670" t="s">
        <v>566</v>
      </c>
      <c r="P1670" t="s">
        <v>567</v>
      </c>
      <c r="S1670" t="s">
        <v>567</v>
      </c>
      <c r="T1670" t="s">
        <v>567</v>
      </c>
      <c r="Z1670" t="s">
        <v>568</v>
      </c>
      <c r="AA1670" t="s">
        <v>568</v>
      </c>
    </row>
    <row r="1671" spans="1:27">
      <c r="A1671" t="s">
        <v>4252</v>
      </c>
      <c r="B1671" t="s">
        <v>4253</v>
      </c>
      <c r="C1671" t="s">
        <v>4254</v>
      </c>
      <c r="D1671" t="s">
        <v>562</v>
      </c>
      <c r="E1671" t="s">
        <v>4255</v>
      </c>
      <c r="F1671" t="s">
        <v>562</v>
      </c>
      <c r="G1671" t="s">
        <v>562</v>
      </c>
      <c r="H1671" t="s">
        <v>562</v>
      </c>
      <c r="I1671">
        <v>4902</v>
      </c>
      <c r="J1671" t="s">
        <v>564</v>
      </c>
      <c r="K1671" s="698">
        <v>45957.555555555555</v>
      </c>
      <c r="L1671" s="698">
        <v>45957.555555555555</v>
      </c>
      <c r="M1671" t="s">
        <v>565</v>
      </c>
      <c r="N1671" t="s">
        <v>565</v>
      </c>
      <c r="O1671" t="s">
        <v>566</v>
      </c>
      <c r="P1671" t="s">
        <v>567</v>
      </c>
      <c r="S1671" t="s">
        <v>567</v>
      </c>
      <c r="T1671" t="s">
        <v>567</v>
      </c>
      <c r="Z1671" t="s">
        <v>568</v>
      </c>
      <c r="AA1671" t="s">
        <v>568</v>
      </c>
    </row>
    <row r="1672" spans="1:27">
      <c r="A1672" t="s">
        <v>4256</v>
      </c>
      <c r="B1672" t="s">
        <v>562</v>
      </c>
      <c r="C1672" t="s">
        <v>562</v>
      </c>
      <c r="D1672" t="s">
        <v>4257</v>
      </c>
      <c r="E1672" t="s">
        <v>4258</v>
      </c>
      <c r="F1672" t="s">
        <v>562</v>
      </c>
      <c r="G1672" t="s">
        <v>562</v>
      </c>
      <c r="H1672" t="s">
        <v>562</v>
      </c>
      <c r="I1672">
        <v>4147</v>
      </c>
      <c r="J1672" t="s">
        <v>564</v>
      </c>
      <c r="K1672" s="698">
        <v>45957.481944444444</v>
      </c>
      <c r="L1672" s="698">
        <v>45957.481944444444</v>
      </c>
      <c r="M1672" t="s">
        <v>565</v>
      </c>
      <c r="N1672" t="s">
        <v>565</v>
      </c>
      <c r="O1672" t="s">
        <v>566</v>
      </c>
      <c r="P1672" t="s">
        <v>567</v>
      </c>
      <c r="S1672" t="s">
        <v>567</v>
      </c>
      <c r="T1672" t="s">
        <v>567</v>
      </c>
      <c r="Z1672" t="s">
        <v>568</v>
      </c>
      <c r="AA1672" t="s">
        <v>568</v>
      </c>
    </row>
    <row r="1673" spans="1:27">
      <c r="A1673" t="s">
        <v>4256</v>
      </c>
      <c r="B1673" t="s">
        <v>562</v>
      </c>
      <c r="C1673" t="s">
        <v>562</v>
      </c>
      <c r="D1673" t="s">
        <v>4257</v>
      </c>
      <c r="E1673" t="s">
        <v>4259</v>
      </c>
      <c r="F1673" t="s">
        <v>562</v>
      </c>
      <c r="G1673" t="s">
        <v>562</v>
      </c>
      <c r="H1673" t="s">
        <v>562</v>
      </c>
      <c r="I1673">
        <v>4210</v>
      </c>
      <c r="J1673" t="s">
        <v>564</v>
      </c>
      <c r="K1673" s="698">
        <v>45957.489583333336</v>
      </c>
      <c r="L1673" s="698">
        <v>45957.489583333336</v>
      </c>
      <c r="M1673" t="s">
        <v>565</v>
      </c>
      <c r="N1673" t="s">
        <v>565</v>
      </c>
      <c r="O1673" t="s">
        <v>566</v>
      </c>
      <c r="P1673" t="s">
        <v>567</v>
      </c>
      <c r="S1673" t="s">
        <v>567</v>
      </c>
      <c r="T1673" t="s">
        <v>567</v>
      </c>
      <c r="Z1673" t="s">
        <v>568</v>
      </c>
      <c r="AA1673" t="s">
        <v>568</v>
      </c>
    </row>
    <row r="1674" spans="1:27">
      <c r="A1674" t="s">
        <v>4256</v>
      </c>
      <c r="B1674" t="s">
        <v>4260</v>
      </c>
      <c r="C1674" t="s">
        <v>4261</v>
      </c>
      <c r="D1674" t="s">
        <v>4257</v>
      </c>
      <c r="E1674" t="s">
        <v>4262</v>
      </c>
      <c r="F1674" t="s">
        <v>562</v>
      </c>
      <c r="G1674" t="s">
        <v>562</v>
      </c>
      <c r="H1674" t="s">
        <v>562</v>
      </c>
      <c r="I1674">
        <v>4933</v>
      </c>
      <c r="J1674" t="s">
        <v>564</v>
      </c>
      <c r="K1674" s="698">
        <v>45957.556250000001</v>
      </c>
      <c r="L1674" s="698">
        <v>45957.556250000001</v>
      </c>
      <c r="M1674" t="s">
        <v>565</v>
      </c>
      <c r="N1674" t="s">
        <v>565</v>
      </c>
      <c r="O1674" t="s">
        <v>566</v>
      </c>
      <c r="P1674" t="s">
        <v>567</v>
      </c>
      <c r="S1674" t="s">
        <v>567</v>
      </c>
      <c r="T1674" t="s">
        <v>567</v>
      </c>
      <c r="Z1674" t="s">
        <v>568</v>
      </c>
      <c r="AA1674" t="s">
        <v>568</v>
      </c>
    </row>
    <row r="1675" spans="1:27">
      <c r="A1675" t="s">
        <v>4263</v>
      </c>
      <c r="B1675" t="s">
        <v>975</v>
      </c>
      <c r="C1675" t="s">
        <v>976</v>
      </c>
      <c r="D1675" t="s">
        <v>977</v>
      </c>
      <c r="E1675" t="s">
        <v>812</v>
      </c>
      <c r="F1675" t="s">
        <v>562</v>
      </c>
      <c r="G1675" t="s">
        <v>562</v>
      </c>
      <c r="H1675" t="s">
        <v>562</v>
      </c>
      <c r="I1675">
        <v>4113</v>
      </c>
      <c r="J1675" t="s">
        <v>564</v>
      </c>
      <c r="K1675" s="698">
        <v>45957.477777777778</v>
      </c>
      <c r="L1675" s="698">
        <v>45957.477777777778</v>
      </c>
      <c r="M1675" t="s">
        <v>565</v>
      </c>
      <c r="N1675" t="s">
        <v>565</v>
      </c>
      <c r="O1675" t="s">
        <v>566</v>
      </c>
      <c r="P1675" t="s">
        <v>567</v>
      </c>
      <c r="S1675" t="s">
        <v>567</v>
      </c>
      <c r="T1675" t="s">
        <v>567</v>
      </c>
      <c r="Z1675" t="s">
        <v>568</v>
      </c>
      <c r="AA1675" t="s">
        <v>568</v>
      </c>
    </row>
    <row r="1676" spans="1:27">
      <c r="A1676" t="s">
        <v>4264</v>
      </c>
      <c r="B1676" t="s">
        <v>2610</v>
      </c>
      <c r="C1676" t="s">
        <v>4265</v>
      </c>
      <c r="D1676" t="s">
        <v>4266</v>
      </c>
      <c r="E1676" t="s">
        <v>4267</v>
      </c>
      <c r="F1676" t="s">
        <v>562</v>
      </c>
      <c r="G1676" t="s">
        <v>562</v>
      </c>
      <c r="H1676" t="s">
        <v>562</v>
      </c>
      <c r="I1676">
        <v>4951</v>
      </c>
      <c r="J1676" t="s">
        <v>564</v>
      </c>
      <c r="K1676" s="698">
        <v>45957.556944444441</v>
      </c>
      <c r="L1676" s="698">
        <v>45957.556944444441</v>
      </c>
      <c r="M1676" t="s">
        <v>565</v>
      </c>
      <c r="N1676" t="s">
        <v>565</v>
      </c>
      <c r="O1676" t="s">
        <v>566</v>
      </c>
      <c r="P1676" t="s">
        <v>567</v>
      </c>
      <c r="S1676" t="s">
        <v>567</v>
      </c>
      <c r="T1676" t="s">
        <v>567</v>
      </c>
      <c r="Z1676" t="s">
        <v>568</v>
      </c>
      <c r="AA1676" t="s">
        <v>568</v>
      </c>
    </row>
    <row r="1677" spans="1:27">
      <c r="A1677" t="s">
        <v>4268</v>
      </c>
      <c r="B1677" t="s">
        <v>562</v>
      </c>
      <c r="C1677" t="s">
        <v>562</v>
      </c>
      <c r="D1677" t="s">
        <v>4269</v>
      </c>
      <c r="E1677" t="s">
        <v>4270</v>
      </c>
      <c r="F1677" t="s">
        <v>562</v>
      </c>
      <c r="G1677" t="s">
        <v>562</v>
      </c>
      <c r="H1677" t="s">
        <v>562</v>
      </c>
      <c r="I1677">
        <v>3668</v>
      </c>
      <c r="J1677" t="s">
        <v>564</v>
      </c>
      <c r="K1677" s="698">
        <v>45957.427777777775</v>
      </c>
      <c r="L1677" s="698">
        <v>45957.427777777775</v>
      </c>
      <c r="M1677" t="s">
        <v>565</v>
      </c>
      <c r="N1677" t="s">
        <v>565</v>
      </c>
      <c r="O1677" t="s">
        <v>566</v>
      </c>
      <c r="P1677" t="s">
        <v>567</v>
      </c>
      <c r="S1677" t="s">
        <v>567</v>
      </c>
      <c r="T1677" t="s">
        <v>567</v>
      </c>
      <c r="Z1677" t="s">
        <v>568</v>
      </c>
      <c r="AA1677" t="s">
        <v>568</v>
      </c>
    </row>
    <row r="1678" spans="1:27">
      <c r="A1678" t="s">
        <v>4268</v>
      </c>
      <c r="B1678" t="s">
        <v>3998</v>
      </c>
      <c r="C1678" t="s">
        <v>4271</v>
      </c>
      <c r="D1678" t="s">
        <v>4269</v>
      </c>
      <c r="E1678" t="s">
        <v>4272</v>
      </c>
      <c r="F1678" t="s">
        <v>562</v>
      </c>
      <c r="G1678" t="s">
        <v>562</v>
      </c>
      <c r="H1678" t="s">
        <v>562</v>
      </c>
      <c r="I1678">
        <v>4511</v>
      </c>
      <c r="J1678" t="s">
        <v>564</v>
      </c>
      <c r="K1678" s="698">
        <v>45957.527083333334</v>
      </c>
      <c r="L1678" s="698">
        <v>45957.527083333334</v>
      </c>
      <c r="M1678" t="s">
        <v>565</v>
      </c>
      <c r="N1678" t="s">
        <v>565</v>
      </c>
      <c r="O1678" t="s">
        <v>566</v>
      </c>
      <c r="P1678" t="s">
        <v>567</v>
      </c>
      <c r="S1678" t="s">
        <v>567</v>
      </c>
      <c r="T1678" t="s">
        <v>567</v>
      </c>
      <c r="Z1678" t="s">
        <v>568</v>
      </c>
      <c r="AA1678" t="s">
        <v>568</v>
      </c>
    </row>
    <row r="1679" spans="1:27">
      <c r="A1679" t="s">
        <v>4268</v>
      </c>
      <c r="B1679" t="s">
        <v>562</v>
      </c>
      <c r="C1679" t="s">
        <v>562</v>
      </c>
      <c r="D1679" t="s">
        <v>4269</v>
      </c>
      <c r="E1679" t="s">
        <v>4273</v>
      </c>
      <c r="F1679" t="s">
        <v>562</v>
      </c>
      <c r="G1679" t="s">
        <v>562</v>
      </c>
      <c r="H1679" t="s">
        <v>562</v>
      </c>
      <c r="I1679">
        <v>4521</v>
      </c>
      <c r="J1679" t="s">
        <v>564</v>
      </c>
      <c r="K1679" s="698">
        <v>45957.52847222222</v>
      </c>
      <c r="L1679" s="698">
        <v>45957.52847222222</v>
      </c>
      <c r="M1679" t="s">
        <v>565</v>
      </c>
      <c r="N1679" t="s">
        <v>565</v>
      </c>
      <c r="O1679" t="s">
        <v>566</v>
      </c>
      <c r="P1679" t="s">
        <v>567</v>
      </c>
      <c r="S1679" t="s">
        <v>567</v>
      </c>
      <c r="T1679" t="s">
        <v>567</v>
      </c>
      <c r="Z1679" t="s">
        <v>568</v>
      </c>
      <c r="AA1679" t="s">
        <v>568</v>
      </c>
    </row>
    <row r="1680" spans="1:27">
      <c r="A1680" t="s">
        <v>4268</v>
      </c>
      <c r="B1680" t="s">
        <v>562</v>
      </c>
      <c r="C1680" t="s">
        <v>562</v>
      </c>
      <c r="D1680" t="s">
        <v>4269</v>
      </c>
      <c r="E1680" t="s">
        <v>795</v>
      </c>
      <c r="F1680" t="s">
        <v>562</v>
      </c>
      <c r="G1680" t="s">
        <v>562</v>
      </c>
      <c r="H1680" t="s">
        <v>562</v>
      </c>
      <c r="I1680">
        <v>4656</v>
      </c>
      <c r="J1680" t="s">
        <v>564</v>
      </c>
      <c r="K1680" s="698">
        <v>45957.54791666667</v>
      </c>
      <c r="L1680" s="698">
        <v>45957.54791666667</v>
      </c>
      <c r="M1680" t="s">
        <v>565</v>
      </c>
      <c r="N1680" t="s">
        <v>565</v>
      </c>
      <c r="O1680" t="s">
        <v>566</v>
      </c>
      <c r="P1680" t="s">
        <v>567</v>
      </c>
      <c r="S1680" t="s">
        <v>567</v>
      </c>
      <c r="T1680" t="s">
        <v>567</v>
      </c>
      <c r="Z1680" t="s">
        <v>568</v>
      </c>
      <c r="AA1680" t="s">
        <v>568</v>
      </c>
    </row>
    <row r="1681" spans="1:27">
      <c r="A1681" t="s">
        <v>4274</v>
      </c>
      <c r="B1681" t="s">
        <v>3177</v>
      </c>
      <c r="C1681" t="s">
        <v>562</v>
      </c>
      <c r="D1681" t="s">
        <v>783</v>
      </c>
      <c r="E1681" t="s">
        <v>4275</v>
      </c>
      <c r="F1681" t="s">
        <v>562</v>
      </c>
      <c r="G1681" t="s">
        <v>562</v>
      </c>
      <c r="H1681" t="s">
        <v>562</v>
      </c>
      <c r="I1681">
        <v>3721</v>
      </c>
      <c r="J1681" t="s">
        <v>564</v>
      </c>
      <c r="K1681" s="698">
        <v>45957.433333333334</v>
      </c>
      <c r="L1681" s="698">
        <v>45957.433333333334</v>
      </c>
      <c r="M1681" t="s">
        <v>565</v>
      </c>
      <c r="N1681" t="s">
        <v>565</v>
      </c>
      <c r="O1681" t="s">
        <v>566</v>
      </c>
      <c r="P1681" t="s">
        <v>567</v>
      </c>
      <c r="S1681" t="s">
        <v>567</v>
      </c>
      <c r="T1681" t="s">
        <v>567</v>
      </c>
      <c r="Z1681" t="s">
        <v>568</v>
      </c>
      <c r="AA1681" t="s">
        <v>568</v>
      </c>
    </row>
    <row r="1682" spans="1:27">
      <c r="A1682" t="s">
        <v>4274</v>
      </c>
      <c r="B1682" t="s">
        <v>562</v>
      </c>
      <c r="C1682" t="s">
        <v>4276</v>
      </c>
      <c r="D1682" t="s">
        <v>783</v>
      </c>
      <c r="E1682" t="s">
        <v>4277</v>
      </c>
      <c r="F1682" t="s">
        <v>562</v>
      </c>
      <c r="G1682" t="s">
        <v>562</v>
      </c>
      <c r="H1682" t="s">
        <v>562</v>
      </c>
      <c r="I1682">
        <v>4968</v>
      </c>
      <c r="J1682" t="s">
        <v>564</v>
      </c>
      <c r="K1682" s="698">
        <v>45957.557638888888</v>
      </c>
      <c r="L1682" s="698">
        <v>45957.557638888888</v>
      </c>
      <c r="M1682" t="s">
        <v>565</v>
      </c>
      <c r="N1682" t="s">
        <v>565</v>
      </c>
      <c r="O1682" t="s">
        <v>566</v>
      </c>
      <c r="P1682" t="s">
        <v>567</v>
      </c>
      <c r="S1682" t="s">
        <v>567</v>
      </c>
      <c r="T1682" t="s">
        <v>567</v>
      </c>
      <c r="Z1682" t="s">
        <v>568</v>
      </c>
      <c r="AA1682" t="s">
        <v>568</v>
      </c>
    </row>
    <row r="1683" spans="1:27">
      <c r="A1683" t="s">
        <v>4278</v>
      </c>
      <c r="B1683" t="s">
        <v>562</v>
      </c>
      <c r="C1683" t="s">
        <v>4279</v>
      </c>
      <c r="D1683" t="s">
        <v>4280</v>
      </c>
      <c r="E1683" t="s">
        <v>562</v>
      </c>
      <c r="F1683" t="s">
        <v>562</v>
      </c>
      <c r="G1683" t="s">
        <v>562</v>
      </c>
      <c r="H1683" t="s">
        <v>562</v>
      </c>
      <c r="I1683">
        <v>3575</v>
      </c>
      <c r="J1683" t="s">
        <v>564</v>
      </c>
      <c r="K1683" s="698">
        <v>45957.417361111111</v>
      </c>
      <c r="L1683" s="698">
        <v>45957.417361111111</v>
      </c>
      <c r="M1683" t="s">
        <v>565</v>
      </c>
      <c r="N1683" t="s">
        <v>565</v>
      </c>
      <c r="O1683" t="s">
        <v>566</v>
      </c>
      <c r="P1683" t="s">
        <v>567</v>
      </c>
      <c r="S1683" t="s">
        <v>567</v>
      </c>
      <c r="T1683" t="s">
        <v>567</v>
      </c>
      <c r="Z1683" t="s">
        <v>568</v>
      </c>
      <c r="AA1683" t="s">
        <v>568</v>
      </c>
    </row>
    <row r="1684" spans="1:27">
      <c r="A1684" t="s">
        <v>4278</v>
      </c>
      <c r="B1684" t="s">
        <v>4281</v>
      </c>
      <c r="C1684" t="s">
        <v>562</v>
      </c>
      <c r="D1684" t="s">
        <v>4280</v>
      </c>
      <c r="E1684" t="s">
        <v>4282</v>
      </c>
      <c r="F1684" t="s">
        <v>562</v>
      </c>
      <c r="G1684" t="s">
        <v>562</v>
      </c>
      <c r="H1684" t="s">
        <v>562</v>
      </c>
      <c r="I1684">
        <v>5213</v>
      </c>
      <c r="J1684" t="s">
        <v>564</v>
      </c>
      <c r="K1684" s="698">
        <v>45957.564583333333</v>
      </c>
      <c r="L1684" s="698">
        <v>45957.564583333333</v>
      </c>
      <c r="M1684" t="s">
        <v>565</v>
      </c>
      <c r="N1684" t="s">
        <v>565</v>
      </c>
      <c r="O1684" t="s">
        <v>566</v>
      </c>
      <c r="P1684" t="s">
        <v>567</v>
      </c>
      <c r="S1684" t="s">
        <v>567</v>
      </c>
      <c r="T1684" t="s">
        <v>567</v>
      </c>
      <c r="Z1684" t="s">
        <v>568</v>
      </c>
      <c r="AA1684" t="s">
        <v>568</v>
      </c>
    </row>
    <row r="1685" spans="1:27">
      <c r="A1685" t="s">
        <v>4283</v>
      </c>
      <c r="B1685" t="s">
        <v>4284</v>
      </c>
      <c r="C1685" t="s">
        <v>562</v>
      </c>
      <c r="D1685" t="s">
        <v>4285</v>
      </c>
      <c r="E1685" t="s">
        <v>4286</v>
      </c>
      <c r="F1685" t="s">
        <v>562</v>
      </c>
      <c r="G1685" t="s">
        <v>562</v>
      </c>
      <c r="H1685" t="s">
        <v>562</v>
      </c>
      <c r="I1685">
        <v>3911</v>
      </c>
      <c r="J1685" t="s">
        <v>564</v>
      </c>
      <c r="K1685" s="698">
        <v>45957.45416666667</v>
      </c>
      <c r="L1685" s="698">
        <v>45957.45416666667</v>
      </c>
      <c r="M1685" t="s">
        <v>565</v>
      </c>
      <c r="N1685" t="s">
        <v>565</v>
      </c>
      <c r="O1685" t="s">
        <v>566</v>
      </c>
      <c r="P1685" t="s">
        <v>567</v>
      </c>
      <c r="S1685" t="s">
        <v>567</v>
      </c>
      <c r="T1685" t="s">
        <v>567</v>
      </c>
      <c r="Z1685" t="s">
        <v>568</v>
      </c>
      <c r="AA1685" t="s">
        <v>568</v>
      </c>
    </row>
    <row r="1686" spans="1:27">
      <c r="A1686" t="s">
        <v>4287</v>
      </c>
      <c r="B1686" t="s">
        <v>4288</v>
      </c>
      <c r="C1686" t="s">
        <v>4289</v>
      </c>
      <c r="D1686" t="s">
        <v>562</v>
      </c>
      <c r="E1686" t="s">
        <v>4290</v>
      </c>
      <c r="F1686" t="s">
        <v>562</v>
      </c>
      <c r="G1686" t="s">
        <v>562</v>
      </c>
      <c r="H1686" t="s">
        <v>562</v>
      </c>
      <c r="I1686">
        <v>4810</v>
      </c>
      <c r="J1686" t="s">
        <v>564</v>
      </c>
      <c r="K1686" s="698">
        <v>45957.552777777775</v>
      </c>
      <c r="L1686" s="698">
        <v>45957.552777777775</v>
      </c>
      <c r="M1686" t="s">
        <v>565</v>
      </c>
      <c r="N1686" t="s">
        <v>565</v>
      </c>
      <c r="O1686" t="s">
        <v>566</v>
      </c>
      <c r="P1686" t="s">
        <v>567</v>
      </c>
      <c r="S1686" t="s">
        <v>567</v>
      </c>
      <c r="T1686" t="s">
        <v>567</v>
      </c>
      <c r="Z1686" t="s">
        <v>568</v>
      </c>
      <c r="AA1686" t="s">
        <v>568</v>
      </c>
    </row>
    <row r="1687" spans="1:27">
      <c r="A1687" t="s">
        <v>4291</v>
      </c>
      <c r="B1687" t="s">
        <v>562</v>
      </c>
      <c r="C1687" t="s">
        <v>4292</v>
      </c>
      <c r="D1687" t="s">
        <v>4293</v>
      </c>
      <c r="E1687" t="s">
        <v>562</v>
      </c>
      <c r="F1687" t="s">
        <v>562</v>
      </c>
      <c r="G1687" t="s">
        <v>562</v>
      </c>
      <c r="H1687" t="s">
        <v>562</v>
      </c>
      <c r="I1687">
        <v>3576</v>
      </c>
      <c r="J1687" t="s">
        <v>564</v>
      </c>
      <c r="K1687" s="698">
        <v>45957.417361111111</v>
      </c>
      <c r="L1687" s="698">
        <v>45957.417361111111</v>
      </c>
      <c r="M1687" t="s">
        <v>565</v>
      </c>
      <c r="N1687" t="s">
        <v>565</v>
      </c>
      <c r="O1687" t="s">
        <v>566</v>
      </c>
      <c r="P1687" t="s">
        <v>567</v>
      </c>
      <c r="S1687" t="s">
        <v>567</v>
      </c>
      <c r="T1687" t="s">
        <v>567</v>
      </c>
      <c r="Z1687" t="s">
        <v>568</v>
      </c>
      <c r="AA1687" t="s">
        <v>568</v>
      </c>
    </row>
    <row r="1688" spans="1:27">
      <c r="A1688" t="s">
        <v>4294</v>
      </c>
      <c r="B1688" t="s">
        <v>562</v>
      </c>
      <c r="C1688" t="s">
        <v>562</v>
      </c>
      <c r="D1688" t="s">
        <v>4295</v>
      </c>
      <c r="E1688" t="s">
        <v>4296</v>
      </c>
      <c r="F1688" t="s">
        <v>562</v>
      </c>
      <c r="G1688" t="s">
        <v>562</v>
      </c>
      <c r="H1688" t="s">
        <v>562</v>
      </c>
      <c r="I1688">
        <v>4288</v>
      </c>
      <c r="J1688" t="s">
        <v>564</v>
      </c>
      <c r="K1688" s="698">
        <v>45957.5</v>
      </c>
      <c r="L1688" s="698">
        <v>45957.5</v>
      </c>
      <c r="M1688" t="s">
        <v>565</v>
      </c>
      <c r="N1688" t="s">
        <v>565</v>
      </c>
      <c r="O1688" t="s">
        <v>566</v>
      </c>
      <c r="P1688" t="s">
        <v>567</v>
      </c>
      <c r="S1688" t="s">
        <v>567</v>
      </c>
      <c r="T1688" t="s">
        <v>567</v>
      </c>
      <c r="Z1688" t="s">
        <v>568</v>
      </c>
      <c r="AA1688" t="s">
        <v>568</v>
      </c>
    </row>
    <row r="1689" spans="1:27">
      <c r="A1689" t="s">
        <v>4294</v>
      </c>
      <c r="B1689" t="s">
        <v>562</v>
      </c>
      <c r="C1689" t="s">
        <v>562</v>
      </c>
      <c r="D1689" t="s">
        <v>4295</v>
      </c>
      <c r="E1689" t="s">
        <v>4297</v>
      </c>
      <c r="F1689" t="s">
        <v>562</v>
      </c>
      <c r="G1689" t="s">
        <v>562</v>
      </c>
      <c r="H1689" t="s">
        <v>562</v>
      </c>
      <c r="I1689">
        <v>4631</v>
      </c>
      <c r="J1689" t="s">
        <v>564</v>
      </c>
      <c r="K1689" s="698">
        <v>45957.542361111111</v>
      </c>
      <c r="L1689" s="698">
        <v>45957.542361111111</v>
      </c>
      <c r="M1689" t="s">
        <v>565</v>
      </c>
      <c r="N1689" t="s">
        <v>565</v>
      </c>
      <c r="O1689" t="s">
        <v>566</v>
      </c>
      <c r="P1689" t="s">
        <v>567</v>
      </c>
      <c r="S1689" t="s">
        <v>567</v>
      </c>
      <c r="T1689" t="s">
        <v>567</v>
      </c>
      <c r="Z1689" t="s">
        <v>568</v>
      </c>
      <c r="AA1689" t="s">
        <v>568</v>
      </c>
    </row>
    <row r="1690" spans="1:27">
      <c r="A1690" t="s">
        <v>4294</v>
      </c>
      <c r="B1690" t="s">
        <v>4298</v>
      </c>
      <c r="C1690" t="s">
        <v>4299</v>
      </c>
      <c r="D1690" t="s">
        <v>4295</v>
      </c>
      <c r="E1690" t="s">
        <v>4300</v>
      </c>
      <c r="F1690" t="s">
        <v>562</v>
      </c>
      <c r="G1690" t="s">
        <v>562</v>
      </c>
      <c r="H1690" t="s">
        <v>562</v>
      </c>
      <c r="I1690">
        <v>4993</v>
      </c>
      <c r="J1690" t="s">
        <v>564</v>
      </c>
      <c r="K1690" s="698">
        <v>45957.558333333334</v>
      </c>
      <c r="L1690" s="698">
        <v>45957.558333333334</v>
      </c>
      <c r="M1690" t="s">
        <v>565</v>
      </c>
      <c r="N1690" t="s">
        <v>565</v>
      </c>
      <c r="O1690" t="s">
        <v>566</v>
      </c>
      <c r="P1690" t="s">
        <v>567</v>
      </c>
      <c r="S1690" t="s">
        <v>567</v>
      </c>
      <c r="T1690" t="s">
        <v>567</v>
      </c>
      <c r="Z1690" t="s">
        <v>568</v>
      </c>
      <c r="AA1690" t="s">
        <v>568</v>
      </c>
    </row>
    <row r="1691" spans="1:27">
      <c r="A1691" t="s">
        <v>4301</v>
      </c>
      <c r="B1691" t="s">
        <v>562</v>
      </c>
      <c r="C1691" t="s">
        <v>562</v>
      </c>
      <c r="D1691" t="s">
        <v>4302</v>
      </c>
      <c r="E1691" t="s">
        <v>4303</v>
      </c>
      <c r="F1691" t="s">
        <v>562</v>
      </c>
      <c r="G1691" t="s">
        <v>562</v>
      </c>
      <c r="H1691" t="s">
        <v>562</v>
      </c>
      <c r="I1691">
        <v>4338</v>
      </c>
      <c r="J1691" t="s">
        <v>564</v>
      </c>
      <c r="K1691" s="698">
        <v>45957.506249999999</v>
      </c>
      <c r="L1691" s="698">
        <v>45957.506249999999</v>
      </c>
      <c r="M1691" t="s">
        <v>565</v>
      </c>
      <c r="N1691" t="s">
        <v>565</v>
      </c>
      <c r="O1691" t="s">
        <v>566</v>
      </c>
      <c r="P1691" t="s">
        <v>567</v>
      </c>
      <c r="S1691" t="s">
        <v>567</v>
      </c>
      <c r="T1691" t="s">
        <v>567</v>
      </c>
      <c r="Z1691" t="s">
        <v>568</v>
      </c>
      <c r="AA1691" t="s">
        <v>568</v>
      </c>
    </row>
    <row r="1692" spans="1:27">
      <c r="A1692" t="s">
        <v>4301</v>
      </c>
      <c r="B1692" t="s">
        <v>562</v>
      </c>
      <c r="C1692" t="s">
        <v>562</v>
      </c>
      <c r="D1692" t="s">
        <v>4302</v>
      </c>
      <c r="E1692" t="s">
        <v>4304</v>
      </c>
      <c r="F1692" t="s">
        <v>562</v>
      </c>
      <c r="G1692" t="s">
        <v>562</v>
      </c>
      <c r="H1692" t="s">
        <v>562</v>
      </c>
      <c r="I1692">
        <v>4571</v>
      </c>
      <c r="J1692" t="s">
        <v>564</v>
      </c>
      <c r="K1692" s="698">
        <v>45957.534722222219</v>
      </c>
      <c r="L1692" s="698">
        <v>45957.534722222219</v>
      </c>
      <c r="M1692" t="s">
        <v>565</v>
      </c>
      <c r="N1692" t="s">
        <v>565</v>
      </c>
      <c r="O1692" t="s">
        <v>566</v>
      </c>
      <c r="P1692" t="s">
        <v>567</v>
      </c>
      <c r="S1692" t="s">
        <v>567</v>
      </c>
      <c r="T1692" t="s">
        <v>567</v>
      </c>
      <c r="Z1692" t="s">
        <v>568</v>
      </c>
      <c r="AA1692" t="s">
        <v>568</v>
      </c>
    </row>
    <row r="1693" spans="1:27">
      <c r="A1693" t="s">
        <v>4305</v>
      </c>
      <c r="B1693" t="s">
        <v>2784</v>
      </c>
      <c r="C1693" t="s">
        <v>4306</v>
      </c>
      <c r="D1693" t="s">
        <v>4307</v>
      </c>
      <c r="E1693" t="s">
        <v>4308</v>
      </c>
      <c r="F1693" t="s">
        <v>562</v>
      </c>
      <c r="G1693" t="s">
        <v>562</v>
      </c>
      <c r="H1693" t="s">
        <v>562</v>
      </c>
      <c r="I1693">
        <v>3591</v>
      </c>
      <c r="J1693" t="s">
        <v>564</v>
      </c>
      <c r="K1693" s="698">
        <v>45957.419444444444</v>
      </c>
      <c r="L1693" s="698">
        <v>45957.419444444444</v>
      </c>
      <c r="M1693" t="s">
        <v>565</v>
      </c>
      <c r="N1693" t="s">
        <v>565</v>
      </c>
      <c r="O1693" t="s">
        <v>566</v>
      </c>
      <c r="P1693" t="s">
        <v>567</v>
      </c>
      <c r="S1693" t="s">
        <v>567</v>
      </c>
      <c r="T1693" t="s">
        <v>567</v>
      </c>
      <c r="Z1693" t="s">
        <v>568</v>
      </c>
      <c r="AA1693" t="s">
        <v>568</v>
      </c>
    </row>
    <row r="1694" spans="1:27">
      <c r="A1694" t="s">
        <v>4305</v>
      </c>
      <c r="B1694" t="s">
        <v>562</v>
      </c>
      <c r="C1694" t="s">
        <v>4309</v>
      </c>
      <c r="D1694" t="s">
        <v>4307</v>
      </c>
      <c r="E1694" t="s">
        <v>4310</v>
      </c>
      <c r="F1694" t="s">
        <v>562</v>
      </c>
      <c r="G1694" t="s">
        <v>562</v>
      </c>
      <c r="H1694" t="s">
        <v>562</v>
      </c>
      <c r="I1694">
        <v>3633</v>
      </c>
      <c r="J1694" t="s">
        <v>564</v>
      </c>
      <c r="K1694" s="698">
        <v>45957.423611111109</v>
      </c>
      <c r="L1694" s="698">
        <v>45957.423611111109</v>
      </c>
      <c r="M1694" t="s">
        <v>565</v>
      </c>
      <c r="N1694" t="s">
        <v>565</v>
      </c>
      <c r="O1694" t="s">
        <v>566</v>
      </c>
      <c r="P1694" t="s">
        <v>567</v>
      </c>
      <c r="S1694" t="s">
        <v>567</v>
      </c>
      <c r="T1694" t="s">
        <v>567</v>
      </c>
      <c r="Z1694" t="s">
        <v>568</v>
      </c>
      <c r="AA1694" t="s">
        <v>568</v>
      </c>
    </row>
    <row r="1695" spans="1:27">
      <c r="A1695" t="s">
        <v>4305</v>
      </c>
      <c r="B1695" t="s">
        <v>2784</v>
      </c>
      <c r="C1695" t="s">
        <v>4306</v>
      </c>
      <c r="D1695" t="s">
        <v>4307</v>
      </c>
      <c r="E1695" t="s">
        <v>4311</v>
      </c>
      <c r="F1695" t="s">
        <v>562</v>
      </c>
      <c r="G1695" t="s">
        <v>562</v>
      </c>
      <c r="H1695" t="s">
        <v>562</v>
      </c>
      <c r="I1695">
        <v>3652</v>
      </c>
      <c r="J1695" t="s">
        <v>564</v>
      </c>
      <c r="K1695" s="698">
        <v>45957.425694444442</v>
      </c>
      <c r="L1695" s="698">
        <v>45957.425694444442</v>
      </c>
      <c r="M1695" t="s">
        <v>565</v>
      </c>
      <c r="N1695" t="s">
        <v>565</v>
      </c>
      <c r="O1695" t="s">
        <v>566</v>
      </c>
      <c r="P1695" t="s">
        <v>567</v>
      </c>
      <c r="S1695" t="s">
        <v>567</v>
      </c>
      <c r="T1695" t="s">
        <v>567</v>
      </c>
      <c r="Z1695" t="s">
        <v>568</v>
      </c>
      <c r="AA1695" t="s">
        <v>568</v>
      </c>
    </row>
    <row r="1696" spans="1:27">
      <c r="A1696" t="s">
        <v>4305</v>
      </c>
      <c r="B1696" t="s">
        <v>2784</v>
      </c>
      <c r="C1696" t="s">
        <v>4309</v>
      </c>
      <c r="D1696" t="s">
        <v>4307</v>
      </c>
      <c r="E1696" t="s">
        <v>3067</v>
      </c>
      <c r="F1696" t="s">
        <v>562</v>
      </c>
      <c r="G1696" t="s">
        <v>562</v>
      </c>
      <c r="H1696" t="s">
        <v>562</v>
      </c>
      <c r="I1696">
        <v>3667</v>
      </c>
      <c r="J1696" t="s">
        <v>564</v>
      </c>
      <c r="K1696" s="698">
        <v>45957.427083333336</v>
      </c>
      <c r="L1696" s="698">
        <v>45957.427083333336</v>
      </c>
      <c r="M1696" t="s">
        <v>565</v>
      </c>
      <c r="N1696" t="s">
        <v>565</v>
      </c>
      <c r="O1696" t="s">
        <v>566</v>
      </c>
      <c r="P1696" t="s">
        <v>567</v>
      </c>
      <c r="S1696" t="s">
        <v>567</v>
      </c>
      <c r="T1696" t="s">
        <v>567</v>
      </c>
      <c r="Z1696" t="s">
        <v>568</v>
      </c>
      <c r="AA1696" t="s">
        <v>568</v>
      </c>
    </row>
    <row r="1697" spans="1:27">
      <c r="A1697" t="s">
        <v>4305</v>
      </c>
      <c r="B1697" t="s">
        <v>562</v>
      </c>
      <c r="C1697" t="s">
        <v>4306</v>
      </c>
      <c r="D1697" t="s">
        <v>4307</v>
      </c>
      <c r="E1697" t="s">
        <v>4312</v>
      </c>
      <c r="F1697" t="s">
        <v>562</v>
      </c>
      <c r="G1697" t="s">
        <v>562</v>
      </c>
      <c r="H1697" t="s">
        <v>562</v>
      </c>
      <c r="I1697">
        <v>3688</v>
      </c>
      <c r="J1697" t="s">
        <v>564</v>
      </c>
      <c r="K1697" s="698">
        <v>45957.429861111108</v>
      </c>
      <c r="L1697" s="698">
        <v>45957.429861111108</v>
      </c>
      <c r="M1697" t="s">
        <v>565</v>
      </c>
      <c r="N1697" t="s">
        <v>565</v>
      </c>
      <c r="O1697" t="s">
        <v>566</v>
      </c>
      <c r="P1697" t="s">
        <v>567</v>
      </c>
      <c r="S1697" t="s">
        <v>567</v>
      </c>
      <c r="T1697" t="s">
        <v>567</v>
      </c>
      <c r="Z1697" t="s">
        <v>568</v>
      </c>
      <c r="AA1697" t="s">
        <v>568</v>
      </c>
    </row>
    <row r="1698" spans="1:27">
      <c r="A1698" t="s">
        <v>4305</v>
      </c>
      <c r="B1698" t="s">
        <v>2784</v>
      </c>
      <c r="C1698" t="s">
        <v>4313</v>
      </c>
      <c r="D1698" t="s">
        <v>4307</v>
      </c>
      <c r="E1698" t="s">
        <v>4314</v>
      </c>
      <c r="F1698" t="s">
        <v>562</v>
      </c>
      <c r="G1698" t="s">
        <v>562</v>
      </c>
      <c r="H1698" t="s">
        <v>562</v>
      </c>
      <c r="I1698">
        <v>3785</v>
      </c>
      <c r="J1698" t="s">
        <v>564</v>
      </c>
      <c r="K1698" s="698">
        <v>45957.44027777778</v>
      </c>
      <c r="L1698" s="698">
        <v>45957.44027777778</v>
      </c>
      <c r="M1698" t="s">
        <v>565</v>
      </c>
      <c r="N1698" t="s">
        <v>565</v>
      </c>
      <c r="O1698" t="s">
        <v>566</v>
      </c>
      <c r="P1698" t="s">
        <v>567</v>
      </c>
      <c r="S1698" t="s">
        <v>567</v>
      </c>
      <c r="T1698" t="s">
        <v>567</v>
      </c>
      <c r="Z1698" t="s">
        <v>568</v>
      </c>
      <c r="AA1698" t="s">
        <v>568</v>
      </c>
    </row>
    <row r="1699" spans="1:27">
      <c r="A1699" t="s">
        <v>4305</v>
      </c>
      <c r="B1699" t="s">
        <v>2784</v>
      </c>
      <c r="C1699" t="s">
        <v>4313</v>
      </c>
      <c r="D1699" t="s">
        <v>4307</v>
      </c>
      <c r="E1699" t="s">
        <v>4315</v>
      </c>
      <c r="F1699" t="s">
        <v>562</v>
      </c>
      <c r="G1699" t="s">
        <v>562</v>
      </c>
      <c r="H1699" t="s">
        <v>562</v>
      </c>
      <c r="I1699">
        <v>3909</v>
      </c>
      <c r="J1699" t="s">
        <v>564</v>
      </c>
      <c r="K1699" s="698">
        <v>45957.453472222223</v>
      </c>
      <c r="L1699" s="698">
        <v>45957.453472222223</v>
      </c>
      <c r="M1699" t="s">
        <v>565</v>
      </c>
      <c r="N1699" t="s">
        <v>565</v>
      </c>
      <c r="O1699" t="s">
        <v>566</v>
      </c>
      <c r="P1699" t="s">
        <v>567</v>
      </c>
      <c r="S1699" t="s">
        <v>567</v>
      </c>
      <c r="T1699" t="s">
        <v>567</v>
      </c>
      <c r="Z1699" t="s">
        <v>568</v>
      </c>
      <c r="AA1699" t="s">
        <v>568</v>
      </c>
    </row>
    <row r="1700" spans="1:27">
      <c r="A1700" t="s">
        <v>4305</v>
      </c>
      <c r="B1700" t="s">
        <v>562</v>
      </c>
      <c r="C1700" t="s">
        <v>4313</v>
      </c>
      <c r="D1700" t="s">
        <v>4307</v>
      </c>
      <c r="E1700" t="s">
        <v>4316</v>
      </c>
      <c r="F1700" t="s">
        <v>562</v>
      </c>
      <c r="G1700" t="s">
        <v>562</v>
      </c>
      <c r="H1700" t="s">
        <v>562</v>
      </c>
      <c r="I1700">
        <v>3931</v>
      </c>
      <c r="J1700" t="s">
        <v>564</v>
      </c>
      <c r="K1700" s="698">
        <v>45957.456250000003</v>
      </c>
      <c r="L1700" s="698">
        <v>45957.456250000003</v>
      </c>
      <c r="M1700" t="s">
        <v>565</v>
      </c>
      <c r="N1700" t="s">
        <v>565</v>
      </c>
      <c r="O1700" t="s">
        <v>566</v>
      </c>
      <c r="P1700" t="s">
        <v>567</v>
      </c>
      <c r="S1700" t="s">
        <v>567</v>
      </c>
      <c r="T1700" t="s">
        <v>567</v>
      </c>
      <c r="Z1700" t="s">
        <v>568</v>
      </c>
      <c r="AA1700" t="s">
        <v>568</v>
      </c>
    </row>
    <row r="1701" spans="1:27">
      <c r="A1701" t="s">
        <v>4305</v>
      </c>
      <c r="B1701" t="s">
        <v>2784</v>
      </c>
      <c r="C1701" t="s">
        <v>4313</v>
      </c>
      <c r="D1701" t="s">
        <v>4307</v>
      </c>
      <c r="E1701" t="s">
        <v>4317</v>
      </c>
      <c r="F1701" t="s">
        <v>562</v>
      </c>
      <c r="G1701" t="s">
        <v>562</v>
      </c>
      <c r="H1701" t="s">
        <v>562</v>
      </c>
      <c r="I1701">
        <v>3933</v>
      </c>
      <c r="J1701" t="s">
        <v>564</v>
      </c>
      <c r="K1701" s="698">
        <v>45957.456250000003</v>
      </c>
      <c r="L1701" s="698">
        <v>45957.456250000003</v>
      </c>
      <c r="M1701" t="s">
        <v>565</v>
      </c>
      <c r="N1701" t="s">
        <v>565</v>
      </c>
      <c r="O1701" t="s">
        <v>566</v>
      </c>
      <c r="P1701" t="s">
        <v>567</v>
      </c>
      <c r="S1701" t="s">
        <v>567</v>
      </c>
      <c r="T1701" t="s">
        <v>567</v>
      </c>
      <c r="Z1701" t="s">
        <v>568</v>
      </c>
      <c r="AA1701" t="s">
        <v>568</v>
      </c>
    </row>
    <row r="1702" spans="1:27">
      <c r="A1702" t="s">
        <v>4305</v>
      </c>
      <c r="B1702" t="s">
        <v>2784</v>
      </c>
      <c r="C1702" t="s">
        <v>4313</v>
      </c>
      <c r="D1702" t="s">
        <v>4307</v>
      </c>
      <c r="E1702" t="s">
        <v>4318</v>
      </c>
      <c r="F1702" t="s">
        <v>562</v>
      </c>
      <c r="G1702" t="s">
        <v>562</v>
      </c>
      <c r="H1702" t="s">
        <v>562</v>
      </c>
      <c r="I1702">
        <v>3936</v>
      </c>
      <c r="J1702" t="s">
        <v>564</v>
      </c>
      <c r="K1702" s="698">
        <v>45957.456944444442</v>
      </c>
      <c r="L1702" s="698">
        <v>45957.456944444442</v>
      </c>
      <c r="M1702" t="s">
        <v>565</v>
      </c>
      <c r="N1702" t="s">
        <v>565</v>
      </c>
      <c r="O1702" t="s">
        <v>566</v>
      </c>
      <c r="P1702" t="s">
        <v>567</v>
      </c>
      <c r="S1702" t="s">
        <v>567</v>
      </c>
      <c r="T1702" t="s">
        <v>567</v>
      </c>
      <c r="Z1702" t="s">
        <v>568</v>
      </c>
      <c r="AA1702" t="s">
        <v>568</v>
      </c>
    </row>
    <row r="1703" spans="1:27">
      <c r="A1703" t="s">
        <v>4305</v>
      </c>
      <c r="B1703" t="s">
        <v>2784</v>
      </c>
      <c r="C1703" t="s">
        <v>4313</v>
      </c>
      <c r="D1703" t="s">
        <v>4307</v>
      </c>
      <c r="E1703" t="s">
        <v>4319</v>
      </c>
      <c r="F1703" t="s">
        <v>562</v>
      </c>
      <c r="G1703" t="s">
        <v>562</v>
      </c>
      <c r="H1703" t="s">
        <v>562</v>
      </c>
      <c r="I1703">
        <v>3941</v>
      </c>
      <c r="J1703" t="s">
        <v>564</v>
      </c>
      <c r="K1703" s="698">
        <v>45957.456944444442</v>
      </c>
      <c r="L1703" s="698">
        <v>45957.456944444442</v>
      </c>
      <c r="M1703" t="s">
        <v>565</v>
      </c>
      <c r="N1703" t="s">
        <v>565</v>
      </c>
      <c r="O1703" t="s">
        <v>566</v>
      </c>
      <c r="P1703" t="s">
        <v>567</v>
      </c>
      <c r="S1703" t="s">
        <v>567</v>
      </c>
      <c r="T1703" t="s">
        <v>567</v>
      </c>
      <c r="Z1703" t="s">
        <v>568</v>
      </c>
      <c r="AA1703" t="s">
        <v>568</v>
      </c>
    </row>
    <row r="1704" spans="1:27">
      <c r="A1704" t="s">
        <v>4305</v>
      </c>
      <c r="B1704" t="s">
        <v>2003</v>
      </c>
      <c r="C1704" t="s">
        <v>4309</v>
      </c>
      <c r="D1704" t="s">
        <v>4307</v>
      </c>
      <c r="E1704" t="s">
        <v>4320</v>
      </c>
      <c r="F1704" t="s">
        <v>562</v>
      </c>
      <c r="G1704" t="s">
        <v>562</v>
      </c>
      <c r="H1704" t="s">
        <v>562</v>
      </c>
      <c r="I1704">
        <v>3943</v>
      </c>
      <c r="J1704" t="s">
        <v>564</v>
      </c>
      <c r="K1704" s="698">
        <v>45957.457638888889</v>
      </c>
      <c r="L1704" s="698">
        <v>45957.457638888889</v>
      </c>
      <c r="M1704" t="s">
        <v>565</v>
      </c>
      <c r="N1704" t="s">
        <v>565</v>
      </c>
      <c r="O1704" t="s">
        <v>566</v>
      </c>
      <c r="P1704" t="s">
        <v>567</v>
      </c>
      <c r="S1704" t="s">
        <v>567</v>
      </c>
      <c r="T1704" t="s">
        <v>567</v>
      </c>
      <c r="Z1704" t="s">
        <v>568</v>
      </c>
      <c r="AA1704" t="s">
        <v>568</v>
      </c>
    </row>
    <row r="1705" spans="1:27">
      <c r="A1705" t="s">
        <v>4305</v>
      </c>
      <c r="B1705" t="s">
        <v>2003</v>
      </c>
      <c r="C1705" t="s">
        <v>4309</v>
      </c>
      <c r="D1705" t="s">
        <v>4307</v>
      </c>
      <c r="E1705" t="s">
        <v>4321</v>
      </c>
      <c r="F1705" t="s">
        <v>562</v>
      </c>
      <c r="G1705" t="s">
        <v>562</v>
      </c>
      <c r="H1705" t="s">
        <v>562</v>
      </c>
      <c r="I1705">
        <v>3945</v>
      </c>
      <c r="J1705" t="s">
        <v>564</v>
      </c>
      <c r="K1705" s="698">
        <v>45957.457638888889</v>
      </c>
      <c r="L1705" s="698">
        <v>45957.457638888889</v>
      </c>
      <c r="M1705" t="s">
        <v>565</v>
      </c>
      <c r="N1705" t="s">
        <v>565</v>
      </c>
      <c r="O1705" t="s">
        <v>566</v>
      </c>
      <c r="P1705" t="s">
        <v>567</v>
      </c>
      <c r="S1705" t="s">
        <v>567</v>
      </c>
      <c r="T1705" t="s">
        <v>567</v>
      </c>
      <c r="Z1705" t="s">
        <v>568</v>
      </c>
      <c r="AA1705" t="s">
        <v>568</v>
      </c>
    </row>
    <row r="1706" spans="1:27">
      <c r="A1706" t="s">
        <v>4305</v>
      </c>
      <c r="B1706" t="s">
        <v>2003</v>
      </c>
      <c r="C1706" t="s">
        <v>4309</v>
      </c>
      <c r="D1706" t="s">
        <v>4307</v>
      </c>
      <c r="E1706" t="s">
        <v>4322</v>
      </c>
      <c r="F1706" t="s">
        <v>562</v>
      </c>
      <c r="G1706" t="s">
        <v>562</v>
      </c>
      <c r="H1706" t="s">
        <v>562</v>
      </c>
      <c r="I1706">
        <v>3947</v>
      </c>
      <c r="J1706" t="s">
        <v>564</v>
      </c>
      <c r="K1706" s="698">
        <v>45957.457638888889</v>
      </c>
      <c r="L1706" s="698">
        <v>45957.457638888889</v>
      </c>
      <c r="M1706" t="s">
        <v>565</v>
      </c>
      <c r="N1706" t="s">
        <v>565</v>
      </c>
      <c r="O1706" t="s">
        <v>566</v>
      </c>
      <c r="P1706" t="s">
        <v>567</v>
      </c>
      <c r="S1706" t="s">
        <v>567</v>
      </c>
      <c r="T1706" t="s">
        <v>567</v>
      </c>
      <c r="Z1706" t="s">
        <v>568</v>
      </c>
      <c r="AA1706" t="s">
        <v>568</v>
      </c>
    </row>
    <row r="1707" spans="1:27">
      <c r="A1707" t="s">
        <v>4305</v>
      </c>
      <c r="B1707" t="s">
        <v>2003</v>
      </c>
      <c r="C1707" t="s">
        <v>4309</v>
      </c>
      <c r="D1707" t="s">
        <v>4307</v>
      </c>
      <c r="E1707" t="s">
        <v>4323</v>
      </c>
      <c r="F1707" t="s">
        <v>562</v>
      </c>
      <c r="G1707" t="s">
        <v>562</v>
      </c>
      <c r="H1707" t="s">
        <v>562</v>
      </c>
      <c r="I1707">
        <v>3961</v>
      </c>
      <c r="J1707" t="s">
        <v>564</v>
      </c>
      <c r="K1707" s="698">
        <v>45957.459722222222</v>
      </c>
      <c r="L1707" s="698">
        <v>45957.459722222222</v>
      </c>
      <c r="M1707" t="s">
        <v>565</v>
      </c>
      <c r="N1707" t="s">
        <v>565</v>
      </c>
      <c r="O1707" t="s">
        <v>566</v>
      </c>
      <c r="P1707" t="s">
        <v>567</v>
      </c>
      <c r="S1707" t="s">
        <v>567</v>
      </c>
      <c r="T1707" t="s">
        <v>567</v>
      </c>
      <c r="Z1707" t="s">
        <v>568</v>
      </c>
      <c r="AA1707" t="s">
        <v>568</v>
      </c>
    </row>
    <row r="1708" spans="1:27">
      <c r="A1708" t="s">
        <v>4305</v>
      </c>
      <c r="B1708" t="s">
        <v>2003</v>
      </c>
      <c r="C1708" t="s">
        <v>4309</v>
      </c>
      <c r="D1708" t="s">
        <v>4307</v>
      </c>
      <c r="E1708" t="s">
        <v>4324</v>
      </c>
      <c r="F1708" t="s">
        <v>562</v>
      </c>
      <c r="G1708" t="s">
        <v>562</v>
      </c>
      <c r="H1708" t="s">
        <v>562</v>
      </c>
      <c r="I1708">
        <v>3969</v>
      </c>
      <c r="J1708" t="s">
        <v>564</v>
      </c>
      <c r="K1708" s="698">
        <v>45957.460416666669</v>
      </c>
      <c r="L1708" s="698">
        <v>45957.460416666669</v>
      </c>
      <c r="M1708" t="s">
        <v>565</v>
      </c>
      <c r="N1708" t="s">
        <v>565</v>
      </c>
      <c r="O1708" t="s">
        <v>566</v>
      </c>
      <c r="P1708" t="s">
        <v>567</v>
      </c>
      <c r="S1708" t="s">
        <v>567</v>
      </c>
      <c r="T1708" t="s">
        <v>567</v>
      </c>
      <c r="Z1708" t="s">
        <v>568</v>
      </c>
      <c r="AA1708" t="s">
        <v>568</v>
      </c>
    </row>
    <row r="1709" spans="1:27">
      <c r="A1709" t="s">
        <v>4305</v>
      </c>
      <c r="B1709" t="s">
        <v>2003</v>
      </c>
      <c r="C1709" t="s">
        <v>4309</v>
      </c>
      <c r="D1709" t="s">
        <v>4307</v>
      </c>
      <c r="E1709" t="s">
        <v>4325</v>
      </c>
      <c r="F1709" t="s">
        <v>562</v>
      </c>
      <c r="G1709" t="s">
        <v>562</v>
      </c>
      <c r="H1709" t="s">
        <v>562</v>
      </c>
      <c r="I1709">
        <v>4055</v>
      </c>
      <c r="J1709" t="s">
        <v>564</v>
      </c>
      <c r="K1709" s="698">
        <v>45957.470833333333</v>
      </c>
      <c r="L1709" s="698">
        <v>45957.470833333333</v>
      </c>
      <c r="M1709" t="s">
        <v>565</v>
      </c>
      <c r="N1709" t="s">
        <v>565</v>
      </c>
      <c r="O1709" t="s">
        <v>566</v>
      </c>
      <c r="P1709" t="s">
        <v>567</v>
      </c>
      <c r="S1709" t="s">
        <v>567</v>
      </c>
      <c r="T1709" t="s">
        <v>567</v>
      </c>
      <c r="Z1709" t="s">
        <v>568</v>
      </c>
      <c r="AA1709" t="s">
        <v>568</v>
      </c>
    </row>
    <row r="1710" spans="1:27">
      <c r="A1710" t="s">
        <v>4305</v>
      </c>
      <c r="B1710" t="s">
        <v>2003</v>
      </c>
      <c r="C1710" t="s">
        <v>4309</v>
      </c>
      <c r="D1710" t="s">
        <v>4307</v>
      </c>
      <c r="E1710" t="s">
        <v>4326</v>
      </c>
      <c r="F1710" t="s">
        <v>562</v>
      </c>
      <c r="G1710" t="s">
        <v>562</v>
      </c>
      <c r="H1710" t="s">
        <v>562</v>
      </c>
      <c r="I1710">
        <v>4067</v>
      </c>
      <c r="J1710" t="s">
        <v>564</v>
      </c>
      <c r="K1710" s="698">
        <v>45957.472222222219</v>
      </c>
      <c r="L1710" s="698">
        <v>45957.472222222219</v>
      </c>
      <c r="M1710" t="s">
        <v>565</v>
      </c>
      <c r="N1710" t="s">
        <v>565</v>
      </c>
      <c r="O1710" t="s">
        <v>566</v>
      </c>
      <c r="P1710" t="s">
        <v>567</v>
      </c>
      <c r="S1710" t="s">
        <v>567</v>
      </c>
      <c r="T1710" t="s">
        <v>567</v>
      </c>
      <c r="Z1710" t="s">
        <v>568</v>
      </c>
      <c r="AA1710" t="s">
        <v>568</v>
      </c>
    </row>
    <row r="1711" spans="1:27">
      <c r="A1711" t="s">
        <v>4305</v>
      </c>
      <c r="B1711" t="s">
        <v>2784</v>
      </c>
      <c r="C1711" t="s">
        <v>4313</v>
      </c>
      <c r="D1711" t="s">
        <v>4307</v>
      </c>
      <c r="E1711" t="s">
        <v>4327</v>
      </c>
      <c r="F1711" t="s">
        <v>562</v>
      </c>
      <c r="G1711" t="s">
        <v>562</v>
      </c>
      <c r="H1711" t="s">
        <v>562</v>
      </c>
      <c r="I1711">
        <v>4289</v>
      </c>
      <c r="J1711" t="s">
        <v>564</v>
      </c>
      <c r="K1711" s="698">
        <v>45957.5</v>
      </c>
      <c r="L1711" s="698">
        <v>45957.5</v>
      </c>
      <c r="M1711" t="s">
        <v>565</v>
      </c>
      <c r="N1711" t="s">
        <v>565</v>
      </c>
      <c r="O1711" t="s">
        <v>566</v>
      </c>
      <c r="P1711" t="s">
        <v>567</v>
      </c>
      <c r="S1711" t="s">
        <v>567</v>
      </c>
      <c r="T1711" t="s">
        <v>567</v>
      </c>
      <c r="Z1711" t="s">
        <v>568</v>
      </c>
      <c r="AA1711" t="s">
        <v>568</v>
      </c>
    </row>
    <row r="1712" spans="1:27">
      <c r="A1712" t="s">
        <v>4305</v>
      </c>
      <c r="B1712" t="s">
        <v>2784</v>
      </c>
      <c r="C1712" t="s">
        <v>4313</v>
      </c>
      <c r="D1712" t="s">
        <v>4307</v>
      </c>
      <c r="E1712" t="s">
        <v>4328</v>
      </c>
      <c r="F1712" t="s">
        <v>562</v>
      </c>
      <c r="G1712" t="s">
        <v>562</v>
      </c>
      <c r="H1712" t="s">
        <v>562</v>
      </c>
      <c r="I1712">
        <v>4295</v>
      </c>
      <c r="J1712" t="s">
        <v>564</v>
      </c>
      <c r="K1712" s="698">
        <v>45957.500694444447</v>
      </c>
      <c r="L1712" s="698">
        <v>45957.500694444447</v>
      </c>
      <c r="M1712" t="s">
        <v>565</v>
      </c>
      <c r="N1712" t="s">
        <v>565</v>
      </c>
      <c r="O1712" t="s">
        <v>566</v>
      </c>
      <c r="P1712" t="s">
        <v>567</v>
      </c>
      <c r="S1712" t="s">
        <v>567</v>
      </c>
      <c r="T1712" t="s">
        <v>567</v>
      </c>
      <c r="Z1712" t="s">
        <v>568</v>
      </c>
      <c r="AA1712" t="s">
        <v>568</v>
      </c>
    </row>
    <row r="1713" spans="1:27">
      <c r="A1713" t="s">
        <v>4305</v>
      </c>
      <c r="B1713" t="s">
        <v>2784</v>
      </c>
      <c r="C1713" t="s">
        <v>4313</v>
      </c>
      <c r="D1713" t="s">
        <v>4307</v>
      </c>
      <c r="E1713" t="s">
        <v>4329</v>
      </c>
      <c r="F1713" t="s">
        <v>562</v>
      </c>
      <c r="G1713" t="s">
        <v>562</v>
      </c>
      <c r="H1713" t="s">
        <v>562</v>
      </c>
      <c r="I1713">
        <v>4296</v>
      </c>
      <c r="J1713" t="s">
        <v>564</v>
      </c>
      <c r="K1713" s="698">
        <v>45957.500694444447</v>
      </c>
      <c r="L1713" s="698">
        <v>45957.500694444447</v>
      </c>
      <c r="M1713" t="s">
        <v>565</v>
      </c>
      <c r="N1713" t="s">
        <v>565</v>
      </c>
      <c r="O1713" t="s">
        <v>566</v>
      </c>
      <c r="P1713" t="s">
        <v>567</v>
      </c>
      <c r="S1713" t="s">
        <v>567</v>
      </c>
      <c r="T1713" t="s">
        <v>567</v>
      </c>
      <c r="Z1713" t="s">
        <v>568</v>
      </c>
      <c r="AA1713" t="s">
        <v>568</v>
      </c>
    </row>
    <row r="1714" spans="1:27">
      <c r="A1714" t="s">
        <v>4305</v>
      </c>
      <c r="B1714" t="s">
        <v>562</v>
      </c>
      <c r="C1714" t="s">
        <v>562</v>
      </c>
      <c r="D1714" t="s">
        <v>4307</v>
      </c>
      <c r="E1714" t="s">
        <v>4330</v>
      </c>
      <c r="F1714" t="s">
        <v>562</v>
      </c>
      <c r="G1714" t="s">
        <v>562</v>
      </c>
      <c r="H1714" t="s">
        <v>562</v>
      </c>
      <c r="I1714">
        <v>4319</v>
      </c>
      <c r="J1714" t="s">
        <v>564</v>
      </c>
      <c r="K1714" s="698">
        <v>45957.503472222219</v>
      </c>
      <c r="L1714" s="698">
        <v>45957.503472222219</v>
      </c>
      <c r="M1714" t="s">
        <v>565</v>
      </c>
      <c r="N1714" t="s">
        <v>565</v>
      </c>
      <c r="O1714" t="s">
        <v>566</v>
      </c>
      <c r="P1714" t="s">
        <v>567</v>
      </c>
      <c r="S1714" t="s">
        <v>567</v>
      </c>
      <c r="T1714" t="s">
        <v>567</v>
      </c>
      <c r="Z1714" t="s">
        <v>568</v>
      </c>
      <c r="AA1714" t="s">
        <v>568</v>
      </c>
    </row>
    <row r="1715" spans="1:27">
      <c r="A1715" t="s">
        <v>4305</v>
      </c>
      <c r="B1715" t="s">
        <v>2784</v>
      </c>
      <c r="C1715" t="s">
        <v>4313</v>
      </c>
      <c r="D1715" t="s">
        <v>4307</v>
      </c>
      <c r="E1715" t="s">
        <v>4331</v>
      </c>
      <c r="F1715" t="s">
        <v>562</v>
      </c>
      <c r="G1715" t="s">
        <v>562</v>
      </c>
      <c r="H1715" t="s">
        <v>562</v>
      </c>
      <c r="I1715">
        <v>4362</v>
      </c>
      <c r="J1715" t="s">
        <v>564</v>
      </c>
      <c r="K1715" s="698">
        <v>45957.509027777778</v>
      </c>
      <c r="L1715" s="698">
        <v>45957.509027777778</v>
      </c>
      <c r="M1715" t="s">
        <v>565</v>
      </c>
      <c r="N1715" t="s">
        <v>565</v>
      </c>
      <c r="O1715" t="s">
        <v>566</v>
      </c>
      <c r="P1715" t="s">
        <v>567</v>
      </c>
      <c r="S1715" t="s">
        <v>567</v>
      </c>
      <c r="T1715" t="s">
        <v>567</v>
      </c>
      <c r="Z1715" t="s">
        <v>568</v>
      </c>
      <c r="AA1715" t="s">
        <v>568</v>
      </c>
    </row>
    <row r="1716" spans="1:27">
      <c r="A1716" t="s">
        <v>4305</v>
      </c>
      <c r="B1716" t="s">
        <v>2784</v>
      </c>
      <c r="C1716" t="s">
        <v>4306</v>
      </c>
      <c r="D1716" t="s">
        <v>4307</v>
      </c>
      <c r="E1716" t="s">
        <v>4332</v>
      </c>
      <c r="F1716" t="s">
        <v>562</v>
      </c>
      <c r="G1716" t="s">
        <v>562</v>
      </c>
      <c r="H1716" t="s">
        <v>562</v>
      </c>
      <c r="I1716">
        <v>4375</v>
      </c>
      <c r="J1716" t="s">
        <v>564</v>
      </c>
      <c r="K1716" s="698">
        <v>45957.511111111111</v>
      </c>
      <c r="L1716" s="698">
        <v>45957.511111111111</v>
      </c>
      <c r="M1716" t="s">
        <v>565</v>
      </c>
      <c r="N1716" t="s">
        <v>565</v>
      </c>
      <c r="O1716" t="s">
        <v>566</v>
      </c>
      <c r="P1716" t="s">
        <v>567</v>
      </c>
      <c r="S1716" t="s">
        <v>567</v>
      </c>
      <c r="T1716" t="s">
        <v>567</v>
      </c>
      <c r="Z1716" t="s">
        <v>568</v>
      </c>
      <c r="AA1716" t="s">
        <v>568</v>
      </c>
    </row>
    <row r="1717" spans="1:27">
      <c r="A1717" t="s">
        <v>4305</v>
      </c>
      <c r="B1717" t="s">
        <v>562</v>
      </c>
      <c r="C1717" t="s">
        <v>4306</v>
      </c>
      <c r="D1717" t="s">
        <v>4307</v>
      </c>
      <c r="E1717" t="s">
        <v>4333</v>
      </c>
      <c r="F1717" t="s">
        <v>562</v>
      </c>
      <c r="G1717" t="s">
        <v>562</v>
      </c>
      <c r="H1717" t="s">
        <v>562</v>
      </c>
      <c r="I1717">
        <v>4376</v>
      </c>
      <c r="J1717" t="s">
        <v>564</v>
      </c>
      <c r="K1717" s="698">
        <v>45957.511111111111</v>
      </c>
      <c r="L1717" s="698">
        <v>45957.511111111111</v>
      </c>
      <c r="M1717" t="s">
        <v>565</v>
      </c>
      <c r="N1717" t="s">
        <v>565</v>
      </c>
      <c r="O1717" t="s">
        <v>566</v>
      </c>
      <c r="P1717" t="s">
        <v>567</v>
      </c>
      <c r="S1717" t="s">
        <v>567</v>
      </c>
      <c r="T1717" t="s">
        <v>567</v>
      </c>
      <c r="Z1717" t="s">
        <v>568</v>
      </c>
      <c r="AA1717" t="s">
        <v>568</v>
      </c>
    </row>
    <row r="1718" spans="1:27">
      <c r="A1718" t="s">
        <v>4305</v>
      </c>
      <c r="B1718" t="s">
        <v>562</v>
      </c>
      <c r="C1718" t="s">
        <v>4306</v>
      </c>
      <c r="D1718" t="s">
        <v>4307</v>
      </c>
      <c r="E1718" t="s">
        <v>4334</v>
      </c>
      <c r="F1718" t="s">
        <v>562</v>
      </c>
      <c r="G1718" t="s">
        <v>562</v>
      </c>
      <c r="H1718" t="s">
        <v>562</v>
      </c>
      <c r="I1718">
        <v>4378</v>
      </c>
      <c r="J1718" t="s">
        <v>564</v>
      </c>
      <c r="K1718" s="698">
        <v>45957.511111111111</v>
      </c>
      <c r="L1718" s="698">
        <v>45957.511111111111</v>
      </c>
      <c r="M1718" t="s">
        <v>565</v>
      </c>
      <c r="N1718" t="s">
        <v>565</v>
      </c>
      <c r="O1718" t="s">
        <v>566</v>
      </c>
      <c r="P1718" t="s">
        <v>567</v>
      </c>
      <c r="S1718" t="s">
        <v>567</v>
      </c>
      <c r="T1718" t="s">
        <v>567</v>
      </c>
      <c r="Z1718" t="s">
        <v>568</v>
      </c>
      <c r="AA1718" t="s">
        <v>568</v>
      </c>
    </row>
    <row r="1719" spans="1:27">
      <c r="A1719" t="s">
        <v>4305</v>
      </c>
      <c r="B1719" t="s">
        <v>562</v>
      </c>
      <c r="C1719" t="s">
        <v>562</v>
      </c>
      <c r="D1719" t="s">
        <v>4307</v>
      </c>
      <c r="E1719" t="s">
        <v>4335</v>
      </c>
      <c r="F1719" t="s">
        <v>562</v>
      </c>
      <c r="G1719" t="s">
        <v>562</v>
      </c>
      <c r="H1719" t="s">
        <v>562</v>
      </c>
      <c r="I1719">
        <v>4380</v>
      </c>
      <c r="J1719" t="s">
        <v>564</v>
      </c>
      <c r="K1719" s="698">
        <v>45957.511111111111</v>
      </c>
      <c r="L1719" s="698">
        <v>45957.511111111111</v>
      </c>
      <c r="M1719" t="s">
        <v>565</v>
      </c>
      <c r="N1719" t="s">
        <v>565</v>
      </c>
      <c r="O1719" t="s">
        <v>566</v>
      </c>
      <c r="P1719" t="s">
        <v>567</v>
      </c>
      <c r="S1719" t="s">
        <v>567</v>
      </c>
      <c r="T1719" t="s">
        <v>567</v>
      </c>
      <c r="Z1719" t="s">
        <v>568</v>
      </c>
      <c r="AA1719" t="s">
        <v>568</v>
      </c>
    </row>
    <row r="1720" spans="1:27">
      <c r="A1720" t="s">
        <v>4305</v>
      </c>
      <c r="B1720" t="s">
        <v>2784</v>
      </c>
      <c r="C1720" t="s">
        <v>4306</v>
      </c>
      <c r="D1720" t="s">
        <v>4307</v>
      </c>
      <c r="E1720" t="s">
        <v>4336</v>
      </c>
      <c r="F1720" t="s">
        <v>562</v>
      </c>
      <c r="G1720" t="s">
        <v>562</v>
      </c>
      <c r="H1720" t="s">
        <v>562</v>
      </c>
      <c r="I1720">
        <v>4390</v>
      </c>
      <c r="J1720" t="s">
        <v>564</v>
      </c>
      <c r="K1720" s="698">
        <v>45957.512499999997</v>
      </c>
      <c r="L1720" s="698">
        <v>45957.512499999997</v>
      </c>
      <c r="M1720" t="s">
        <v>565</v>
      </c>
      <c r="N1720" t="s">
        <v>565</v>
      </c>
      <c r="O1720" t="s">
        <v>566</v>
      </c>
      <c r="P1720" t="s">
        <v>567</v>
      </c>
      <c r="S1720" t="s">
        <v>567</v>
      </c>
      <c r="T1720" t="s">
        <v>567</v>
      </c>
      <c r="Z1720" t="s">
        <v>568</v>
      </c>
      <c r="AA1720" t="s">
        <v>568</v>
      </c>
    </row>
    <row r="1721" spans="1:27">
      <c r="A1721" t="s">
        <v>4305</v>
      </c>
      <c r="B1721" t="s">
        <v>2003</v>
      </c>
      <c r="C1721" t="s">
        <v>4309</v>
      </c>
      <c r="D1721" t="s">
        <v>4307</v>
      </c>
      <c r="E1721" t="s">
        <v>4337</v>
      </c>
      <c r="F1721" t="s">
        <v>562</v>
      </c>
      <c r="G1721" t="s">
        <v>562</v>
      </c>
      <c r="H1721" t="s">
        <v>562</v>
      </c>
      <c r="I1721">
        <v>4424</v>
      </c>
      <c r="J1721" t="s">
        <v>564</v>
      </c>
      <c r="K1721" s="698">
        <v>45957.51666666667</v>
      </c>
      <c r="L1721" s="698">
        <v>45957.51666666667</v>
      </c>
      <c r="M1721" t="s">
        <v>565</v>
      </c>
      <c r="N1721" t="s">
        <v>565</v>
      </c>
      <c r="O1721" t="s">
        <v>566</v>
      </c>
      <c r="P1721" t="s">
        <v>567</v>
      </c>
      <c r="S1721" t="s">
        <v>567</v>
      </c>
      <c r="T1721" t="s">
        <v>567</v>
      </c>
      <c r="Z1721" t="s">
        <v>568</v>
      </c>
      <c r="AA1721" t="s">
        <v>568</v>
      </c>
    </row>
    <row r="1722" spans="1:27">
      <c r="A1722" t="s">
        <v>4305</v>
      </c>
      <c r="B1722" t="s">
        <v>2003</v>
      </c>
      <c r="C1722" t="s">
        <v>4309</v>
      </c>
      <c r="D1722" t="s">
        <v>4307</v>
      </c>
      <c r="E1722" t="s">
        <v>4338</v>
      </c>
      <c r="F1722" t="s">
        <v>562</v>
      </c>
      <c r="G1722" t="s">
        <v>562</v>
      </c>
      <c r="H1722" t="s">
        <v>562</v>
      </c>
      <c r="I1722">
        <v>4425</v>
      </c>
      <c r="J1722" t="s">
        <v>564</v>
      </c>
      <c r="K1722" s="698">
        <v>45957.51666666667</v>
      </c>
      <c r="L1722" s="698">
        <v>45957.51666666667</v>
      </c>
      <c r="M1722" t="s">
        <v>565</v>
      </c>
      <c r="N1722" t="s">
        <v>565</v>
      </c>
      <c r="O1722" t="s">
        <v>566</v>
      </c>
      <c r="P1722" t="s">
        <v>567</v>
      </c>
      <c r="S1722" t="s">
        <v>567</v>
      </c>
      <c r="T1722" t="s">
        <v>567</v>
      </c>
      <c r="Z1722" t="s">
        <v>568</v>
      </c>
      <c r="AA1722" t="s">
        <v>568</v>
      </c>
    </row>
    <row r="1723" spans="1:27">
      <c r="A1723" t="s">
        <v>4305</v>
      </c>
      <c r="B1723" t="s">
        <v>2003</v>
      </c>
      <c r="C1723" t="s">
        <v>4309</v>
      </c>
      <c r="D1723" t="s">
        <v>4307</v>
      </c>
      <c r="E1723" t="s">
        <v>4339</v>
      </c>
      <c r="F1723" t="s">
        <v>562</v>
      </c>
      <c r="G1723" t="s">
        <v>562</v>
      </c>
      <c r="H1723" t="s">
        <v>562</v>
      </c>
      <c r="I1723">
        <v>4436</v>
      </c>
      <c r="J1723" t="s">
        <v>564</v>
      </c>
      <c r="K1723" s="698">
        <v>45957.518750000003</v>
      </c>
      <c r="L1723" s="698">
        <v>45957.518750000003</v>
      </c>
      <c r="M1723" t="s">
        <v>565</v>
      </c>
      <c r="N1723" t="s">
        <v>565</v>
      </c>
      <c r="O1723" t="s">
        <v>566</v>
      </c>
      <c r="P1723" t="s">
        <v>567</v>
      </c>
      <c r="S1723" t="s">
        <v>567</v>
      </c>
      <c r="T1723" t="s">
        <v>567</v>
      </c>
      <c r="Z1723" t="s">
        <v>568</v>
      </c>
      <c r="AA1723" t="s">
        <v>568</v>
      </c>
    </row>
    <row r="1724" spans="1:27">
      <c r="A1724" t="s">
        <v>4305</v>
      </c>
      <c r="B1724" t="s">
        <v>2784</v>
      </c>
      <c r="C1724" t="s">
        <v>4309</v>
      </c>
      <c r="D1724" t="s">
        <v>4307</v>
      </c>
      <c r="E1724" t="s">
        <v>4340</v>
      </c>
      <c r="F1724" t="s">
        <v>562</v>
      </c>
      <c r="G1724" t="s">
        <v>562</v>
      </c>
      <c r="H1724" t="s">
        <v>562</v>
      </c>
      <c r="I1724">
        <v>4549</v>
      </c>
      <c r="J1724" t="s">
        <v>564</v>
      </c>
      <c r="K1724" s="698">
        <v>45957.531944444447</v>
      </c>
      <c r="L1724" s="698">
        <v>45957.531944444447</v>
      </c>
      <c r="M1724" t="s">
        <v>565</v>
      </c>
      <c r="N1724" t="s">
        <v>565</v>
      </c>
      <c r="O1724" t="s">
        <v>566</v>
      </c>
      <c r="P1724" t="s">
        <v>567</v>
      </c>
      <c r="S1724" t="s">
        <v>567</v>
      </c>
      <c r="T1724" t="s">
        <v>567</v>
      </c>
      <c r="Z1724" t="s">
        <v>568</v>
      </c>
      <c r="AA1724" t="s">
        <v>568</v>
      </c>
    </row>
    <row r="1725" spans="1:27">
      <c r="A1725" t="s">
        <v>4305</v>
      </c>
      <c r="B1725" t="s">
        <v>562</v>
      </c>
      <c r="C1725" t="s">
        <v>4309</v>
      </c>
      <c r="D1725" t="s">
        <v>4307</v>
      </c>
      <c r="E1725" t="s">
        <v>4341</v>
      </c>
      <c r="F1725" t="s">
        <v>562</v>
      </c>
      <c r="G1725" t="s">
        <v>562</v>
      </c>
      <c r="H1725" t="s">
        <v>562</v>
      </c>
      <c r="I1725">
        <v>4562</v>
      </c>
      <c r="J1725" t="s">
        <v>564</v>
      </c>
      <c r="K1725" s="698">
        <v>45957.533333333333</v>
      </c>
      <c r="L1725" s="698">
        <v>45957.533333333333</v>
      </c>
      <c r="M1725" t="s">
        <v>565</v>
      </c>
      <c r="N1725" t="s">
        <v>565</v>
      </c>
      <c r="O1725" t="s">
        <v>566</v>
      </c>
      <c r="P1725" t="s">
        <v>567</v>
      </c>
      <c r="S1725" t="s">
        <v>567</v>
      </c>
      <c r="T1725" t="s">
        <v>567</v>
      </c>
      <c r="Z1725" t="s">
        <v>568</v>
      </c>
      <c r="AA1725" t="s">
        <v>568</v>
      </c>
    </row>
    <row r="1726" spans="1:27">
      <c r="A1726" t="s">
        <v>4305</v>
      </c>
      <c r="B1726" t="s">
        <v>2784</v>
      </c>
      <c r="C1726" t="s">
        <v>4313</v>
      </c>
      <c r="D1726" t="s">
        <v>4307</v>
      </c>
      <c r="E1726" t="s">
        <v>4342</v>
      </c>
      <c r="F1726" t="s">
        <v>562</v>
      </c>
      <c r="G1726" t="s">
        <v>562</v>
      </c>
      <c r="H1726" t="s">
        <v>562</v>
      </c>
      <c r="I1726">
        <v>4603</v>
      </c>
      <c r="J1726" t="s">
        <v>564</v>
      </c>
      <c r="K1726" s="698">
        <v>45957.538888888892</v>
      </c>
      <c r="L1726" s="698">
        <v>45957.538888888892</v>
      </c>
      <c r="M1726" t="s">
        <v>565</v>
      </c>
      <c r="N1726" t="s">
        <v>565</v>
      </c>
      <c r="O1726" t="s">
        <v>566</v>
      </c>
      <c r="P1726" t="s">
        <v>567</v>
      </c>
      <c r="S1726" t="s">
        <v>567</v>
      </c>
      <c r="T1726" t="s">
        <v>567</v>
      </c>
      <c r="Z1726" t="s">
        <v>568</v>
      </c>
      <c r="AA1726" t="s">
        <v>568</v>
      </c>
    </row>
    <row r="1727" spans="1:27">
      <c r="A1727" t="s">
        <v>4305</v>
      </c>
      <c r="B1727" t="s">
        <v>2784</v>
      </c>
      <c r="C1727" t="s">
        <v>4309</v>
      </c>
      <c r="D1727" t="s">
        <v>4307</v>
      </c>
      <c r="E1727" t="s">
        <v>4343</v>
      </c>
      <c r="F1727" t="s">
        <v>562</v>
      </c>
      <c r="G1727" t="s">
        <v>562</v>
      </c>
      <c r="H1727" t="s">
        <v>562</v>
      </c>
      <c r="I1727">
        <v>4613</v>
      </c>
      <c r="J1727" t="s">
        <v>564</v>
      </c>
      <c r="K1727" s="698">
        <v>45957.540277777778</v>
      </c>
      <c r="L1727" s="698">
        <v>45957.540277777778</v>
      </c>
      <c r="M1727" t="s">
        <v>565</v>
      </c>
      <c r="N1727" t="s">
        <v>565</v>
      </c>
      <c r="O1727" t="s">
        <v>566</v>
      </c>
      <c r="P1727" t="s">
        <v>567</v>
      </c>
      <c r="S1727" t="s">
        <v>567</v>
      </c>
      <c r="T1727" t="s">
        <v>567</v>
      </c>
      <c r="Z1727" t="s">
        <v>568</v>
      </c>
      <c r="AA1727" t="s">
        <v>568</v>
      </c>
    </row>
    <row r="1728" spans="1:27">
      <c r="A1728" t="s">
        <v>4305</v>
      </c>
      <c r="B1728" t="s">
        <v>562</v>
      </c>
      <c r="C1728" t="s">
        <v>4306</v>
      </c>
      <c r="D1728" t="s">
        <v>4307</v>
      </c>
      <c r="E1728" t="s">
        <v>4344</v>
      </c>
      <c r="F1728" t="s">
        <v>562</v>
      </c>
      <c r="G1728" t="s">
        <v>562</v>
      </c>
      <c r="H1728" t="s">
        <v>562</v>
      </c>
      <c r="I1728">
        <v>4637</v>
      </c>
      <c r="J1728" t="s">
        <v>564</v>
      </c>
      <c r="K1728" s="698">
        <v>45957.547222222223</v>
      </c>
      <c r="L1728" s="698">
        <v>45957.547222222223</v>
      </c>
      <c r="M1728" t="s">
        <v>565</v>
      </c>
      <c r="N1728" t="s">
        <v>565</v>
      </c>
      <c r="O1728" t="s">
        <v>566</v>
      </c>
      <c r="P1728" t="s">
        <v>567</v>
      </c>
      <c r="S1728" t="s">
        <v>567</v>
      </c>
      <c r="T1728" t="s">
        <v>567</v>
      </c>
      <c r="Z1728" t="s">
        <v>568</v>
      </c>
      <c r="AA1728" t="s">
        <v>568</v>
      </c>
    </row>
    <row r="1729" spans="1:27">
      <c r="A1729" t="s">
        <v>4305</v>
      </c>
      <c r="B1729" t="s">
        <v>562</v>
      </c>
      <c r="C1729" t="s">
        <v>4309</v>
      </c>
      <c r="D1729" t="s">
        <v>4307</v>
      </c>
      <c r="E1729" t="s">
        <v>4345</v>
      </c>
      <c r="F1729" t="s">
        <v>562</v>
      </c>
      <c r="G1729" t="s">
        <v>562</v>
      </c>
      <c r="H1729" t="s">
        <v>562</v>
      </c>
      <c r="I1729">
        <v>4665</v>
      </c>
      <c r="J1729" t="s">
        <v>564</v>
      </c>
      <c r="K1729" s="698">
        <v>45957.54791666667</v>
      </c>
      <c r="L1729" s="698">
        <v>45957.54791666667</v>
      </c>
      <c r="M1729" t="s">
        <v>565</v>
      </c>
      <c r="N1729" t="s">
        <v>565</v>
      </c>
      <c r="O1729" t="s">
        <v>566</v>
      </c>
      <c r="P1729" t="s">
        <v>567</v>
      </c>
      <c r="S1729" t="s">
        <v>567</v>
      </c>
      <c r="T1729" t="s">
        <v>567</v>
      </c>
      <c r="Z1729" t="s">
        <v>568</v>
      </c>
      <c r="AA1729" t="s">
        <v>568</v>
      </c>
    </row>
    <row r="1730" spans="1:27">
      <c r="A1730" t="s">
        <v>4305</v>
      </c>
      <c r="B1730" t="s">
        <v>4346</v>
      </c>
      <c r="C1730" t="s">
        <v>4306</v>
      </c>
      <c r="D1730" t="s">
        <v>4307</v>
      </c>
      <c r="E1730" t="s">
        <v>4347</v>
      </c>
      <c r="F1730" t="s">
        <v>562</v>
      </c>
      <c r="G1730" t="s">
        <v>562</v>
      </c>
      <c r="H1730" t="s">
        <v>562</v>
      </c>
      <c r="I1730">
        <v>4688</v>
      </c>
      <c r="J1730" t="s">
        <v>564</v>
      </c>
      <c r="K1730" s="698">
        <v>45957.548611111109</v>
      </c>
      <c r="L1730" s="698">
        <v>45957.548611111109</v>
      </c>
      <c r="M1730" t="s">
        <v>565</v>
      </c>
      <c r="N1730" t="s">
        <v>565</v>
      </c>
      <c r="O1730" t="s">
        <v>566</v>
      </c>
      <c r="P1730" t="s">
        <v>567</v>
      </c>
      <c r="S1730" t="s">
        <v>567</v>
      </c>
      <c r="T1730" t="s">
        <v>567</v>
      </c>
      <c r="Z1730" t="s">
        <v>568</v>
      </c>
      <c r="AA1730" t="s">
        <v>568</v>
      </c>
    </row>
    <row r="1731" spans="1:27">
      <c r="A1731" t="s">
        <v>4305</v>
      </c>
      <c r="B1731" t="s">
        <v>2784</v>
      </c>
      <c r="C1731" t="s">
        <v>4306</v>
      </c>
      <c r="D1731" t="s">
        <v>4307</v>
      </c>
      <c r="E1731" t="s">
        <v>4348</v>
      </c>
      <c r="F1731" t="s">
        <v>562</v>
      </c>
      <c r="G1731" t="s">
        <v>562</v>
      </c>
      <c r="H1731" t="s">
        <v>562</v>
      </c>
      <c r="I1731">
        <v>4710</v>
      </c>
      <c r="J1731" t="s">
        <v>564</v>
      </c>
      <c r="K1731" s="698">
        <v>45957.549305555556</v>
      </c>
      <c r="L1731" s="698">
        <v>45957.549305555556</v>
      </c>
      <c r="M1731" t="s">
        <v>565</v>
      </c>
      <c r="N1731" t="s">
        <v>565</v>
      </c>
      <c r="O1731" t="s">
        <v>566</v>
      </c>
      <c r="P1731" t="s">
        <v>567</v>
      </c>
      <c r="S1731" t="s">
        <v>567</v>
      </c>
      <c r="T1731" t="s">
        <v>567</v>
      </c>
      <c r="Z1731" t="s">
        <v>568</v>
      </c>
      <c r="AA1731" t="s">
        <v>568</v>
      </c>
    </row>
    <row r="1732" spans="1:27">
      <c r="A1732" t="s">
        <v>4305</v>
      </c>
      <c r="B1732" t="s">
        <v>2784</v>
      </c>
      <c r="C1732" t="s">
        <v>4306</v>
      </c>
      <c r="D1732" t="s">
        <v>4307</v>
      </c>
      <c r="E1732" t="s">
        <v>4349</v>
      </c>
      <c r="F1732" t="s">
        <v>562</v>
      </c>
      <c r="G1732" t="s">
        <v>562</v>
      </c>
      <c r="H1732" t="s">
        <v>562</v>
      </c>
      <c r="I1732">
        <v>4731</v>
      </c>
      <c r="J1732" t="s">
        <v>564</v>
      </c>
      <c r="K1732" s="698">
        <v>45957.55</v>
      </c>
      <c r="L1732" s="698">
        <v>45957.55</v>
      </c>
      <c r="M1732" t="s">
        <v>565</v>
      </c>
      <c r="N1732" t="s">
        <v>565</v>
      </c>
      <c r="O1732" t="s">
        <v>566</v>
      </c>
      <c r="P1732" t="s">
        <v>567</v>
      </c>
      <c r="S1732" t="s">
        <v>567</v>
      </c>
      <c r="T1732" t="s">
        <v>567</v>
      </c>
      <c r="Z1732" t="s">
        <v>568</v>
      </c>
      <c r="AA1732" t="s">
        <v>568</v>
      </c>
    </row>
    <row r="1733" spans="1:27">
      <c r="A1733" t="s">
        <v>4305</v>
      </c>
      <c r="B1733" t="s">
        <v>2003</v>
      </c>
      <c r="C1733" t="s">
        <v>4309</v>
      </c>
      <c r="D1733" t="s">
        <v>4307</v>
      </c>
      <c r="E1733" t="s">
        <v>4350</v>
      </c>
      <c r="F1733" t="s">
        <v>562</v>
      </c>
      <c r="G1733" t="s">
        <v>562</v>
      </c>
      <c r="H1733" t="s">
        <v>562</v>
      </c>
      <c r="I1733">
        <v>4948</v>
      </c>
      <c r="J1733" t="s">
        <v>564</v>
      </c>
      <c r="K1733" s="698">
        <v>45957.556944444441</v>
      </c>
      <c r="L1733" s="698">
        <v>45957.556944444441</v>
      </c>
      <c r="M1733" t="s">
        <v>565</v>
      </c>
      <c r="N1733" t="s">
        <v>565</v>
      </c>
      <c r="O1733" t="s">
        <v>566</v>
      </c>
      <c r="P1733" t="s">
        <v>567</v>
      </c>
      <c r="S1733" t="s">
        <v>567</v>
      </c>
      <c r="T1733" t="s">
        <v>567</v>
      </c>
      <c r="Z1733" t="s">
        <v>568</v>
      </c>
      <c r="AA1733" t="s">
        <v>568</v>
      </c>
    </row>
    <row r="1734" spans="1:27">
      <c r="A1734" t="s">
        <v>4305</v>
      </c>
      <c r="B1734" t="s">
        <v>2003</v>
      </c>
      <c r="C1734" t="s">
        <v>4309</v>
      </c>
      <c r="D1734" t="s">
        <v>4307</v>
      </c>
      <c r="E1734" t="s">
        <v>4351</v>
      </c>
      <c r="F1734" t="s">
        <v>562</v>
      </c>
      <c r="G1734" t="s">
        <v>562</v>
      </c>
      <c r="H1734" t="s">
        <v>562</v>
      </c>
      <c r="I1734">
        <v>4965</v>
      </c>
      <c r="J1734" t="s">
        <v>564</v>
      </c>
      <c r="K1734" s="698">
        <v>45957.557638888888</v>
      </c>
      <c r="L1734" s="698">
        <v>45957.557638888888</v>
      </c>
      <c r="M1734" t="s">
        <v>565</v>
      </c>
      <c r="N1734" t="s">
        <v>565</v>
      </c>
      <c r="O1734" t="s">
        <v>566</v>
      </c>
      <c r="P1734" t="s">
        <v>567</v>
      </c>
      <c r="S1734" t="s">
        <v>567</v>
      </c>
      <c r="T1734" t="s">
        <v>567</v>
      </c>
      <c r="Z1734" t="s">
        <v>568</v>
      </c>
      <c r="AA1734" t="s">
        <v>568</v>
      </c>
    </row>
    <row r="1735" spans="1:27">
      <c r="A1735" t="s">
        <v>4305</v>
      </c>
      <c r="B1735" t="s">
        <v>2003</v>
      </c>
      <c r="C1735" t="s">
        <v>4309</v>
      </c>
      <c r="D1735" t="s">
        <v>4307</v>
      </c>
      <c r="E1735" t="s">
        <v>4352</v>
      </c>
      <c r="F1735" t="s">
        <v>562</v>
      </c>
      <c r="G1735" t="s">
        <v>562</v>
      </c>
      <c r="H1735" t="s">
        <v>562</v>
      </c>
      <c r="I1735">
        <v>5038</v>
      </c>
      <c r="J1735" t="s">
        <v>564</v>
      </c>
      <c r="K1735" s="698">
        <v>45957.55972222222</v>
      </c>
      <c r="L1735" s="698">
        <v>45957.55972222222</v>
      </c>
      <c r="M1735" t="s">
        <v>565</v>
      </c>
      <c r="N1735" t="s">
        <v>565</v>
      </c>
      <c r="O1735" t="s">
        <v>566</v>
      </c>
      <c r="P1735" t="s">
        <v>567</v>
      </c>
      <c r="S1735" t="s">
        <v>567</v>
      </c>
      <c r="T1735" t="s">
        <v>567</v>
      </c>
      <c r="Z1735" t="s">
        <v>568</v>
      </c>
      <c r="AA1735" t="s">
        <v>568</v>
      </c>
    </row>
    <row r="1736" spans="1:27">
      <c r="A1736" t="s">
        <v>4305</v>
      </c>
      <c r="B1736" t="s">
        <v>2003</v>
      </c>
      <c r="C1736" t="s">
        <v>4309</v>
      </c>
      <c r="D1736" t="s">
        <v>4307</v>
      </c>
      <c r="E1736" t="s">
        <v>4353</v>
      </c>
      <c r="F1736" t="s">
        <v>562</v>
      </c>
      <c r="G1736" t="s">
        <v>562</v>
      </c>
      <c r="H1736" t="s">
        <v>562</v>
      </c>
      <c r="I1736">
        <v>5047</v>
      </c>
      <c r="J1736" t="s">
        <v>564</v>
      </c>
      <c r="K1736" s="698">
        <v>45957.55972222222</v>
      </c>
      <c r="L1736" s="698">
        <v>45957.55972222222</v>
      </c>
      <c r="M1736" t="s">
        <v>565</v>
      </c>
      <c r="N1736" t="s">
        <v>565</v>
      </c>
      <c r="O1736" t="s">
        <v>566</v>
      </c>
      <c r="P1736" t="s">
        <v>567</v>
      </c>
      <c r="S1736" t="s">
        <v>567</v>
      </c>
      <c r="T1736" t="s">
        <v>567</v>
      </c>
      <c r="Z1736" t="s">
        <v>568</v>
      </c>
      <c r="AA1736" t="s">
        <v>568</v>
      </c>
    </row>
    <row r="1737" spans="1:27">
      <c r="A1737" t="s">
        <v>4305</v>
      </c>
      <c r="B1737" t="s">
        <v>2003</v>
      </c>
      <c r="C1737" t="s">
        <v>4309</v>
      </c>
      <c r="D1737" t="s">
        <v>4307</v>
      </c>
      <c r="E1737" t="s">
        <v>4354</v>
      </c>
      <c r="F1737" t="s">
        <v>562</v>
      </c>
      <c r="G1737" t="s">
        <v>562</v>
      </c>
      <c r="H1737" t="s">
        <v>562</v>
      </c>
      <c r="I1737">
        <v>5057</v>
      </c>
      <c r="J1737" t="s">
        <v>564</v>
      </c>
      <c r="K1737" s="698">
        <v>45957.560416666667</v>
      </c>
      <c r="L1737" s="698">
        <v>45957.560416666667</v>
      </c>
      <c r="M1737" t="s">
        <v>565</v>
      </c>
      <c r="N1737" t="s">
        <v>565</v>
      </c>
      <c r="O1737" t="s">
        <v>566</v>
      </c>
      <c r="P1737" t="s">
        <v>567</v>
      </c>
      <c r="S1737" t="s">
        <v>567</v>
      </c>
      <c r="T1737" t="s">
        <v>567</v>
      </c>
      <c r="Z1737" t="s">
        <v>568</v>
      </c>
      <c r="AA1737" t="s">
        <v>568</v>
      </c>
    </row>
    <row r="1738" spans="1:27">
      <c r="A1738" t="s">
        <v>4305</v>
      </c>
      <c r="B1738" t="s">
        <v>2003</v>
      </c>
      <c r="C1738" t="s">
        <v>4309</v>
      </c>
      <c r="D1738" t="s">
        <v>4307</v>
      </c>
      <c r="E1738" t="s">
        <v>4355</v>
      </c>
      <c r="F1738" t="s">
        <v>562</v>
      </c>
      <c r="G1738" t="s">
        <v>562</v>
      </c>
      <c r="H1738" t="s">
        <v>562</v>
      </c>
      <c r="I1738">
        <v>5059</v>
      </c>
      <c r="J1738" t="s">
        <v>564</v>
      </c>
      <c r="K1738" s="698">
        <v>45957.560416666667</v>
      </c>
      <c r="L1738" s="698">
        <v>45957.560416666667</v>
      </c>
      <c r="M1738" t="s">
        <v>565</v>
      </c>
      <c r="N1738" t="s">
        <v>565</v>
      </c>
      <c r="O1738" t="s">
        <v>566</v>
      </c>
      <c r="P1738" t="s">
        <v>567</v>
      </c>
      <c r="S1738" t="s">
        <v>567</v>
      </c>
      <c r="T1738" t="s">
        <v>567</v>
      </c>
      <c r="Z1738" t="s">
        <v>568</v>
      </c>
      <c r="AA1738" t="s">
        <v>568</v>
      </c>
    </row>
    <row r="1739" spans="1:27">
      <c r="A1739" t="s">
        <v>4305</v>
      </c>
      <c r="B1739" t="s">
        <v>2003</v>
      </c>
      <c r="C1739" t="s">
        <v>4309</v>
      </c>
      <c r="D1739" t="s">
        <v>4307</v>
      </c>
      <c r="E1739" t="s">
        <v>4356</v>
      </c>
      <c r="F1739" t="s">
        <v>562</v>
      </c>
      <c r="G1739" t="s">
        <v>562</v>
      </c>
      <c r="H1739" t="s">
        <v>562</v>
      </c>
      <c r="I1739">
        <v>5067</v>
      </c>
      <c r="J1739" t="s">
        <v>564</v>
      </c>
      <c r="K1739" s="698">
        <v>45957.560416666667</v>
      </c>
      <c r="L1739" s="698">
        <v>45957.560416666667</v>
      </c>
      <c r="M1739" t="s">
        <v>565</v>
      </c>
      <c r="N1739" t="s">
        <v>565</v>
      </c>
      <c r="O1739" t="s">
        <v>566</v>
      </c>
      <c r="P1739" t="s">
        <v>567</v>
      </c>
      <c r="S1739" t="s">
        <v>567</v>
      </c>
      <c r="T1739" t="s">
        <v>567</v>
      </c>
      <c r="Z1739" t="s">
        <v>568</v>
      </c>
      <c r="AA1739" t="s">
        <v>568</v>
      </c>
    </row>
    <row r="1740" spans="1:27">
      <c r="A1740" t="s">
        <v>4305</v>
      </c>
      <c r="B1740" t="s">
        <v>562</v>
      </c>
      <c r="C1740" t="s">
        <v>4306</v>
      </c>
      <c r="D1740" t="s">
        <v>4307</v>
      </c>
      <c r="E1740" t="s">
        <v>4357</v>
      </c>
      <c r="F1740" t="s">
        <v>562</v>
      </c>
      <c r="G1740" t="s">
        <v>562</v>
      </c>
      <c r="H1740" t="s">
        <v>562</v>
      </c>
      <c r="I1740">
        <v>5096</v>
      </c>
      <c r="J1740" t="s">
        <v>564</v>
      </c>
      <c r="K1740" s="698">
        <v>45957.561111111114</v>
      </c>
      <c r="L1740" s="698">
        <v>45957.561111111114</v>
      </c>
      <c r="M1740" t="s">
        <v>565</v>
      </c>
      <c r="N1740" t="s">
        <v>565</v>
      </c>
      <c r="O1740" t="s">
        <v>566</v>
      </c>
      <c r="P1740" t="s">
        <v>567</v>
      </c>
      <c r="S1740" t="s">
        <v>567</v>
      </c>
      <c r="T1740" t="s">
        <v>567</v>
      </c>
      <c r="Z1740" t="s">
        <v>568</v>
      </c>
      <c r="AA1740" t="s">
        <v>568</v>
      </c>
    </row>
    <row r="1741" spans="1:27">
      <c r="A1741" t="s">
        <v>4305</v>
      </c>
      <c r="B1741" t="s">
        <v>2784</v>
      </c>
      <c r="C1741" t="s">
        <v>4313</v>
      </c>
      <c r="D1741" t="s">
        <v>4307</v>
      </c>
      <c r="E1741" t="s">
        <v>4358</v>
      </c>
      <c r="F1741" t="s">
        <v>562</v>
      </c>
      <c r="G1741" t="s">
        <v>562</v>
      </c>
      <c r="H1741" t="s">
        <v>562</v>
      </c>
      <c r="I1741">
        <v>5097</v>
      </c>
      <c r="J1741" t="s">
        <v>564</v>
      </c>
      <c r="K1741" s="698">
        <v>45957.561111111114</v>
      </c>
      <c r="L1741" s="698">
        <v>45957.561111111114</v>
      </c>
      <c r="M1741" t="s">
        <v>565</v>
      </c>
      <c r="N1741" t="s">
        <v>565</v>
      </c>
      <c r="O1741" t="s">
        <v>566</v>
      </c>
      <c r="P1741" t="s">
        <v>567</v>
      </c>
      <c r="S1741" t="s">
        <v>567</v>
      </c>
      <c r="T1741" t="s">
        <v>567</v>
      </c>
      <c r="Z1741" t="s">
        <v>568</v>
      </c>
      <c r="AA1741" t="s">
        <v>568</v>
      </c>
    </row>
    <row r="1742" spans="1:27">
      <c r="A1742" t="s">
        <v>4305</v>
      </c>
      <c r="B1742" t="s">
        <v>4359</v>
      </c>
      <c r="C1742" t="s">
        <v>4309</v>
      </c>
      <c r="D1742" t="s">
        <v>4307</v>
      </c>
      <c r="E1742" t="s">
        <v>4360</v>
      </c>
      <c r="F1742" t="s">
        <v>562</v>
      </c>
      <c r="G1742" t="s">
        <v>562</v>
      </c>
      <c r="H1742" t="s">
        <v>562</v>
      </c>
      <c r="I1742">
        <v>5098</v>
      </c>
      <c r="J1742" t="s">
        <v>564</v>
      </c>
      <c r="K1742" s="698">
        <v>45957.561111111114</v>
      </c>
      <c r="L1742" s="698">
        <v>45957.561111111114</v>
      </c>
      <c r="M1742" t="s">
        <v>565</v>
      </c>
      <c r="N1742" t="s">
        <v>565</v>
      </c>
      <c r="O1742" t="s">
        <v>566</v>
      </c>
      <c r="P1742" t="s">
        <v>567</v>
      </c>
      <c r="S1742" t="s">
        <v>567</v>
      </c>
      <c r="T1742" t="s">
        <v>567</v>
      </c>
      <c r="Z1742" t="s">
        <v>568</v>
      </c>
      <c r="AA1742" t="s">
        <v>568</v>
      </c>
    </row>
    <row r="1743" spans="1:27">
      <c r="A1743" t="s">
        <v>4305</v>
      </c>
      <c r="B1743" t="s">
        <v>562</v>
      </c>
      <c r="C1743" t="s">
        <v>4306</v>
      </c>
      <c r="D1743" t="s">
        <v>4307</v>
      </c>
      <c r="E1743" t="s">
        <v>4361</v>
      </c>
      <c r="F1743" t="s">
        <v>562</v>
      </c>
      <c r="G1743" t="s">
        <v>562</v>
      </c>
      <c r="H1743" t="s">
        <v>562</v>
      </c>
      <c r="I1743">
        <v>5100</v>
      </c>
      <c r="J1743" t="s">
        <v>564</v>
      </c>
      <c r="K1743" s="698">
        <v>45957.561111111114</v>
      </c>
      <c r="L1743" s="698">
        <v>45957.561111111114</v>
      </c>
      <c r="M1743" t="s">
        <v>565</v>
      </c>
      <c r="N1743" t="s">
        <v>565</v>
      </c>
      <c r="O1743" t="s">
        <v>566</v>
      </c>
      <c r="P1743" t="s">
        <v>567</v>
      </c>
      <c r="S1743" t="s">
        <v>567</v>
      </c>
      <c r="T1743" t="s">
        <v>567</v>
      </c>
      <c r="Z1743" t="s">
        <v>568</v>
      </c>
      <c r="AA1743" t="s">
        <v>568</v>
      </c>
    </row>
    <row r="1744" spans="1:27">
      <c r="A1744" t="s">
        <v>4305</v>
      </c>
      <c r="B1744" t="s">
        <v>2784</v>
      </c>
      <c r="C1744" t="s">
        <v>4306</v>
      </c>
      <c r="D1744" t="s">
        <v>4307</v>
      </c>
      <c r="E1744" t="s">
        <v>4362</v>
      </c>
      <c r="F1744" t="s">
        <v>562</v>
      </c>
      <c r="G1744" t="s">
        <v>562</v>
      </c>
      <c r="H1744" t="s">
        <v>562</v>
      </c>
      <c r="I1744">
        <v>5115</v>
      </c>
      <c r="J1744" t="s">
        <v>564</v>
      </c>
      <c r="K1744" s="698">
        <v>45957.561805555553</v>
      </c>
      <c r="L1744" s="698">
        <v>45957.561805555553</v>
      </c>
      <c r="M1744" t="s">
        <v>565</v>
      </c>
      <c r="N1744" t="s">
        <v>565</v>
      </c>
      <c r="O1744" t="s">
        <v>566</v>
      </c>
      <c r="P1744" t="s">
        <v>567</v>
      </c>
      <c r="S1744" t="s">
        <v>567</v>
      </c>
      <c r="T1744" t="s">
        <v>567</v>
      </c>
      <c r="Z1744" t="s">
        <v>568</v>
      </c>
      <c r="AA1744" t="s">
        <v>568</v>
      </c>
    </row>
    <row r="1745" spans="1:27">
      <c r="A1745" t="s">
        <v>4305</v>
      </c>
      <c r="B1745" t="s">
        <v>562</v>
      </c>
      <c r="C1745" t="s">
        <v>562</v>
      </c>
      <c r="D1745" t="s">
        <v>4307</v>
      </c>
      <c r="E1745" t="s">
        <v>4363</v>
      </c>
      <c r="F1745" t="s">
        <v>562</v>
      </c>
      <c r="G1745" t="s">
        <v>562</v>
      </c>
      <c r="H1745" t="s">
        <v>562</v>
      </c>
      <c r="I1745">
        <v>5167</v>
      </c>
      <c r="J1745" t="s">
        <v>564</v>
      </c>
      <c r="K1745" s="698">
        <v>45957.563194444447</v>
      </c>
      <c r="L1745" s="698">
        <v>45957.563194444447</v>
      </c>
      <c r="M1745" t="s">
        <v>565</v>
      </c>
      <c r="N1745" t="s">
        <v>565</v>
      </c>
      <c r="O1745" t="s">
        <v>566</v>
      </c>
      <c r="P1745" t="s">
        <v>567</v>
      </c>
      <c r="S1745" t="s">
        <v>567</v>
      </c>
      <c r="T1745" t="s">
        <v>567</v>
      </c>
      <c r="Z1745" t="s">
        <v>568</v>
      </c>
      <c r="AA1745" t="s">
        <v>568</v>
      </c>
    </row>
    <row r="1746" spans="1:27">
      <c r="A1746" t="s">
        <v>4305</v>
      </c>
      <c r="B1746" t="s">
        <v>562</v>
      </c>
      <c r="C1746" t="s">
        <v>4313</v>
      </c>
      <c r="D1746" t="s">
        <v>4307</v>
      </c>
      <c r="E1746" t="s">
        <v>4364</v>
      </c>
      <c r="F1746" t="s">
        <v>562</v>
      </c>
      <c r="G1746" t="s">
        <v>562</v>
      </c>
      <c r="H1746" t="s">
        <v>562</v>
      </c>
      <c r="I1746">
        <v>5172</v>
      </c>
      <c r="J1746" t="s">
        <v>564</v>
      </c>
      <c r="K1746" s="698">
        <v>45957.563194444447</v>
      </c>
      <c r="L1746" s="698">
        <v>45957.563194444447</v>
      </c>
      <c r="M1746" t="s">
        <v>565</v>
      </c>
      <c r="N1746" t="s">
        <v>565</v>
      </c>
      <c r="O1746" t="s">
        <v>566</v>
      </c>
      <c r="P1746" t="s">
        <v>567</v>
      </c>
      <c r="S1746" t="s">
        <v>567</v>
      </c>
      <c r="T1746" t="s">
        <v>567</v>
      </c>
      <c r="Z1746" t="s">
        <v>568</v>
      </c>
      <c r="AA1746" t="s">
        <v>568</v>
      </c>
    </row>
    <row r="1747" spans="1:27">
      <c r="A1747" t="s">
        <v>4365</v>
      </c>
      <c r="B1747" t="s">
        <v>4366</v>
      </c>
      <c r="C1747" t="s">
        <v>4367</v>
      </c>
      <c r="D1747" t="s">
        <v>562</v>
      </c>
      <c r="E1747" t="s">
        <v>4368</v>
      </c>
      <c r="F1747" t="s">
        <v>562</v>
      </c>
      <c r="G1747" t="s">
        <v>562</v>
      </c>
      <c r="H1747" t="s">
        <v>562</v>
      </c>
      <c r="I1747">
        <v>3736</v>
      </c>
      <c r="J1747" t="s">
        <v>564</v>
      </c>
      <c r="K1747" s="698">
        <v>45957.43472222222</v>
      </c>
      <c r="L1747" s="698">
        <v>45957.43472222222</v>
      </c>
      <c r="M1747" t="s">
        <v>565</v>
      </c>
      <c r="N1747" t="s">
        <v>565</v>
      </c>
      <c r="O1747" t="s">
        <v>566</v>
      </c>
      <c r="P1747" t="s">
        <v>567</v>
      </c>
      <c r="S1747" t="s">
        <v>567</v>
      </c>
      <c r="T1747" t="s">
        <v>567</v>
      </c>
      <c r="Z1747" t="s">
        <v>568</v>
      </c>
      <c r="AA1747" t="s">
        <v>568</v>
      </c>
    </row>
    <row r="1748" spans="1:27">
      <c r="A1748" t="s">
        <v>4369</v>
      </c>
      <c r="B1748" t="s">
        <v>562</v>
      </c>
      <c r="C1748" t="s">
        <v>4370</v>
      </c>
      <c r="D1748" t="s">
        <v>4371</v>
      </c>
      <c r="E1748" t="s">
        <v>4372</v>
      </c>
      <c r="F1748" t="s">
        <v>562</v>
      </c>
      <c r="G1748" t="s">
        <v>562</v>
      </c>
      <c r="H1748" t="s">
        <v>562</v>
      </c>
      <c r="I1748">
        <v>3954</v>
      </c>
      <c r="J1748" t="s">
        <v>564</v>
      </c>
      <c r="K1748" s="698">
        <v>45957.459027777775</v>
      </c>
      <c r="L1748" s="698">
        <v>45957.459027777775</v>
      </c>
      <c r="M1748" t="s">
        <v>565</v>
      </c>
      <c r="N1748" t="s">
        <v>565</v>
      </c>
      <c r="O1748" t="s">
        <v>566</v>
      </c>
      <c r="P1748" t="s">
        <v>567</v>
      </c>
      <c r="S1748" t="s">
        <v>567</v>
      </c>
      <c r="T1748" t="s">
        <v>567</v>
      </c>
      <c r="Z1748" t="s">
        <v>568</v>
      </c>
      <c r="AA1748" t="s">
        <v>568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66"/>
  <sheetViews>
    <sheetView tabSelected="1" topLeftCell="A53" zoomScale="130" zoomScaleNormal="130" workbookViewId="0">
      <selection activeCell="E63" sqref="E63"/>
    </sheetView>
  </sheetViews>
  <sheetFormatPr defaultRowHeight="13.5"/>
  <cols>
    <col min="1" max="1" width="10.75" customWidth="1"/>
    <col min="2" max="2" width="9.125" customWidth="1"/>
    <col min="3" max="3" width="7.75" customWidth="1"/>
    <col min="4" max="4" width="12.375" style="62" customWidth="1"/>
    <col min="5" max="5" width="25.25" customWidth="1"/>
    <col min="6" max="6" width="10" customWidth="1"/>
    <col min="7" max="7" width="13.375" bestFit="1" customWidth="1"/>
    <col min="8" max="8" width="10.75" customWidth="1"/>
    <col min="9" max="9" width="13.625" customWidth="1"/>
    <col min="10" max="10" width="12.75" customWidth="1"/>
    <col min="11" max="11" width="13.625" customWidth="1"/>
    <col min="12" max="12" width="12.625" customWidth="1"/>
    <col min="13" max="13" width="11.625" customWidth="1"/>
    <col min="14" max="14" width="9.125" customWidth="1"/>
    <col min="15" max="15" width="10.125" bestFit="1" customWidth="1"/>
    <col min="16" max="16" width="8.375" customWidth="1"/>
    <col min="17" max="17" width="11.875" customWidth="1"/>
  </cols>
  <sheetData>
    <row r="1" spans="1:16" ht="20.65">
      <c r="A1" s="776" t="s">
        <v>4373</v>
      </c>
      <c r="B1" s="776"/>
      <c r="C1" s="776"/>
      <c r="D1" s="776"/>
      <c r="E1" s="776"/>
      <c r="F1" s="776"/>
      <c r="G1" s="776"/>
      <c r="H1" s="776"/>
      <c r="I1" s="776"/>
      <c r="J1" s="776"/>
    </row>
    <row r="2" spans="1:16" ht="13.9">
      <c r="A2" s="60"/>
      <c r="B2" s="11"/>
      <c r="C2" s="207"/>
      <c r="D2" s="12"/>
      <c r="E2" s="790"/>
      <c r="F2" s="790"/>
      <c r="G2" s="790"/>
      <c r="H2" s="13"/>
      <c r="I2" s="14" t="s">
        <v>4374</v>
      </c>
      <c r="J2" s="15">
        <f>E55</f>
        <v>289498</v>
      </c>
    </row>
    <row r="3" spans="1:16" ht="13.9">
      <c r="A3" s="11"/>
      <c r="B3" s="11">
        <v>0</v>
      </c>
      <c r="C3" s="103">
        <f>Takeoff!F14+Takeoff!F28</f>
        <v>14</v>
      </c>
      <c r="D3" s="16" t="s">
        <v>4375</v>
      </c>
      <c r="E3" s="205">
        <f>Takeoff!B1</f>
        <v>0</v>
      </c>
      <c r="F3" s="205"/>
      <c r="G3" s="205"/>
      <c r="H3" s="206"/>
      <c r="I3" s="17"/>
      <c r="J3" s="18"/>
    </row>
    <row r="4" spans="1:16">
      <c r="A4" s="19"/>
      <c r="B4" s="20"/>
      <c r="C4" s="21"/>
      <c r="D4" s="22"/>
      <c r="E4" s="23"/>
      <c r="F4" s="21"/>
      <c r="G4" s="24"/>
      <c r="H4" s="20"/>
      <c r="I4" s="25"/>
      <c r="J4" s="26"/>
    </row>
    <row r="5" spans="1:16" ht="14.25" thickBot="1">
      <c r="A5" s="27" t="s">
        <v>4376</v>
      </c>
      <c r="B5" s="28"/>
      <c r="C5" s="29"/>
      <c r="D5" s="30"/>
      <c r="E5" s="31"/>
      <c r="F5" s="31"/>
      <c r="G5" s="32"/>
      <c r="H5" s="33"/>
    </row>
    <row r="6" spans="1:16" ht="14.65" thickTop="1">
      <c r="A6" s="34"/>
      <c r="B6" s="679" t="s">
        <v>4377</v>
      </c>
      <c r="C6" s="679" t="s">
        <v>4378</v>
      </c>
      <c r="D6" s="680" t="s">
        <v>4379</v>
      </c>
      <c r="E6" s="680" t="s">
        <v>4380</v>
      </c>
      <c r="F6" s="680" t="s">
        <v>4381</v>
      </c>
      <c r="G6" s="679" t="s">
        <v>4382</v>
      </c>
      <c r="H6" s="37"/>
      <c r="I6" s="612" t="s">
        <v>4383</v>
      </c>
      <c r="J6" s="616" t="s">
        <v>4384</v>
      </c>
      <c r="K6" s="777" t="s">
        <v>4385</v>
      </c>
      <c r="L6" s="778"/>
      <c r="M6" s="788" t="s">
        <v>4386</v>
      </c>
      <c r="N6" s="788"/>
      <c r="O6" s="788"/>
      <c r="P6" s="788"/>
    </row>
    <row r="7" spans="1:16" ht="15.6" customHeight="1">
      <c r="A7" s="34"/>
      <c r="B7" s="188">
        <v>2500</v>
      </c>
      <c r="C7" s="188" t="s">
        <v>4387</v>
      </c>
      <c r="D7" s="189">
        <v>56</v>
      </c>
      <c r="E7" s="190">
        <f>ROUNDUP(Project!C40 + SUM(Project!C32:C37), 0)</f>
        <v>429</v>
      </c>
      <c r="F7" s="191"/>
      <c r="G7" s="604">
        <f>D7*E7</f>
        <v>24024</v>
      </c>
      <c r="H7" s="607" t="s">
        <v>494</v>
      </c>
      <c r="I7" s="606">
        <f>(I11*J7)/D7</f>
        <v>75</v>
      </c>
      <c r="J7" s="613">
        <v>0.75</v>
      </c>
      <c r="K7" s="786">
        <f>'Historical Burden Rates'!E43</f>
        <v>48.472988693504249</v>
      </c>
      <c r="L7" s="786"/>
      <c r="M7" s="788"/>
      <c r="N7" s="788"/>
      <c r="O7" s="788"/>
      <c r="P7" s="788"/>
    </row>
    <row r="8" spans="1:16" ht="17.649999999999999" customHeight="1">
      <c r="A8" s="34"/>
      <c r="B8" s="188">
        <v>2501</v>
      </c>
      <c r="C8" s="188" t="s">
        <v>76</v>
      </c>
      <c r="D8" s="189">
        <v>56</v>
      </c>
      <c r="E8" s="190">
        <f>ROUNDUP(Project!C38,0)</f>
        <v>78</v>
      </c>
      <c r="F8" s="191"/>
      <c r="G8" s="604">
        <f>D8*E8</f>
        <v>4368</v>
      </c>
      <c r="H8" s="608">
        <f>Project!D42</f>
        <v>10.165620962962965</v>
      </c>
      <c r="I8" s="606">
        <f>(I11*J8)/D8</f>
        <v>20</v>
      </c>
      <c r="J8" s="613">
        <v>0.2</v>
      </c>
      <c r="K8" s="787" t="s">
        <v>4388</v>
      </c>
      <c r="L8" s="787"/>
      <c r="M8" s="789" t="s">
        <v>4389</v>
      </c>
      <c r="N8" s="789"/>
      <c r="O8" s="789"/>
      <c r="P8" s="789"/>
    </row>
    <row r="9" spans="1:16" ht="15.75">
      <c r="A9" s="34"/>
      <c r="B9" s="188">
        <v>2502</v>
      </c>
      <c r="C9" s="188" t="s">
        <v>4390</v>
      </c>
      <c r="D9" s="189">
        <v>56</v>
      </c>
      <c r="E9" s="419">
        <f>ROUNDUP(Project!C31,0)</f>
        <v>114</v>
      </c>
      <c r="F9" s="191"/>
      <c r="G9" s="604">
        <f>D9*E9</f>
        <v>6384</v>
      </c>
      <c r="H9" s="607" t="s">
        <v>4391</v>
      </c>
      <c r="I9" s="606">
        <f>(I11*J9)/D9</f>
        <v>2.5</v>
      </c>
      <c r="J9" s="614">
        <v>2.5000000000000001E-2</v>
      </c>
      <c r="K9" s="362"/>
      <c r="L9" s="362"/>
      <c r="M9" s="362"/>
      <c r="N9" s="209"/>
    </row>
    <row r="10" spans="1:16" ht="16.149999999999999" thickBot="1">
      <c r="A10" s="34"/>
      <c r="B10" s="188">
        <v>2503</v>
      </c>
      <c r="C10" s="188" t="s">
        <v>114</v>
      </c>
      <c r="D10" s="189">
        <v>56</v>
      </c>
      <c r="E10" s="190">
        <f>ROUNDUP(Project!C39,0)</f>
        <v>0</v>
      </c>
      <c r="F10" s="191"/>
      <c r="G10" s="604">
        <f>D10*E10</f>
        <v>0</v>
      </c>
      <c r="H10" s="608">
        <f>C3/H8</f>
        <v>1.3771908328086464</v>
      </c>
      <c r="I10" s="606">
        <f>(I11*J10)/D10</f>
        <v>2.5</v>
      </c>
      <c r="J10" s="615">
        <v>2.5000000000000001E-2</v>
      </c>
      <c r="M10" s="362"/>
      <c r="N10" s="209"/>
    </row>
    <row r="11" spans="1:16" ht="16.5" thickTop="1" thickBot="1">
      <c r="A11" s="34"/>
      <c r="B11" s="37"/>
      <c r="C11" s="37"/>
      <c r="D11" s="39" t="s">
        <v>4392</v>
      </c>
      <c r="E11" s="40">
        <f>SUM(E7:E10)</f>
        <v>621</v>
      </c>
      <c r="F11" s="40">
        <f>SUM(F7:F10)</f>
        <v>0</v>
      </c>
      <c r="G11" s="605">
        <f>SUM(G7:G10)</f>
        <v>34776</v>
      </c>
      <c r="H11" s="609">
        <f>G11/C3</f>
        <v>2484</v>
      </c>
      <c r="I11" s="610">
        <f>J11*C3</f>
        <v>5600</v>
      </c>
      <c r="J11" s="603">
        <v>400</v>
      </c>
      <c r="M11" s="362"/>
      <c r="N11" s="209"/>
    </row>
    <row r="12" spans="1:16" ht="16.5" thickTop="1" thickBot="1">
      <c r="A12" s="41"/>
      <c r="B12" s="42"/>
      <c r="C12" s="42"/>
      <c r="D12" s="43"/>
      <c r="E12" s="44" t="s">
        <v>4393</v>
      </c>
      <c r="F12" s="45">
        <f>(E11+F11)/8</f>
        <v>77.625</v>
      </c>
      <c r="G12" s="46"/>
      <c r="H12" s="42"/>
      <c r="I12" s="611"/>
      <c r="J12" s="602"/>
      <c r="K12" s="362"/>
      <c r="L12" s="361"/>
      <c r="M12" s="362"/>
      <c r="N12" s="209"/>
    </row>
    <row r="13" spans="1:16" ht="15.75">
      <c r="A13" s="47" t="s">
        <v>4394</v>
      </c>
      <c r="B13" s="48"/>
      <c r="C13" s="48"/>
      <c r="D13" s="49"/>
      <c r="E13" s="50"/>
      <c r="F13" s="50"/>
      <c r="G13" s="50"/>
      <c r="H13" s="50"/>
      <c r="K13" s="362"/>
      <c r="L13" s="361"/>
      <c r="M13" s="362"/>
      <c r="N13" s="209"/>
    </row>
    <row r="14" spans="1:16" ht="15.75">
      <c r="A14" s="51"/>
      <c r="B14" s="52" t="s">
        <v>4377</v>
      </c>
      <c r="C14" s="53" t="s">
        <v>4395</v>
      </c>
      <c r="D14" s="105"/>
      <c r="E14" s="54" t="s">
        <v>4396</v>
      </c>
      <c r="F14" s="53" t="s">
        <v>4397</v>
      </c>
      <c r="G14" s="35" t="s">
        <v>4392</v>
      </c>
      <c r="H14" s="11"/>
      <c r="K14" s="362"/>
      <c r="L14" s="361"/>
      <c r="M14" s="362"/>
      <c r="N14" s="209"/>
    </row>
    <row r="15" spans="1:16" ht="15.75">
      <c r="A15" s="51"/>
      <c r="B15" s="192">
        <v>7100</v>
      </c>
      <c r="C15" s="193">
        <v>1</v>
      </c>
      <c r="D15" s="194"/>
      <c r="E15" s="195" t="s">
        <v>160</v>
      </c>
      <c r="F15" s="369">
        <f>SUMIF('Flat Roof Summary'!B17:B125,"Vapour Barrier",'Flat Roof Summary'!K17:K125)+SUM('Shingle Summary'!H9:H10)</f>
        <v>859.5</v>
      </c>
      <c r="G15" s="57">
        <f t="shared" ref="G15:G20" si="0">C15*F15</f>
        <v>859.5</v>
      </c>
      <c r="H15" s="51"/>
      <c r="I15" s="360"/>
      <c r="J15" s="362"/>
      <c r="K15" s="362"/>
      <c r="L15" s="361"/>
      <c r="M15" s="362"/>
      <c r="N15" s="209"/>
    </row>
    <row r="16" spans="1:16" ht="15.75">
      <c r="A16" s="51"/>
      <c r="B16" s="192">
        <v>7200</v>
      </c>
      <c r="C16" s="193">
        <v>1</v>
      </c>
      <c r="D16" s="194"/>
      <c r="E16" s="197" t="s">
        <v>164</v>
      </c>
      <c r="F16" s="369">
        <f>SUMIF('Flat Roof Summary'!B17:B125,"Insulation",'Flat Roof Summary'!K17:K125)</f>
        <v>4322.5</v>
      </c>
      <c r="G16" s="57">
        <f t="shared" si="0"/>
        <v>4322.5</v>
      </c>
      <c r="H16" s="51"/>
      <c r="I16" s="360"/>
      <c r="J16" s="362"/>
      <c r="K16" s="362"/>
      <c r="L16" s="361"/>
      <c r="M16" s="362"/>
      <c r="N16" s="209"/>
    </row>
    <row r="17" spans="1:17" ht="13.9">
      <c r="A17" s="51"/>
      <c r="B17" s="192">
        <v>7300</v>
      </c>
      <c r="C17" s="193">
        <v>1</v>
      </c>
      <c r="D17" s="194"/>
      <c r="E17" s="195" t="s">
        <v>174</v>
      </c>
      <c r="F17" s="369">
        <f>SUMIF('Flat Roof Summary'!B17:B125,"Coverboard",'Flat Roof Summary'!K17:K125)</f>
        <v>1641.6000000000001</v>
      </c>
      <c r="G17" s="57">
        <f t="shared" si="0"/>
        <v>1641.6000000000001</v>
      </c>
      <c r="H17" s="51"/>
      <c r="I17" s="361"/>
      <c r="J17" s="342"/>
      <c r="K17" s="342"/>
      <c r="L17" s="361"/>
      <c r="M17" s="361"/>
    </row>
    <row r="18" spans="1:17" ht="13.9">
      <c r="A18" s="51"/>
      <c r="B18" s="192">
        <v>7400</v>
      </c>
      <c r="C18" s="193">
        <v>1</v>
      </c>
      <c r="D18" s="194"/>
      <c r="E18" s="195" t="s">
        <v>181</v>
      </c>
      <c r="F18" s="369">
        <f>SUMIF('Flat Roof Summary'!B17:B125,"Membrane",'Flat Roof Summary'!K17:K125)+(SUM('Shingle Summary'!H11:H13))</f>
        <v>5451.2000000000007</v>
      </c>
      <c r="G18" s="57">
        <f t="shared" si="0"/>
        <v>5451.2000000000007</v>
      </c>
      <c r="H18" s="51"/>
      <c r="I18" s="361"/>
      <c r="J18" s="361"/>
      <c r="K18" s="361"/>
      <c r="L18" s="361"/>
      <c r="M18" s="361"/>
    </row>
    <row r="19" spans="1:17" ht="13.9">
      <c r="A19" s="51"/>
      <c r="B19" s="192">
        <v>7500</v>
      </c>
      <c r="C19" s="193">
        <v>1</v>
      </c>
      <c r="D19" s="194"/>
      <c r="E19" s="195" t="s">
        <v>265</v>
      </c>
      <c r="F19" s="369">
        <f>SUMIF('Flat Roof Summary'!B17:B125,"Drains/ Scuppers",'Flat Roof Summary'!K17:K125)</f>
        <v>0</v>
      </c>
      <c r="G19" s="57">
        <f t="shared" si="0"/>
        <v>0</v>
      </c>
      <c r="H19" s="51"/>
      <c r="I19" s="361"/>
      <c r="J19" s="361"/>
      <c r="K19" s="361"/>
      <c r="L19" s="361"/>
      <c r="M19" s="361"/>
    </row>
    <row r="20" spans="1:17" ht="13.9">
      <c r="A20" s="51"/>
      <c r="B20" s="192">
        <v>7600</v>
      </c>
      <c r="C20" s="193">
        <v>1</v>
      </c>
      <c r="D20" s="194"/>
      <c r="E20" s="195" t="s">
        <v>266</v>
      </c>
      <c r="F20" s="369">
        <f>SUMIF('Flat Roof Summary'!B17:B125,"Vents/Gum boxes/ Curbs",'Flat Roof Summary'!K17:K125)+(SUM('Shingle Summary'!H19+'Shingle Summary'!H21+'Shingle Summary'!H22+'Shingle Summary'!H23+'Shingle Summary'!H24+'Shingle Summary'!H25))</f>
        <v>0</v>
      </c>
      <c r="G20" s="57">
        <f t="shared" si="0"/>
        <v>0</v>
      </c>
      <c r="H20" s="51"/>
      <c r="I20" s="361"/>
      <c r="J20" s="361"/>
      <c r="K20" s="361"/>
      <c r="L20" s="361"/>
      <c r="M20" s="361"/>
    </row>
    <row r="21" spans="1:17" ht="13.9">
      <c r="A21" s="51"/>
      <c r="B21" s="192">
        <v>7700</v>
      </c>
      <c r="C21" s="193">
        <v>1</v>
      </c>
      <c r="D21" s="194"/>
      <c r="E21" s="195" t="s">
        <v>199</v>
      </c>
      <c r="F21" s="369">
        <f>SUMIF('Flat Roof Summary'!B17:B125,"Ballast",'Flat Roof Summary'!K17:K125)</f>
        <v>0</v>
      </c>
      <c r="G21" s="57">
        <f>C21*F21</f>
        <v>0</v>
      </c>
      <c r="H21" s="51"/>
      <c r="I21" s="361"/>
      <c r="J21" s="361"/>
      <c r="K21" s="361"/>
      <c r="L21" s="361"/>
      <c r="M21" s="361"/>
    </row>
    <row r="22" spans="1:17" ht="13.9">
      <c r="A22" s="51"/>
      <c r="B22" s="192">
        <v>7800</v>
      </c>
      <c r="C22" s="193">
        <v>1</v>
      </c>
      <c r="D22" s="194"/>
      <c r="E22" s="195" t="s">
        <v>204</v>
      </c>
      <c r="F22" s="369">
        <f>(SUMIF('Flat Roof Summary'!B17:B125,"Roofing Accessories",'Flat Roof Summary'!K17:K125)+'Shingle Summary'!H20)*1.5</f>
        <v>2230.5</v>
      </c>
      <c r="G22" s="57">
        <f>C22*F22</f>
        <v>2230.5</v>
      </c>
      <c r="H22" s="51"/>
    </row>
    <row r="23" spans="1:17" ht="13.9">
      <c r="A23" s="51"/>
      <c r="B23" s="192">
        <v>7900</v>
      </c>
      <c r="C23" s="193">
        <v>1</v>
      </c>
      <c r="D23" s="194"/>
      <c r="E23" s="195" t="s">
        <v>193</v>
      </c>
      <c r="F23" s="369">
        <f>SUMIF('Flat Roof Summary'!B17:B125,"Primers/ Adhesives",'Flat Roof Summary'!K17:K125)</f>
        <v>3405.5499999999997</v>
      </c>
      <c r="G23" s="57">
        <f>C23*F23</f>
        <v>3405.5499999999997</v>
      </c>
      <c r="H23" s="11"/>
    </row>
    <row r="24" spans="1:17" ht="13.9">
      <c r="A24" s="51"/>
      <c r="B24" s="192">
        <v>5100</v>
      </c>
      <c r="C24" s="198">
        <v>1</v>
      </c>
      <c r="D24" s="194"/>
      <c r="E24" s="199" t="s">
        <v>267</v>
      </c>
      <c r="F24" s="369">
        <f>SUMIF('Flat Roof Summary'!B17:B125,"Prefinished Metal Flashing",'Flat Roof Summary'!K17:K125)+(SUM('Shingle Summary'!H14:H17))</f>
        <v>730</v>
      </c>
      <c r="G24" s="57">
        <f>C24*F24</f>
        <v>730</v>
      </c>
      <c r="H24" s="11"/>
    </row>
    <row r="25" spans="1:17" ht="13.9">
      <c r="A25" s="51"/>
      <c r="B25" s="200">
        <v>6100</v>
      </c>
      <c r="C25" s="201">
        <v>1</v>
      </c>
      <c r="D25" s="194"/>
      <c r="E25" s="202" t="s">
        <v>79</v>
      </c>
      <c r="F25" s="370">
        <f>SUMIF('Flat Roof Summary'!B17:B125,"Wood",'Flat Roof Summary'!K17:K125)+'Shingle Summary'!H26+'Shingle Summary'!H27</f>
        <v>700</v>
      </c>
      <c r="G25" s="104">
        <f>C25*F25</f>
        <v>700</v>
      </c>
      <c r="H25" s="11"/>
    </row>
    <row r="26" spans="1:17" ht="13.9">
      <c r="A26" s="51"/>
      <c r="B26" s="11"/>
      <c r="C26" s="11"/>
      <c r="D26" s="58"/>
      <c r="E26" s="11"/>
      <c r="F26" s="175" t="s">
        <v>4392</v>
      </c>
      <c r="G26" s="176">
        <f>SUM(G15:G25)</f>
        <v>19340.850000000002</v>
      </c>
      <c r="H26" s="102">
        <f>G26/'Flat Roof Summary'!C15</f>
        <v>1381.4892857142859</v>
      </c>
    </row>
    <row r="27" spans="1:17" ht="13.9">
      <c r="A27" s="47" t="s">
        <v>4398</v>
      </c>
      <c r="B27" s="48"/>
      <c r="C27" s="178"/>
      <c r="D27" s="61"/>
      <c r="E27" s="11"/>
      <c r="F27" s="48"/>
      <c r="G27" s="60"/>
      <c r="H27" s="50"/>
    </row>
    <row r="28" spans="1:17" ht="13.9">
      <c r="A28" s="51"/>
      <c r="B28" s="52" t="s">
        <v>4377</v>
      </c>
      <c r="C28" s="177" t="s">
        <v>117</v>
      </c>
      <c r="E28" s="63" t="s">
        <v>4396</v>
      </c>
      <c r="F28" s="53" t="s">
        <v>4397</v>
      </c>
      <c r="G28" s="56" t="s">
        <v>4392</v>
      </c>
      <c r="H28" s="11"/>
      <c r="J28" s="785" t="s">
        <v>4399</v>
      </c>
      <c r="K28" s="785"/>
      <c r="L28" s="785"/>
      <c r="M28" s="785"/>
      <c r="N28" s="785"/>
      <c r="O28" s="785"/>
      <c r="P28" s="785"/>
      <c r="Q28" s="785"/>
    </row>
    <row r="29" spans="1:17" ht="13.9">
      <c r="A29" s="51"/>
      <c r="B29" s="192">
        <v>1200</v>
      </c>
      <c r="C29" s="442">
        <v>1</v>
      </c>
      <c r="D29" s="193"/>
      <c r="E29" s="204" t="str">
        <f>'Flat Roof Summary'!C125</f>
        <v>Rental of toilet + Fencing</v>
      </c>
      <c r="F29" s="369">
        <f>'Flat Roof Summary'!K125</f>
        <v>290</v>
      </c>
      <c r="G29" s="57">
        <f t="shared" ref="G29:G42" si="1">C29*F29</f>
        <v>290</v>
      </c>
      <c r="H29" s="11"/>
    </row>
    <row r="30" spans="1:17" ht="14.25">
      <c r="A30" s="51"/>
      <c r="B30" s="192">
        <v>1305</v>
      </c>
      <c r="C30" s="442">
        <v>1</v>
      </c>
      <c r="D30" s="193"/>
      <c r="E30" s="204" t="s">
        <v>332</v>
      </c>
      <c r="F30" s="369">
        <f>'Flat Roof Summary'!K123+(IF('Shingle Summary'!B5=0,0,'Shingle Summary'!H29))</f>
        <v>250</v>
      </c>
      <c r="G30" s="57">
        <f t="shared" si="1"/>
        <v>250</v>
      </c>
      <c r="H30" s="11"/>
      <c r="J30" s="352" t="s">
        <v>4400</v>
      </c>
      <c r="K30" s="626"/>
    </row>
    <row r="31" spans="1:17" ht="14.25">
      <c r="A31" s="51"/>
      <c r="B31" s="192">
        <v>1300</v>
      </c>
      <c r="C31" s="442">
        <v>1</v>
      </c>
      <c r="D31" s="193"/>
      <c r="E31" s="204" t="str">
        <f>'Flat Roof Summary'!C124</f>
        <v>Disposal #of Roofs to dispose</v>
      </c>
      <c r="F31" s="369">
        <f>'Flat Roof Summary'!K124+'Shingle Summary'!H30</f>
        <v>980</v>
      </c>
      <c r="G31" s="57">
        <f t="shared" si="1"/>
        <v>980</v>
      </c>
      <c r="H31" s="11"/>
      <c r="J31" s="352" t="s">
        <v>4401</v>
      </c>
      <c r="K31" s="626"/>
    </row>
    <row r="32" spans="1:17" ht="14.25">
      <c r="A32" s="51"/>
      <c r="B32" s="192">
        <v>1500</v>
      </c>
      <c r="C32" s="442">
        <v>0</v>
      </c>
      <c r="D32" s="193"/>
      <c r="E32" s="204" t="s">
        <v>4402</v>
      </c>
      <c r="F32" s="196">
        <v>200</v>
      </c>
      <c r="G32" s="57">
        <f>F32*C32</f>
        <v>0</v>
      </c>
      <c r="H32" s="11"/>
      <c r="J32" s="352" t="s">
        <v>4403</v>
      </c>
      <c r="K32" s="626"/>
    </row>
    <row r="33" spans="1:17" ht="14.25">
      <c r="A33" s="51"/>
      <c r="B33" s="203"/>
      <c r="C33" s="448">
        <v>0</v>
      </c>
      <c r="D33" s="193"/>
      <c r="E33" s="204" t="s">
        <v>4404</v>
      </c>
      <c r="F33" s="196">
        <v>33</v>
      </c>
      <c r="G33" s="57">
        <f t="shared" ref="G33:G38" si="2">F33*C33</f>
        <v>0</v>
      </c>
      <c r="H33" s="11"/>
      <c r="J33" s="352" t="s">
        <v>4405</v>
      </c>
      <c r="K33" s="626"/>
    </row>
    <row r="34" spans="1:17" ht="14.25">
      <c r="A34" s="51"/>
      <c r="B34" s="442"/>
      <c r="C34" s="443">
        <v>1</v>
      </c>
      <c r="D34" s="444"/>
      <c r="E34" s="445" t="s">
        <v>4406</v>
      </c>
      <c r="F34" s="446">
        <v>100</v>
      </c>
      <c r="G34" s="57">
        <f t="shared" si="2"/>
        <v>100</v>
      </c>
      <c r="H34" s="11"/>
      <c r="J34" s="352" t="s">
        <v>114</v>
      </c>
      <c r="K34" s="626"/>
    </row>
    <row r="35" spans="1:17" ht="14.25">
      <c r="A35" s="51"/>
      <c r="B35" s="442"/>
      <c r="C35" s="443">
        <f>ROUNDUP(90/12*2*1.1,0)+8</f>
        <v>25</v>
      </c>
      <c r="D35" s="444"/>
      <c r="E35" s="445" t="s">
        <v>4407</v>
      </c>
      <c r="F35" s="446">
        <v>21</v>
      </c>
      <c r="G35" s="57">
        <f t="shared" si="2"/>
        <v>525</v>
      </c>
      <c r="H35" s="11"/>
      <c r="J35" s="352" t="s">
        <v>4408</v>
      </c>
      <c r="K35" s="626"/>
    </row>
    <row r="36" spans="1:17" ht="14.25">
      <c r="A36" s="51"/>
      <c r="B36" s="442"/>
      <c r="C36" s="443">
        <v>1</v>
      </c>
      <c r="D36" s="444"/>
      <c r="E36" s="445" t="s">
        <v>339</v>
      </c>
      <c r="F36" s="446">
        <v>2500</v>
      </c>
      <c r="G36" s="57">
        <f t="shared" si="2"/>
        <v>2500</v>
      </c>
      <c r="H36" s="11"/>
      <c r="J36" s="352" t="s">
        <v>334</v>
      </c>
      <c r="K36" s="626"/>
      <c r="L36" s="211">
        <v>2024</v>
      </c>
    </row>
    <row r="37" spans="1:17" ht="14.25">
      <c r="A37" s="51"/>
      <c r="B37" s="442"/>
      <c r="C37" s="442">
        <v>1</v>
      </c>
      <c r="D37" s="444"/>
      <c r="E37" s="445" t="s">
        <v>352</v>
      </c>
      <c r="F37" s="446">
        <v>2550</v>
      </c>
      <c r="G37" s="57">
        <f t="shared" si="2"/>
        <v>2550</v>
      </c>
      <c r="H37" s="11"/>
      <c r="J37" s="631" t="s">
        <v>352</v>
      </c>
      <c r="K37" s="631" t="s">
        <v>4409</v>
      </c>
      <c r="L37" s="638" t="s">
        <v>4410</v>
      </c>
      <c r="M37" s="642" t="s">
        <v>4411</v>
      </c>
      <c r="N37" s="636" t="s">
        <v>4412</v>
      </c>
      <c r="O37" s="636" t="s">
        <v>4413</v>
      </c>
      <c r="P37" s="636" t="s">
        <v>4412</v>
      </c>
      <c r="Q37" s="637" t="s">
        <v>4414</v>
      </c>
    </row>
    <row r="38" spans="1:17" ht="14.25">
      <c r="A38" s="51"/>
      <c r="B38" s="442"/>
      <c r="C38" s="442">
        <v>1</v>
      </c>
      <c r="D38" s="444"/>
      <c r="E38" s="445" t="s">
        <v>114</v>
      </c>
      <c r="F38" s="446">
        <v>29187</v>
      </c>
      <c r="G38" s="57">
        <f t="shared" si="2"/>
        <v>29187</v>
      </c>
      <c r="H38" s="11"/>
      <c r="J38" s="101"/>
      <c r="K38" s="506"/>
      <c r="L38" s="640" t="s">
        <v>4415</v>
      </c>
      <c r="M38" s="634">
        <v>125</v>
      </c>
      <c r="N38" s="634">
        <v>190</v>
      </c>
      <c r="O38" s="634">
        <v>90</v>
      </c>
      <c r="P38" s="634">
        <v>135</v>
      </c>
      <c r="Q38" s="635">
        <v>90</v>
      </c>
    </row>
    <row r="39" spans="1:17" ht="14.25">
      <c r="A39" s="51"/>
      <c r="B39" s="442"/>
      <c r="C39" s="442">
        <v>3</v>
      </c>
      <c r="D39" s="444"/>
      <c r="E39" s="447" t="s">
        <v>4416</v>
      </c>
      <c r="F39" s="446">
        <v>2500</v>
      </c>
      <c r="G39" s="57">
        <f t="shared" si="1"/>
        <v>7500</v>
      </c>
      <c r="H39" s="11"/>
      <c r="L39" s="639" t="s">
        <v>4417</v>
      </c>
      <c r="M39" s="641">
        <v>1500</v>
      </c>
      <c r="N39" s="215"/>
      <c r="O39" s="215"/>
      <c r="P39" s="215"/>
      <c r="Q39" s="215"/>
    </row>
    <row r="40" spans="1:17" ht="14.25">
      <c r="A40" s="51"/>
      <c r="B40" s="442"/>
      <c r="C40" s="442">
        <v>1</v>
      </c>
      <c r="D40" s="444"/>
      <c r="E40" s="447" t="s">
        <v>4418</v>
      </c>
      <c r="F40" s="446">
        <v>95000</v>
      </c>
      <c r="G40" s="57">
        <f t="shared" si="1"/>
        <v>95000</v>
      </c>
      <c r="H40" s="11"/>
      <c r="L40" s="779" t="s">
        <v>4419</v>
      </c>
      <c r="M40" s="780"/>
      <c r="N40" s="780"/>
      <c r="O40" s="780"/>
      <c r="P40" s="781"/>
    </row>
    <row r="41" spans="1:17" ht="15.75">
      <c r="A41" s="51"/>
      <c r="B41" s="442"/>
      <c r="C41" s="442"/>
      <c r="D41" s="444"/>
      <c r="E41" s="447" t="s">
        <v>4420</v>
      </c>
      <c r="F41" s="446"/>
      <c r="G41" s="57">
        <f t="shared" si="1"/>
        <v>0</v>
      </c>
      <c r="H41" s="11"/>
      <c r="K41" s="617"/>
      <c r="L41" s="624" t="s">
        <v>4421</v>
      </c>
      <c r="M41" s="629" t="s">
        <v>4422</v>
      </c>
      <c r="N41" s="620" t="s">
        <v>4423</v>
      </c>
      <c r="O41" s="621"/>
      <c r="P41" s="632">
        <v>175</v>
      </c>
    </row>
    <row r="42" spans="1:17" ht="15.75">
      <c r="A42" s="51"/>
      <c r="B42" s="442"/>
      <c r="C42" s="442"/>
      <c r="D42" s="444"/>
      <c r="E42" s="447" t="s">
        <v>4424</v>
      </c>
      <c r="F42" s="446"/>
      <c r="G42" s="57">
        <f t="shared" si="1"/>
        <v>0</v>
      </c>
      <c r="H42" s="11"/>
      <c r="K42" s="618"/>
      <c r="L42" s="624" t="s">
        <v>4425</v>
      </c>
      <c r="M42" s="629" t="s">
        <v>4426</v>
      </c>
      <c r="N42" s="620" t="s">
        <v>4427</v>
      </c>
      <c r="O42" s="620" t="s">
        <v>4428</v>
      </c>
      <c r="P42" s="632">
        <v>255</v>
      </c>
    </row>
    <row r="43" spans="1:17" ht="31.15" customHeight="1">
      <c r="A43" s="51"/>
      <c r="B43" s="11"/>
      <c r="C43" s="11"/>
      <c r="D43" s="58"/>
      <c r="E43" s="11"/>
      <c r="F43" s="59" t="s">
        <v>4392</v>
      </c>
      <c r="G43" s="64">
        <f>SUM(G29:G42)</f>
        <v>138882</v>
      </c>
      <c r="H43" s="102">
        <f>G43/'Flat Roof Summary'!C15</f>
        <v>9920.1428571428569</v>
      </c>
      <c r="K43" s="618"/>
      <c r="L43" s="624" t="s">
        <v>4429</v>
      </c>
      <c r="M43" s="629" t="s">
        <v>4430</v>
      </c>
      <c r="N43" s="620" t="s">
        <v>4431</v>
      </c>
      <c r="O43" s="620" t="s">
        <v>4432</v>
      </c>
      <c r="P43" s="632">
        <v>355</v>
      </c>
    </row>
    <row r="44" spans="1:17" ht="15.75">
      <c r="A44" s="68" t="s">
        <v>4433</v>
      </c>
      <c r="B44" s="69"/>
      <c r="C44" s="70"/>
      <c r="D44" s="71"/>
      <c r="E44" s="72">
        <f>G11+G26+G43</f>
        <v>192998.85</v>
      </c>
      <c r="F44" s="73"/>
      <c r="G44" s="11"/>
      <c r="H44" s="60"/>
      <c r="K44" s="618"/>
      <c r="L44" s="624" t="s">
        <v>4434</v>
      </c>
      <c r="M44" s="629" t="s">
        <v>4430</v>
      </c>
      <c r="N44" s="620" t="s">
        <v>4435</v>
      </c>
      <c r="O44" s="620" t="s">
        <v>4436</v>
      </c>
      <c r="P44" s="632">
        <v>380</v>
      </c>
    </row>
    <row r="45" spans="1:17" ht="23.65" customHeight="1">
      <c r="A45" s="74"/>
      <c r="B45" s="73"/>
      <c r="C45" s="11"/>
      <c r="D45" s="75"/>
      <c r="E45" s="76"/>
      <c r="F45" s="73"/>
      <c r="G45" s="179"/>
      <c r="H45" s="76"/>
      <c r="K45" s="618"/>
      <c r="L45" s="624" t="s">
        <v>4437</v>
      </c>
      <c r="M45" s="629" t="s">
        <v>4422</v>
      </c>
      <c r="N45" s="620" t="s">
        <v>4438</v>
      </c>
      <c r="O45" s="621"/>
      <c r="P45" s="632">
        <v>290</v>
      </c>
    </row>
    <row r="46" spans="1:17" ht="26.65" customHeight="1" thickBot="1">
      <c r="A46" s="77" t="s">
        <v>4439</v>
      </c>
      <c r="B46" s="78"/>
      <c r="C46" s="79" t="s">
        <v>4440</v>
      </c>
      <c r="D46" s="80">
        <v>0.35</v>
      </c>
      <c r="E46" s="72">
        <f>E44*D46</f>
        <v>67549.597500000003</v>
      </c>
      <c r="F46" s="81">
        <f>(1+D46)</f>
        <v>1.35</v>
      </c>
      <c r="G46" s="94" t="s">
        <v>4441</v>
      </c>
      <c r="K46" s="619"/>
      <c r="L46" s="625" t="s">
        <v>4442</v>
      </c>
      <c r="M46" s="630" t="s">
        <v>4422</v>
      </c>
      <c r="N46" s="622" t="s">
        <v>4438</v>
      </c>
      <c r="O46" s="623"/>
      <c r="P46" s="633">
        <v>310</v>
      </c>
    </row>
    <row r="47" spans="1:17" ht="21.75" customHeight="1" thickTop="1">
      <c r="A47" s="82" t="s">
        <v>4443</v>
      </c>
      <c r="B47" s="83"/>
      <c r="C47" s="84" t="s">
        <v>4444</v>
      </c>
      <c r="D47" s="58"/>
      <c r="E47" s="85"/>
      <c r="F47" s="73"/>
      <c r="G47" s="95">
        <f>(E54-E44)/E54</f>
        <v>0.33333270005319549</v>
      </c>
      <c r="L47" s="782" t="s">
        <v>4445</v>
      </c>
      <c r="M47" s="783"/>
      <c r="N47" s="783"/>
      <c r="O47" s="783"/>
      <c r="P47" s="784"/>
    </row>
    <row r="48" spans="1:17" ht="14.25">
      <c r="A48" s="86"/>
      <c r="B48" s="67"/>
      <c r="C48" s="11"/>
      <c r="D48" s="58"/>
      <c r="E48" s="85"/>
      <c r="F48" s="73"/>
      <c r="G48" s="51"/>
      <c r="L48" s="624" t="s">
        <v>4446</v>
      </c>
      <c r="M48" s="627" t="s">
        <v>4447</v>
      </c>
      <c r="N48" s="620" t="s">
        <v>4448</v>
      </c>
      <c r="O48" s="620" t="s">
        <v>4449</v>
      </c>
      <c r="P48" s="632">
        <v>420</v>
      </c>
    </row>
    <row r="49" spans="1:16" ht="14.25">
      <c r="A49" s="68" t="s">
        <v>4450</v>
      </c>
      <c r="B49" s="87"/>
      <c r="C49" s="70"/>
      <c r="D49" s="88"/>
      <c r="E49" s="89">
        <f>E44*F46</f>
        <v>260548.44750000004</v>
      </c>
      <c r="F49" s="11"/>
      <c r="G49" s="184"/>
      <c r="L49" s="624" t="s">
        <v>4451</v>
      </c>
      <c r="M49" s="627" t="s">
        <v>4447</v>
      </c>
      <c r="N49" s="620" t="s">
        <v>4452</v>
      </c>
      <c r="O49" s="620" t="s">
        <v>4453</v>
      </c>
      <c r="P49" s="632">
        <v>475</v>
      </c>
    </row>
    <row r="50" spans="1:16" ht="14.25">
      <c r="A50" s="86"/>
      <c r="B50" s="67"/>
      <c r="C50" s="11"/>
      <c r="D50" s="58"/>
      <c r="E50" s="11"/>
      <c r="F50" s="11"/>
      <c r="G50" s="181"/>
      <c r="L50" s="624" t="s">
        <v>4454</v>
      </c>
      <c r="M50" s="627" t="s">
        <v>4447</v>
      </c>
      <c r="N50" s="620" t="s">
        <v>4455</v>
      </c>
      <c r="O50" s="620" t="s">
        <v>4453</v>
      </c>
      <c r="P50" s="632">
        <v>505</v>
      </c>
    </row>
    <row r="51" spans="1:16" ht="14.65" thickBot="1">
      <c r="A51" s="51"/>
      <c r="B51" s="11"/>
      <c r="C51" s="11"/>
      <c r="D51" s="58"/>
      <c r="E51" s="11"/>
      <c r="F51" s="73"/>
      <c r="G51" s="180"/>
      <c r="L51" s="625" t="s">
        <v>4456</v>
      </c>
      <c r="M51" s="628" t="s">
        <v>4447</v>
      </c>
      <c r="N51" s="622" t="s">
        <v>4452</v>
      </c>
      <c r="O51" s="622" t="s">
        <v>4453</v>
      </c>
      <c r="P51" s="633">
        <v>525</v>
      </c>
    </row>
    <row r="52" spans="1:16" ht="14.65" customHeight="1" thickTop="1">
      <c r="A52" s="90" t="s">
        <v>4457</v>
      </c>
      <c r="B52" s="87"/>
      <c r="C52" s="91" t="s">
        <v>4458</v>
      </c>
      <c r="D52" s="92">
        <v>0.1</v>
      </c>
      <c r="E52" s="186">
        <f>E54-E49</f>
        <v>28949.552499999962</v>
      </c>
      <c r="F52" s="187">
        <f>1/(1-D52)</f>
        <v>1.1111111111111112</v>
      </c>
      <c r="G52" s="180"/>
      <c r="L52" s="782" t="s">
        <v>4459</v>
      </c>
      <c r="M52" s="783"/>
      <c r="N52" s="783"/>
      <c r="O52" s="783"/>
      <c r="P52" s="784"/>
    </row>
    <row r="53" spans="1:16" ht="14.25">
      <c r="A53" s="51"/>
      <c r="B53" s="11"/>
      <c r="C53" s="11"/>
      <c r="D53" s="58"/>
      <c r="E53" s="11"/>
      <c r="F53" s="11"/>
      <c r="G53" s="181"/>
      <c r="L53" s="624" t="s">
        <v>4460</v>
      </c>
      <c r="M53" s="627" t="s">
        <v>4461</v>
      </c>
      <c r="N53" s="620" t="s">
        <v>4462</v>
      </c>
      <c r="O53" s="620" t="s">
        <v>4463</v>
      </c>
      <c r="P53" s="632">
        <v>650</v>
      </c>
    </row>
    <row r="54" spans="1:16" ht="14.25">
      <c r="A54" s="68" t="s">
        <v>4374</v>
      </c>
      <c r="B54" s="69"/>
      <c r="C54" s="70"/>
      <c r="D54" s="88"/>
      <c r="E54" s="93">
        <f>ROUND(E49*F52,0)</f>
        <v>289498</v>
      </c>
      <c r="F54" s="55"/>
      <c r="G54" s="182"/>
      <c r="L54" s="624" t="s">
        <v>4464</v>
      </c>
      <c r="M54" s="627" t="s">
        <v>4461</v>
      </c>
      <c r="N54" s="620" t="s">
        <v>4465</v>
      </c>
      <c r="O54" s="620" t="s">
        <v>4466</v>
      </c>
      <c r="P54" s="632">
        <v>735</v>
      </c>
    </row>
    <row r="55" spans="1:16" ht="14.25">
      <c r="A55" s="98" t="s">
        <v>4467</v>
      </c>
      <c r="B55" s="97"/>
      <c r="C55" s="100" t="s">
        <v>4468</v>
      </c>
      <c r="D55" s="96">
        <v>0</v>
      </c>
      <c r="E55" s="99">
        <f>IF(D55=5,MIN(E54,500000)*1.02 + MAX(E54-500000,0)*1.01,
(IF(D55=10,MIN(E54,500000)*1.03 + MAX(E54-500000,0)*1.01,
(IF(D55=15,MIN(E54,500000)*1.05 + MAX(E54-500000,0)*1.01,E54)))))</f>
        <v>289498</v>
      </c>
      <c r="F55" s="11"/>
      <c r="G55" s="185" t="s">
        <v>4469</v>
      </c>
      <c r="L55" s="624" t="s">
        <v>4470</v>
      </c>
      <c r="M55" s="627" t="s">
        <v>4461</v>
      </c>
      <c r="N55" s="620" t="s">
        <v>4465</v>
      </c>
      <c r="O55" s="620" t="s">
        <v>4466</v>
      </c>
      <c r="P55" s="632">
        <v>820</v>
      </c>
    </row>
    <row r="56" spans="1:16" ht="21">
      <c r="A56" s="65"/>
      <c r="B56" s="50"/>
      <c r="C56" s="50"/>
      <c r="D56" s="66"/>
      <c r="E56" s="50"/>
      <c r="F56" s="11"/>
      <c r="G56" s="183"/>
      <c r="L56" s="624" t="s">
        <v>4471</v>
      </c>
      <c r="M56" s="627" t="s">
        <v>4461</v>
      </c>
      <c r="N56" s="620" t="s">
        <v>4472</v>
      </c>
      <c r="O56" s="620" t="s">
        <v>4473</v>
      </c>
      <c r="P56" s="632">
        <v>860</v>
      </c>
    </row>
    <row r="57" spans="1:16" ht="21.4" thickBot="1">
      <c r="A57" s="791" t="s">
        <v>4474</v>
      </c>
      <c r="B57" s="791"/>
      <c r="C57" s="791"/>
      <c r="D57" s="66"/>
      <c r="E57" s="174">
        <f>E55/C3</f>
        <v>20678.428571428572</v>
      </c>
      <c r="F57" s="11"/>
      <c r="G57" s="183"/>
      <c r="L57" s="625" t="s">
        <v>4475</v>
      </c>
      <c r="M57" s="628" t="s">
        <v>4461</v>
      </c>
      <c r="N57" s="622" t="s">
        <v>4472</v>
      </c>
      <c r="O57" s="622" t="s">
        <v>4473</v>
      </c>
      <c r="P57" s="633">
        <v>900</v>
      </c>
    </row>
    <row r="58" spans="1:16" ht="13.9" thickTop="1">
      <c r="A58" s="51"/>
      <c r="B58" s="11"/>
      <c r="C58" s="11"/>
      <c r="D58" s="58"/>
      <c r="E58" s="11"/>
      <c r="F58" s="11"/>
      <c r="G58" s="183"/>
    </row>
    <row r="59" spans="1:16">
      <c r="A59" s="51"/>
      <c r="B59" s="11"/>
      <c r="C59" s="11"/>
      <c r="D59" s="58"/>
      <c r="E59" s="11"/>
      <c r="F59" s="11"/>
    </row>
    <row r="60" spans="1:16">
      <c r="A60" s="51"/>
      <c r="B60" s="11"/>
      <c r="C60" s="11"/>
      <c r="D60" s="58"/>
      <c r="E60" s="11"/>
      <c r="F60" s="11"/>
    </row>
    <row r="62" spans="1:16">
      <c r="D62" s="62" t="s">
        <v>4476</v>
      </c>
      <c r="G62" s="6">
        <f>G39+G37+G29+G30</f>
        <v>10590</v>
      </c>
    </row>
    <row r="63" spans="1:16">
      <c r="D63" s="62" t="s">
        <v>4477</v>
      </c>
      <c r="E63">
        <v>15575</v>
      </c>
      <c r="F63">
        <v>20822</v>
      </c>
      <c r="G63">
        <f>F63+E63</f>
        <v>36397</v>
      </c>
      <c r="H63">
        <v>4200</v>
      </c>
      <c r="I63">
        <f>H63+G63</f>
        <v>40597</v>
      </c>
    </row>
    <row r="64" spans="1:16">
      <c r="D64" s="62" t="s">
        <v>4478</v>
      </c>
      <c r="E64">
        <v>21920</v>
      </c>
      <c r="F64">
        <v>28753</v>
      </c>
      <c r="G64">
        <f>F64+E64</f>
        <v>50673</v>
      </c>
      <c r="H64">
        <v>5800</v>
      </c>
      <c r="I64">
        <f>H64+G64</f>
        <v>56473</v>
      </c>
    </row>
    <row r="66" spans="7:9">
      <c r="G66" s="6"/>
      <c r="H66" s="6"/>
      <c r="I66" s="6"/>
    </row>
  </sheetData>
  <mergeCells count="12">
    <mergeCell ref="A1:J1"/>
    <mergeCell ref="E2:G2"/>
    <mergeCell ref="A57:C57"/>
    <mergeCell ref="K6:L6"/>
    <mergeCell ref="L40:P40"/>
    <mergeCell ref="L47:P47"/>
    <mergeCell ref="L52:P52"/>
    <mergeCell ref="J28:Q28"/>
    <mergeCell ref="K7:L7"/>
    <mergeCell ref="K8:L8"/>
    <mergeCell ref="M6:P7"/>
    <mergeCell ref="M8:P8"/>
  </mergeCells>
  <pageMargins left="0" right="0" top="0.39409448818897608" bottom="0.39409448818897608" header="0" footer="0"/>
  <pageSetup fitToWidth="0" fitToHeight="0" pageOrder="overThenDown" orientation="portrait" r:id="rId1"/>
  <headerFooter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0BE73-D9EA-4906-82FF-3A36D4EE0AC3}">
  <sheetPr codeName="Sheet7"/>
  <dimension ref="A1:AJ41"/>
  <sheetViews>
    <sheetView topLeftCell="O1" zoomScale="91" workbookViewId="0">
      <selection activeCell="W5" sqref="W5"/>
    </sheetView>
  </sheetViews>
  <sheetFormatPr defaultRowHeight="13.5"/>
  <cols>
    <col min="1" max="1" width="25.5" bestFit="1" customWidth="1"/>
    <col min="2" max="2" width="8.375" bestFit="1" customWidth="1"/>
    <col min="3" max="3" width="17.625" customWidth="1"/>
    <col min="4" max="4" width="19.375" bestFit="1" customWidth="1"/>
    <col min="5" max="5" width="13.375" bestFit="1" customWidth="1"/>
    <col min="6" max="6" width="13.25" customWidth="1"/>
    <col min="7" max="7" width="8.625" customWidth="1"/>
    <col min="8" max="8" width="21.625" bestFit="1" customWidth="1"/>
    <col min="9" max="9" width="8.75" bestFit="1" customWidth="1"/>
    <col min="10" max="10" width="40" bestFit="1" customWidth="1"/>
    <col min="11" max="11" width="7.625" bestFit="1" customWidth="1"/>
    <col min="12" max="12" width="30.625" bestFit="1" customWidth="1"/>
    <col min="13" max="13" width="7.75" bestFit="1" customWidth="1"/>
    <col min="14" max="14" width="6.75" customWidth="1"/>
    <col min="15" max="15" width="33" bestFit="1" customWidth="1"/>
    <col min="16" max="16" width="7.75" bestFit="1" customWidth="1"/>
    <col min="17" max="17" width="29" bestFit="1" customWidth="1"/>
    <col min="18" max="18" width="7.625" bestFit="1" customWidth="1"/>
    <col min="19" max="19" width="8.875" customWidth="1"/>
    <col min="20" max="20" width="26" bestFit="1" customWidth="1"/>
    <col min="21" max="21" width="7.75" bestFit="1" customWidth="1"/>
    <col min="22" max="22" width="8.875" style="62" customWidth="1"/>
    <col min="23" max="23" width="26.5" bestFit="1" customWidth="1"/>
    <col min="24" max="24" width="7.75" bestFit="1" customWidth="1"/>
    <col min="25" max="25" width="6.625" customWidth="1"/>
    <col min="26" max="26" width="25.875" bestFit="1" customWidth="1"/>
    <col min="27" max="27" width="7.625" bestFit="1" customWidth="1"/>
    <col min="28" max="28" width="4.375" customWidth="1"/>
    <col min="29" max="29" width="32.875" bestFit="1" customWidth="1"/>
    <col min="30" max="30" width="7.75" bestFit="1" customWidth="1"/>
    <col min="31" max="31" width="7.25" customWidth="1"/>
    <col min="32" max="32" width="16.125" bestFit="1" customWidth="1"/>
    <col min="33" max="33" width="7.625" bestFit="1" customWidth="1"/>
    <col min="34" max="34" width="28.375" customWidth="1"/>
    <col min="36" max="36" width="10.75" bestFit="1" customWidth="1"/>
  </cols>
  <sheetData>
    <row r="1" spans="1:36">
      <c r="A1" s="210" t="s">
        <v>160</v>
      </c>
      <c r="B1" s="210" t="s">
        <v>142</v>
      </c>
      <c r="C1" s="210" t="s">
        <v>4479</v>
      </c>
      <c r="D1" s="210" t="s">
        <v>170</v>
      </c>
      <c r="E1" s="210"/>
      <c r="F1" s="210" t="s">
        <v>175</v>
      </c>
      <c r="G1" s="210"/>
      <c r="H1" s="210" t="s">
        <v>4480</v>
      </c>
      <c r="I1" s="210"/>
      <c r="J1" s="210" t="s">
        <v>177</v>
      </c>
      <c r="K1" s="210"/>
      <c r="L1" s="210" t="s">
        <v>4481</v>
      </c>
      <c r="M1" s="210"/>
      <c r="N1" s="210"/>
      <c r="O1" s="210" t="s">
        <v>179</v>
      </c>
      <c r="P1" s="210"/>
      <c r="Q1" s="210" t="s">
        <v>4482</v>
      </c>
      <c r="R1" s="210"/>
      <c r="S1" s="210"/>
      <c r="T1" s="210" t="s">
        <v>187</v>
      </c>
      <c r="U1" s="210"/>
      <c r="V1" s="580"/>
      <c r="W1" s="210" t="s">
        <v>184</v>
      </c>
      <c r="X1" s="210"/>
      <c r="Y1" s="210"/>
      <c r="Z1" s="210" t="s">
        <v>190</v>
      </c>
      <c r="AA1" s="210"/>
      <c r="AB1" s="210"/>
      <c r="AC1" s="210" t="s">
        <v>4483</v>
      </c>
      <c r="AD1" s="210"/>
      <c r="AE1" s="210"/>
      <c r="AF1" s="210" t="s">
        <v>4484</v>
      </c>
      <c r="AG1" s="210"/>
      <c r="AH1" s="210" t="s">
        <v>381</v>
      </c>
      <c r="AI1" s="210"/>
      <c r="AJ1" s="210"/>
    </row>
    <row r="2" spans="1:36">
      <c r="A2" s="547" t="s">
        <v>4485</v>
      </c>
      <c r="B2" s="548" t="s">
        <v>4486</v>
      </c>
      <c r="C2" s="560">
        <v>468</v>
      </c>
      <c r="D2" s="561" t="s">
        <v>4487</v>
      </c>
      <c r="E2" s="562" t="s">
        <v>4488</v>
      </c>
      <c r="F2" s="547" t="s">
        <v>4489</v>
      </c>
      <c r="G2" s="549" t="s">
        <v>4490</v>
      </c>
      <c r="H2" s="561" t="s">
        <v>176</v>
      </c>
      <c r="I2" s="562" t="s">
        <v>4491</v>
      </c>
      <c r="J2" s="565" t="s">
        <v>4492</v>
      </c>
      <c r="K2" s="566" t="s">
        <v>4493</v>
      </c>
      <c r="L2" s="561" t="s">
        <v>4494</v>
      </c>
      <c r="M2" s="562" t="s">
        <v>4495</v>
      </c>
      <c r="N2" s="574">
        <v>32</v>
      </c>
      <c r="O2" s="547" t="s">
        <v>4496</v>
      </c>
      <c r="P2" s="548" t="s">
        <v>4497</v>
      </c>
      <c r="Q2" s="561" t="s">
        <v>4498</v>
      </c>
      <c r="R2" s="562" t="s">
        <v>4499</v>
      </c>
      <c r="S2" s="561"/>
      <c r="T2" s="547" t="s">
        <v>4500</v>
      </c>
      <c r="U2" s="550" t="s">
        <v>4501</v>
      </c>
      <c r="V2" s="581">
        <v>147</v>
      </c>
      <c r="W2" s="561" t="s">
        <v>4502</v>
      </c>
      <c r="X2" s="562" t="s">
        <v>4503</v>
      </c>
      <c r="Y2" s="574">
        <v>99</v>
      </c>
      <c r="Z2" s="565" t="s">
        <v>4504</v>
      </c>
      <c r="AA2" s="566" t="s">
        <v>4505</v>
      </c>
      <c r="AB2" s="582">
        <v>78</v>
      </c>
      <c r="AC2" s="561" t="s">
        <v>4506</v>
      </c>
      <c r="AD2" s="562" t="s">
        <v>4507</v>
      </c>
      <c r="AE2" s="561">
        <f>17*40</f>
        <v>680</v>
      </c>
      <c r="AF2" s="547" t="s">
        <v>194</v>
      </c>
      <c r="AG2" s="548" t="s">
        <v>4508</v>
      </c>
      <c r="AH2" s="576" t="s">
        <v>200</v>
      </c>
      <c r="AI2" s="690" t="s">
        <v>4509</v>
      </c>
      <c r="AJ2">
        <f>75/50</f>
        <v>1.5</v>
      </c>
    </row>
    <row r="3" spans="1:36">
      <c r="A3" t="s">
        <v>4510</v>
      </c>
      <c r="B3" s="696" t="s">
        <v>4511</v>
      </c>
      <c r="C3" s="697">
        <v>540</v>
      </c>
      <c r="D3" s="563" t="s">
        <v>4512</v>
      </c>
      <c r="E3" s="564" t="s">
        <v>4513</v>
      </c>
      <c r="F3" s="565" t="s">
        <v>4514</v>
      </c>
      <c r="G3" s="566" t="s">
        <v>4515</v>
      </c>
      <c r="H3" s="563" t="s">
        <v>4516</v>
      </c>
      <c r="I3" s="564" t="s">
        <v>4517</v>
      </c>
      <c r="J3" s="547" t="s">
        <v>4518</v>
      </c>
      <c r="K3" s="548"/>
      <c r="L3" s="563" t="s">
        <v>4519</v>
      </c>
      <c r="M3" s="564" t="s">
        <v>4520</v>
      </c>
      <c r="N3" s="575">
        <v>8</v>
      </c>
      <c r="O3" s="565" t="s">
        <v>4521</v>
      </c>
      <c r="P3" s="566" t="s">
        <v>4522</v>
      </c>
      <c r="Q3" s="563" t="s">
        <v>4523</v>
      </c>
      <c r="R3" s="564" t="s">
        <v>4524</v>
      </c>
      <c r="S3" s="563"/>
      <c r="T3" s="547" t="s">
        <v>4525</v>
      </c>
      <c r="U3" s="548" t="s">
        <v>4526</v>
      </c>
      <c r="V3" s="559">
        <v>147</v>
      </c>
      <c r="W3" s="563" t="s">
        <v>4527</v>
      </c>
      <c r="X3" s="564" t="s">
        <v>4528</v>
      </c>
      <c r="Y3" s="575">
        <v>99</v>
      </c>
      <c r="Z3" s="547" t="s">
        <v>4529</v>
      </c>
      <c r="AA3" s="548" t="s">
        <v>4530</v>
      </c>
      <c r="AB3" s="559">
        <v>78</v>
      </c>
      <c r="AC3" s="563" t="s">
        <v>4531</v>
      </c>
      <c r="AD3" s="564" t="s">
        <v>4532</v>
      </c>
      <c r="AE3" s="576">
        <f>18.9*50</f>
        <v>944.99999999999989</v>
      </c>
      <c r="AF3" s="565" t="s">
        <v>4533</v>
      </c>
      <c r="AG3" s="566" t="s">
        <v>4534</v>
      </c>
      <c r="AH3" s="577" t="s">
        <v>4535</v>
      </c>
      <c r="AI3" s="690" t="s">
        <v>4536</v>
      </c>
      <c r="AJ3">
        <f>3/5</f>
        <v>0.6</v>
      </c>
    </row>
    <row r="4" spans="1:36">
      <c r="A4" t="s">
        <v>4537</v>
      </c>
      <c r="B4" t="s">
        <v>4538</v>
      </c>
      <c r="C4">
        <v>225</v>
      </c>
      <c r="D4" s="561" t="s">
        <v>4539</v>
      </c>
      <c r="E4" s="562" t="s">
        <v>4540</v>
      </c>
      <c r="F4" s="547" t="s">
        <v>4541</v>
      </c>
      <c r="G4" s="548" t="s">
        <v>4542</v>
      </c>
      <c r="H4" s="561" t="s">
        <v>4543</v>
      </c>
      <c r="I4" s="562" t="s">
        <v>4544</v>
      </c>
      <c r="J4" s="565" t="s">
        <v>4545</v>
      </c>
      <c r="K4" s="566" t="s">
        <v>4546</v>
      </c>
      <c r="L4" s="561" t="s">
        <v>4547</v>
      </c>
      <c r="M4" s="562" t="s">
        <v>4548</v>
      </c>
      <c r="N4" s="574">
        <v>8</v>
      </c>
      <c r="O4" s="547" t="s">
        <v>4549</v>
      </c>
      <c r="P4" s="548" t="s">
        <v>4550</v>
      </c>
      <c r="Q4" s="561" t="s">
        <v>182</v>
      </c>
      <c r="R4" s="562" t="s">
        <v>4551</v>
      </c>
      <c r="S4" s="561"/>
      <c r="T4" s="565" t="s">
        <v>4552</v>
      </c>
      <c r="U4" s="566" t="s">
        <v>4553</v>
      </c>
      <c r="V4" s="582">
        <v>147</v>
      </c>
      <c r="W4" s="561" t="s">
        <v>191</v>
      </c>
      <c r="X4" s="562" t="s">
        <v>4554</v>
      </c>
      <c r="Y4" s="574">
        <v>99</v>
      </c>
      <c r="Z4" s="565" t="s">
        <v>4555</v>
      </c>
      <c r="AA4" s="566" t="s">
        <v>4556</v>
      </c>
      <c r="AB4" s="582">
        <v>78</v>
      </c>
      <c r="AC4" s="563" t="s">
        <v>195</v>
      </c>
      <c r="AD4" s="564" t="s">
        <v>4557</v>
      </c>
      <c r="AE4" s="576">
        <v>665</v>
      </c>
      <c r="AH4" s="576" t="s">
        <v>4558</v>
      </c>
      <c r="AI4" s="690" t="s">
        <v>4559</v>
      </c>
      <c r="AJ4">
        <f>3/54</f>
        <v>5.5555555555555552E-2</v>
      </c>
    </row>
    <row r="5" spans="1:36">
      <c r="A5" s="547" t="s">
        <v>4560</v>
      </c>
      <c r="B5" s="548" t="s">
        <v>4561</v>
      </c>
      <c r="C5" s="560">
        <v>400</v>
      </c>
      <c r="D5" s="563" t="s">
        <v>4562</v>
      </c>
      <c r="E5" s="564"/>
      <c r="F5" s="565" t="s">
        <v>4563</v>
      </c>
      <c r="G5" s="566" t="s">
        <v>4564</v>
      </c>
      <c r="J5" s="547" t="s">
        <v>4565</v>
      </c>
      <c r="K5" s="548" t="s">
        <v>4566</v>
      </c>
      <c r="L5" s="563" t="s">
        <v>178</v>
      </c>
      <c r="M5" s="564" t="s">
        <v>4567</v>
      </c>
      <c r="N5" s="575">
        <v>16</v>
      </c>
      <c r="O5" s="565" t="s">
        <v>4568</v>
      </c>
      <c r="P5" s="566"/>
      <c r="Q5" s="563" t="s">
        <v>4569</v>
      </c>
      <c r="R5" s="564" t="s">
        <v>4570</v>
      </c>
      <c r="S5" s="563"/>
      <c r="T5" s="547" t="s">
        <v>4571</v>
      </c>
      <c r="U5" s="548" t="s">
        <v>4572</v>
      </c>
      <c r="V5" s="559">
        <v>147</v>
      </c>
      <c r="W5" s="563" t="s">
        <v>4573</v>
      </c>
      <c r="X5" s="564" t="s">
        <v>4574</v>
      </c>
      <c r="Y5" s="575">
        <v>147</v>
      </c>
      <c r="Z5" s="547" t="s">
        <v>4575</v>
      </c>
      <c r="AA5" s="548" t="s">
        <v>4576</v>
      </c>
      <c r="AB5" s="559">
        <v>78</v>
      </c>
      <c r="AC5" s="563" t="s">
        <v>197</v>
      </c>
      <c r="AD5" s="564" t="s">
        <v>4577</v>
      </c>
      <c r="AE5" s="576">
        <f>ROUNDUP((100/0.475)*5,0)</f>
        <v>1053</v>
      </c>
      <c r="AH5" t="s">
        <v>4578</v>
      </c>
      <c r="AI5" s="555" t="s">
        <v>4579</v>
      </c>
      <c r="AJ5">
        <f>19/19</f>
        <v>1</v>
      </c>
    </row>
    <row r="6" spans="1:36">
      <c r="A6" s="565" t="s">
        <v>4580</v>
      </c>
      <c r="B6" s="566" t="s">
        <v>4581</v>
      </c>
      <c r="C6" s="567">
        <v>220</v>
      </c>
      <c r="D6" s="561" t="s">
        <v>4582</v>
      </c>
      <c r="E6" s="562" t="s">
        <v>4583</v>
      </c>
      <c r="J6" s="565" t="s">
        <v>4584</v>
      </c>
      <c r="K6" s="566" t="s">
        <v>4585</v>
      </c>
      <c r="L6" s="561" t="s">
        <v>4586</v>
      </c>
      <c r="M6" s="562" t="s">
        <v>4587</v>
      </c>
      <c r="N6" s="574">
        <v>16</v>
      </c>
      <c r="O6" s="547" t="s">
        <v>4588</v>
      </c>
      <c r="P6" s="548"/>
      <c r="T6" s="565" t="s">
        <v>4589</v>
      </c>
      <c r="U6" s="566" t="s">
        <v>4590</v>
      </c>
      <c r="V6" s="582">
        <v>99</v>
      </c>
      <c r="W6" s="561" t="s">
        <v>4591</v>
      </c>
      <c r="X6" s="562" t="s">
        <v>4592</v>
      </c>
      <c r="Y6" s="574">
        <v>147</v>
      </c>
      <c r="Z6" s="565" t="s">
        <v>4593</v>
      </c>
      <c r="AA6" s="566" t="s">
        <v>4594</v>
      </c>
      <c r="AB6" s="582">
        <v>78</v>
      </c>
      <c r="AC6" s="563" t="s">
        <v>4595</v>
      </c>
      <c r="AD6" s="564" t="s">
        <v>4596</v>
      </c>
      <c r="AE6" s="576">
        <v>180</v>
      </c>
      <c r="AH6" t="s">
        <v>4597</v>
      </c>
      <c r="AI6" s="555" t="s">
        <v>4598</v>
      </c>
      <c r="AJ6">
        <f>19/205</f>
        <v>9.2682926829268292E-2</v>
      </c>
    </row>
    <row r="7" spans="1:36">
      <c r="A7" s="547" t="s">
        <v>4599</v>
      </c>
      <c r="B7" s="548" t="s">
        <v>4600</v>
      </c>
      <c r="C7" s="560">
        <v>315</v>
      </c>
      <c r="D7" s="563" t="s">
        <v>4601</v>
      </c>
      <c r="E7" s="564" t="s">
        <v>4602</v>
      </c>
      <c r="J7" s="547" t="s">
        <v>4603</v>
      </c>
      <c r="K7" s="548" t="s">
        <v>4604</v>
      </c>
      <c r="L7" s="563" t="s">
        <v>4605</v>
      </c>
      <c r="M7" s="564" t="s">
        <v>4606</v>
      </c>
      <c r="N7" s="575">
        <v>8</v>
      </c>
      <c r="O7" s="565" t="s">
        <v>4607</v>
      </c>
      <c r="P7" s="566" t="s">
        <v>4608</v>
      </c>
      <c r="T7" s="547" t="s">
        <v>4609</v>
      </c>
      <c r="U7" s="548" t="s">
        <v>4610</v>
      </c>
      <c r="V7" s="559">
        <v>99</v>
      </c>
      <c r="W7" s="563" t="s">
        <v>4611</v>
      </c>
      <c r="X7" s="564" t="s">
        <v>4612</v>
      </c>
      <c r="Y7" s="575">
        <v>98</v>
      </c>
      <c r="Z7" s="547" t="s">
        <v>4613</v>
      </c>
      <c r="AA7" s="548" t="s">
        <v>4614</v>
      </c>
      <c r="AB7" s="559">
        <v>78</v>
      </c>
      <c r="AC7" s="561" t="s">
        <v>4615</v>
      </c>
      <c r="AD7" s="562" t="s">
        <v>4616</v>
      </c>
      <c r="AE7" s="577">
        <v>895</v>
      </c>
    </row>
    <row r="8" spans="1:36">
      <c r="A8" s="565" t="s">
        <v>4617</v>
      </c>
      <c r="B8" s="566"/>
      <c r="C8" s="567">
        <v>1080</v>
      </c>
      <c r="D8" s="561" t="s">
        <v>165</v>
      </c>
      <c r="E8" s="562" t="s">
        <v>4618</v>
      </c>
      <c r="J8" s="565" t="s">
        <v>4619</v>
      </c>
      <c r="K8" s="566" t="s">
        <v>4620</v>
      </c>
      <c r="O8" s="547" t="s">
        <v>4621</v>
      </c>
      <c r="P8" s="548" t="s">
        <v>4622</v>
      </c>
      <c r="T8" s="565" t="s">
        <v>4623</v>
      </c>
      <c r="U8" s="566" t="s">
        <v>4624</v>
      </c>
      <c r="V8" s="582">
        <v>99</v>
      </c>
      <c r="W8" s="561" t="s">
        <v>4625</v>
      </c>
      <c r="X8" s="562" t="s">
        <v>4626</v>
      </c>
      <c r="Y8" s="574">
        <v>147</v>
      </c>
      <c r="Z8" s="565" t="s">
        <v>4627</v>
      </c>
      <c r="AA8" s="566" t="s">
        <v>4628</v>
      </c>
      <c r="AB8" s="582">
        <v>97</v>
      </c>
      <c r="AC8" s="563" t="s">
        <v>4629</v>
      </c>
      <c r="AD8" s="564" t="s">
        <v>4630</v>
      </c>
      <c r="AE8" s="576">
        <v>200</v>
      </c>
    </row>
    <row r="9" spans="1:36">
      <c r="A9" s="547" t="s">
        <v>4631</v>
      </c>
      <c r="B9" t="s">
        <v>4632</v>
      </c>
      <c r="C9" s="560">
        <v>2000</v>
      </c>
      <c r="D9" s="563" t="s">
        <v>4633</v>
      </c>
      <c r="E9" s="564" t="s">
        <v>4634</v>
      </c>
      <c r="J9" s="547" t="s">
        <v>4635</v>
      </c>
      <c r="K9" s="548"/>
      <c r="O9" s="565" t="s">
        <v>4636</v>
      </c>
      <c r="P9" s="566"/>
      <c r="T9" s="547" t="s">
        <v>4637</v>
      </c>
      <c r="U9" s="548" t="s">
        <v>4638</v>
      </c>
      <c r="V9" s="559">
        <v>96</v>
      </c>
      <c r="W9" s="563" t="s">
        <v>4639</v>
      </c>
      <c r="X9" s="564" t="s">
        <v>4640</v>
      </c>
      <c r="Y9" s="575">
        <v>147</v>
      </c>
      <c r="Z9" s="547" t="s">
        <v>4641</v>
      </c>
      <c r="AA9" s="548" t="s">
        <v>4642</v>
      </c>
      <c r="AB9" s="559">
        <v>74</v>
      </c>
      <c r="AC9" s="577" t="s">
        <v>4643</v>
      </c>
      <c r="AD9" s="690" t="s">
        <v>4536</v>
      </c>
      <c r="AE9">
        <v>200</v>
      </c>
    </row>
    <row r="10" spans="1:36">
      <c r="A10" s="547" t="s">
        <v>4644</v>
      </c>
      <c r="B10" s="548" t="s">
        <v>4645</v>
      </c>
      <c r="C10" s="691">
        <v>1000</v>
      </c>
      <c r="D10" s="561" t="s">
        <v>4646</v>
      </c>
      <c r="E10" s="568" t="s">
        <v>4647</v>
      </c>
      <c r="T10" s="547" t="s">
        <v>4648</v>
      </c>
      <c r="U10" s="548" t="s">
        <v>4649</v>
      </c>
      <c r="V10" s="559">
        <v>100</v>
      </c>
      <c r="W10" s="561" t="s">
        <v>4650</v>
      </c>
      <c r="X10" s="562" t="s">
        <v>4651</v>
      </c>
      <c r="Y10" s="574">
        <v>147</v>
      </c>
      <c r="Z10" s="565" t="s">
        <v>4652</v>
      </c>
      <c r="AA10" s="566" t="s">
        <v>4653</v>
      </c>
      <c r="AB10" s="582">
        <v>99</v>
      </c>
      <c r="AC10" s="576" t="s">
        <v>4654</v>
      </c>
      <c r="AD10" s="690" t="s">
        <v>4559</v>
      </c>
      <c r="AE10">
        <v>2200</v>
      </c>
    </row>
    <row r="11" spans="1:36">
      <c r="D11" s="563" t="s">
        <v>4655</v>
      </c>
      <c r="E11" s="569" t="s">
        <v>4656</v>
      </c>
      <c r="T11" s="547" t="s">
        <v>4657</v>
      </c>
      <c r="U11" s="548" t="s">
        <v>4658</v>
      </c>
      <c r="V11" s="584">
        <v>100</v>
      </c>
      <c r="W11" s="563" t="s">
        <v>4659</v>
      </c>
      <c r="X11" s="564" t="s">
        <v>4660</v>
      </c>
      <c r="Y11" s="575">
        <v>100</v>
      </c>
      <c r="Z11" s="547" t="s">
        <v>4527</v>
      </c>
      <c r="AA11" s="548" t="s">
        <v>4528</v>
      </c>
      <c r="AB11" s="559">
        <v>99</v>
      </c>
      <c r="AC11" s="577" t="s">
        <v>4661</v>
      </c>
      <c r="AD11" t="s">
        <v>4662</v>
      </c>
      <c r="AE11">
        <v>800</v>
      </c>
    </row>
    <row r="12" spans="1:36">
      <c r="A12" s="547" t="s">
        <v>161</v>
      </c>
      <c r="B12" s="548"/>
      <c r="C12" s="560">
        <v>147</v>
      </c>
      <c r="D12" s="561" t="s">
        <v>4663</v>
      </c>
      <c r="E12" s="568" t="s">
        <v>4664</v>
      </c>
      <c r="T12" s="565" t="s">
        <v>4665</v>
      </c>
      <c r="U12" s="566" t="s">
        <v>4554</v>
      </c>
      <c r="V12" s="583">
        <v>99</v>
      </c>
      <c r="W12" s="561" t="s">
        <v>4666</v>
      </c>
      <c r="X12" s="562" t="s">
        <v>4667</v>
      </c>
      <c r="Y12" s="574">
        <v>100</v>
      </c>
      <c r="Z12" s="547" t="s">
        <v>188</v>
      </c>
      <c r="AA12" s="548" t="s">
        <v>4668</v>
      </c>
      <c r="AB12" s="559">
        <v>78</v>
      </c>
      <c r="AC12" s="576" t="s">
        <v>4669</v>
      </c>
      <c r="AD12" t="s">
        <v>4670</v>
      </c>
    </row>
    <row r="13" spans="1:36">
      <c r="A13" s="565" t="s">
        <v>4671</v>
      </c>
      <c r="B13" s="566"/>
      <c r="C13" s="567">
        <v>205</v>
      </c>
      <c r="D13" s="570" t="s">
        <v>4672</v>
      </c>
      <c r="E13" s="571" t="s">
        <v>4673</v>
      </c>
      <c r="T13" s="547" t="s">
        <v>185</v>
      </c>
      <c r="U13" s="548" t="s">
        <v>4674</v>
      </c>
      <c r="V13" s="584">
        <v>99</v>
      </c>
      <c r="W13" s="563" t="s">
        <v>4675</v>
      </c>
      <c r="X13" s="564" t="s">
        <v>4676</v>
      </c>
      <c r="Y13" s="575">
        <v>100</v>
      </c>
      <c r="Z13" s="565" t="s">
        <v>4677</v>
      </c>
      <c r="AA13" s="586"/>
      <c r="AB13" s="583">
        <v>98</v>
      </c>
    </row>
    <row r="14" spans="1:36">
      <c r="A14" s="565" t="s">
        <v>4678</v>
      </c>
      <c r="B14" s="566"/>
      <c r="C14" s="567">
        <v>468</v>
      </c>
      <c r="D14" s="561" t="s">
        <v>4679</v>
      </c>
      <c r="E14" s="562" t="s">
        <v>4680</v>
      </c>
      <c r="T14" s="565" t="s">
        <v>4681</v>
      </c>
      <c r="U14" s="566" t="s">
        <v>4682</v>
      </c>
      <c r="V14" s="583">
        <v>99</v>
      </c>
      <c r="W14" s="561" t="s">
        <v>4681</v>
      </c>
      <c r="X14" s="562" t="s">
        <v>4682</v>
      </c>
      <c r="Y14" s="574">
        <v>99</v>
      </c>
      <c r="Z14" s="699" t="s">
        <v>4683</v>
      </c>
      <c r="AA14" s="702" t="s">
        <v>4684</v>
      </c>
      <c r="AB14" s="584">
        <v>75</v>
      </c>
      <c r="AC14" s="563" t="s">
        <v>4685</v>
      </c>
      <c r="AD14" s="564"/>
      <c r="AE14" s="563">
        <f>3.5*40</f>
        <v>140</v>
      </c>
    </row>
    <row r="15" spans="1:36">
      <c r="D15" s="563" t="s">
        <v>4686</v>
      </c>
      <c r="E15" s="564" t="s">
        <v>4687</v>
      </c>
      <c r="T15" s="565" t="s">
        <v>4688</v>
      </c>
      <c r="U15" s="566" t="s">
        <v>4689</v>
      </c>
      <c r="V15" s="583">
        <v>100</v>
      </c>
      <c r="W15" s="547" t="s">
        <v>4690</v>
      </c>
      <c r="X15" s="706" t="s">
        <v>4691</v>
      </c>
      <c r="Y15" s="707">
        <v>200</v>
      </c>
      <c r="Z15" s="576" t="s">
        <v>4692</v>
      </c>
      <c r="AA15" s="704" t="s">
        <v>4693</v>
      </c>
      <c r="AB15" s="705">
        <v>75</v>
      </c>
      <c r="AC15" s="561" t="s">
        <v>4694</v>
      </c>
      <c r="AD15" s="562"/>
      <c r="AE15" s="577"/>
    </row>
    <row r="16" spans="1:36">
      <c r="D16" s="561" t="s">
        <v>4695</v>
      </c>
      <c r="E16" s="562" t="s">
        <v>4696</v>
      </c>
      <c r="T16" s="547" t="s">
        <v>161</v>
      </c>
      <c r="U16" s="548" t="s">
        <v>4697</v>
      </c>
      <c r="V16" s="584">
        <v>147</v>
      </c>
      <c r="W16" s="702" t="s">
        <v>4698</v>
      </c>
      <c r="X16" s="703" t="s">
        <v>4699</v>
      </c>
      <c r="Y16" s="62">
        <v>200</v>
      </c>
      <c r="AC16" s="561" t="s">
        <v>4700</v>
      </c>
    </row>
    <row r="17" spans="1:31">
      <c r="D17" s="563" t="s">
        <v>4701</v>
      </c>
      <c r="E17" s="564" t="s">
        <v>4702</v>
      </c>
      <c r="T17" s="565" t="s">
        <v>4703</v>
      </c>
      <c r="U17" s="566" t="s">
        <v>4704</v>
      </c>
      <c r="V17" s="583">
        <v>147</v>
      </c>
      <c r="Z17" s="565" t="s">
        <v>4705</v>
      </c>
      <c r="AA17" s="566"/>
      <c r="AB17" s="582">
        <v>99</v>
      </c>
      <c r="AC17" s="561" t="s">
        <v>4706</v>
      </c>
      <c r="AD17" s="562"/>
      <c r="AE17" s="577"/>
    </row>
    <row r="18" spans="1:31">
      <c r="D18" s="572" t="s">
        <v>4707</v>
      </c>
      <c r="E18" s="573" t="s">
        <v>4708</v>
      </c>
      <c r="T18" s="547" t="s">
        <v>4709</v>
      </c>
      <c r="U18" s="548" t="s">
        <v>4710</v>
      </c>
      <c r="V18" s="584">
        <v>147</v>
      </c>
      <c r="AC18" s="563" t="s">
        <v>4711</v>
      </c>
      <c r="AD18" s="564"/>
      <c r="AE18" s="576"/>
    </row>
    <row r="19" spans="1:31">
      <c r="T19" s="700" t="s">
        <v>4712</v>
      </c>
      <c r="U19" s="701" t="s">
        <v>4713</v>
      </c>
      <c r="V19" s="62">
        <v>100</v>
      </c>
      <c r="AC19" s="561" t="s">
        <v>4714</v>
      </c>
      <c r="AD19" s="562"/>
      <c r="AE19" s="577">
        <v>1458</v>
      </c>
    </row>
    <row r="20" spans="1:31">
      <c r="T20" s="702" t="s">
        <v>4698</v>
      </c>
      <c r="U20" s="703" t="s">
        <v>4699</v>
      </c>
      <c r="V20" s="62">
        <v>200</v>
      </c>
    </row>
    <row r="21" spans="1:31">
      <c r="T21" s="547" t="s">
        <v>4715</v>
      </c>
      <c r="U21" s="701" t="s">
        <v>4716</v>
      </c>
      <c r="V21" s="62">
        <v>100</v>
      </c>
    </row>
    <row r="22" spans="1:31">
      <c r="T22" s="547" t="s">
        <v>4717</v>
      </c>
      <c r="U22" s="703" t="s">
        <v>4718</v>
      </c>
      <c r="V22" s="62">
        <v>150</v>
      </c>
    </row>
    <row r="24" spans="1:31">
      <c r="T24" s="565" t="s">
        <v>4719</v>
      </c>
      <c r="U24" s="566"/>
      <c r="V24" s="582">
        <v>147</v>
      </c>
    </row>
    <row r="25" spans="1:31">
      <c r="T25" s="565" t="s">
        <v>4720</v>
      </c>
      <c r="U25" s="566"/>
      <c r="V25" s="582">
        <v>99</v>
      </c>
    </row>
    <row r="26" spans="1:31">
      <c r="A26" t="s">
        <v>222</v>
      </c>
      <c r="H26" t="s">
        <v>128</v>
      </c>
      <c r="T26" s="547" t="s">
        <v>4721</v>
      </c>
      <c r="U26" s="548"/>
      <c r="V26" s="559">
        <v>99</v>
      </c>
    </row>
    <row r="27" spans="1:31">
      <c r="A27" s="210" t="s">
        <v>230</v>
      </c>
      <c r="B27" s="210"/>
      <c r="C27" s="210" t="s">
        <v>224</v>
      </c>
      <c r="D27" s="210" t="s">
        <v>227</v>
      </c>
      <c r="E27" s="210"/>
      <c r="H27" s="210" t="s">
        <v>128</v>
      </c>
      <c r="I27" s="210"/>
      <c r="T27" s="565" t="s">
        <v>4722</v>
      </c>
      <c r="U27" s="566"/>
      <c r="V27" s="582">
        <v>99</v>
      </c>
    </row>
    <row r="28" spans="1:31">
      <c r="A28" s="561" t="s">
        <v>4723</v>
      </c>
      <c r="B28" s="562" t="s">
        <v>4724</v>
      </c>
      <c r="C28" s="586" t="s">
        <v>4725</v>
      </c>
      <c r="D28" s="561" t="s">
        <v>4726</v>
      </c>
      <c r="E28" s="562" t="s">
        <v>4727</v>
      </c>
      <c r="H28" s="547" t="s">
        <v>4728</v>
      </c>
      <c r="I28" s="548" t="s">
        <v>4729</v>
      </c>
      <c r="T28" s="565" t="s">
        <v>4730</v>
      </c>
      <c r="U28" s="566"/>
      <c r="V28" s="583">
        <v>100</v>
      </c>
    </row>
    <row r="29" spans="1:31">
      <c r="A29" s="563" t="s">
        <v>4731</v>
      </c>
      <c r="B29" s="564" t="s">
        <v>4724</v>
      </c>
      <c r="C29" s="586" t="s">
        <v>4732</v>
      </c>
      <c r="D29" s="563" t="s">
        <v>4733</v>
      </c>
      <c r="E29" s="564" t="s">
        <v>4734</v>
      </c>
      <c r="H29" s="565" t="s">
        <v>4735</v>
      </c>
      <c r="I29" s="566" t="s">
        <v>4736</v>
      </c>
      <c r="T29" s="547" t="s">
        <v>4737</v>
      </c>
      <c r="U29" s="548"/>
      <c r="V29" s="584">
        <v>99</v>
      </c>
    </row>
    <row r="30" spans="1:31">
      <c r="A30" s="561" t="s">
        <v>4738</v>
      </c>
      <c r="B30" s="562" t="s">
        <v>4739</v>
      </c>
      <c r="C30" s="586" t="s">
        <v>4740</v>
      </c>
      <c r="D30" s="561" t="s">
        <v>4741</v>
      </c>
      <c r="E30" s="562" t="s">
        <v>4742</v>
      </c>
      <c r="H30" s="547" t="s">
        <v>4743</v>
      </c>
      <c r="I30" s="548" t="s">
        <v>4744</v>
      </c>
      <c r="L30" s="228"/>
      <c r="M30" s="228"/>
      <c r="N30" s="228"/>
      <c r="O30" s="228"/>
      <c r="P30" s="228"/>
      <c r="Q30" s="229"/>
      <c r="R30" s="229"/>
      <c r="S30" s="229"/>
      <c r="T30" s="547" t="s">
        <v>4745</v>
      </c>
      <c r="U30" s="548"/>
      <c r="V30" s="584">
        <v>147</v>
      </c>
    </row>
    <row r="31" spans="1:31">
      <c r="C31" s="586" t="s">
        <v>4746</v>
      </c>
      <c r="D31" s="563" t="s">
        <v>4747</v>
      </c>
      <c r="E31" s="564" t="s">
        <v>4748</v>
      </c>
      <c r="H31" s="565" t="s">
        <v>4749</v>
      </c>
      <c r="I31" s="566" t="s">
        <v>4750</v>
      </c>
      <c r="K31" s="228"/>
      <c r="L31" s="228"/>
      <c r="M31" s="228"/>
      <c r="N31" s="228"/>
      <c r="O31" s="228"/>
      <c r="P31" s="228"/>
      <c r="Q31" s="229"/>
      <c r="R31" s="229"/>
      <c r="S31" s="229"/>
      <c r="T31" s="565" t="s">
        <v>4751</v>
      </c>
      <c r="U31" s="579"/>
      <c r="V31" s="585">
        <v>147</v>
      </c>
    </row>
    <row r="32" spans="1:31">
      <c r="C32" s="586" t="s">
        <v>4752</v>
      </c>
      <c r="G32" s="228"/>
      <c r="H32" s="228"/>
      <c r="K32" s="228"/>
      <c r="L32" s="228"/>
      <c r="M32" s="228"/>
      <c r="N32" s="228"/>
      <c r="O32" s="228"/>
      <c r="P32" s="228"/>
      <c r="Q32" s="229"/>
      <c r="R32" s="229"/>
      <c r="S32" s="229"/>
    </row>
    <row r="33" spans="1:10">
      <c r="H33" s="228"/>
      <c r="I33" s="228"/>
      <c r="J33" s="228"/>
    </row>
    <row r="34" spans="1:10">
      <c r="A34" t="s">
        <v>250</v>
      </c>
      <c r="H34" s="228"/>
      <c r="I34" s="228"/>
      <c r="J34" s="228"/>
    </row>
    <row r="35" spans="1:10">
      <c r="A35" s="210" t="s">
        <v>251</v>
      </c>
      <c r="B35" s="210"/>
    </row>
    <row r="36" spans="1:10">
      <c r="A36" s="561" t="s">
        <v>4753</v>
      </c>
      <c r="B36" s="562"/>
      <c r="C36" s="555"/>
    </row>
    <row r="37" spans="1:10">
      <c r="A37" s="563" t="s">
        <v>4754</v>
      </c>
      <c r="B37" s="564" t="s">
        <v>4755</v>
      </c>
      <c r="C37" s="555"/>
    </row>
    <row r="38" spans="1:10">
      <c r="A38" s="561" t="s">
        <v>4756</v>
      </c>
      <c r="B38" s="562" t="s">
        <v>4757</v>
      </c>
      <c r="C38" s="555"/>
    </row>
    <row r="39" spans="1:10">
      <c r="A39" s="563" t="s">
        <v>4758</v>
      </c>
      <c r="B39" s="578" t="s">
        <v>4759</v>
      </c>
      <c r="C39" s="228"/>
    </row>
    <row r="40" spans="1:10">
      <c r="A40" s="561" t="s">
        <v>4760</v>
      </c>
      <c r="B40" s="578" t="s">
        <v>4761</v>
      </c>
      <c r="C40" s="228"/>
    </row>
    <row r="41" spans="1:10">
      <c r="A41" s="563" t="s">
        <v>4762</v>
      </c>
      <c r="B41" s="578" t="s">
        <v>4763</v>
      </c>
      <c r="C41" s="228"/>
    </row>
  </sheetData>
  <phoneticPr fontId="29" type="noConversion"/>
  <dataValidations count="3">
    <dataValidation type="list" allowBlank="1" showInputMessage="1" sqref="W21" xr:uid="{EBCA8345-8578-428E-AB5A-215A9C5C6504}">
      <formula1>$S$1:$Z$1</formula1>
    </dataValidation>
    <dataValidation type="list" allowBlank="1" showInputMessage="1" showErrorMessage="1" sqref="W20 X22" xr:uid="{EC6B6CED-AAA2-4202-A063-DB9F805A5FFB}">
      <formula1>$S$1:$Z$1</formula1>
    </dataValidation>
    <dataValidation type="list" allowBlank="1" showInputMessage="1" showErrorMessage="1" sqref="Z21" xr:uid="{4F89AE6B-A105-4AA1-9853-A7E91BEE9909}">
      <formula1>$W$2:$W$14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7D064-4D5B-4D51-9DC7-A83804169952}">
  <sheetPr codeName="Sheet9"/>
  <dimension ref="A1:G3241"/>
  <sheetViews>
    <sheetView topLeftCell="A3218" workbookViewId="0">
      <selection activeCell="B3243" sqref="B3243"/>
    </sheetView>
  </sheetViews>
  <sheetFormatPr defaultRowHeight="13.5"/>
  <cols>
    <col min="1" max="1" width="18.25" bestFit="1" customWidth="1"/>
    <col min="2" max="2" width="80.625" bestFit="1" customWidth="1"/>
    <col min="3" max="3" width="10.625" bestFit="1" customWidth="1"/>
    <col min="4" max="4" width="10.75" bestFit="1" customWidth="1"/>
    <col min="5" max="5" width="10" bestFit="1" customWidth="1"/>
    <col min="6" max="6" width="35.75" bestFit="1" customWidth="1"/>
    <col min="7" max="7" width="17.5" bestFit="1" customWidth="1"/>
  </cols>
  <sheetData>
    <row r="1" spans="1:7">
      <c r="A1" t="s">
        <v>142</v>
      </c>
      <c r="B1" t="s">
        <v>143</v>
      </c>
      <c r="C1" t="s">
        <v>144</v>
      </c>
      <c r="D1" t="s">
        <v>145</v>
      </c>
      <c r="E1" t="s">
        <v>146</v>
      </c>
      <c r="F1" t="s">
        <v>147</v>
      </c>
      <c r="G1" t="s">
        <v>148</v>
      </c>
    </row>
    <row r="2" spans="1:7">
      <c r="A2" t="s">
        <v>4764</v>
      </c>
      <c r="B2" t="s">
        <v>4765</v>
      </c>
      <c r="C2" t="s">
        <v>4766</v>
      </c>
      <c r="D2">
        <v>24.6</v>
      </c>
      <c r="E2" s="208">
        <v>45994</v>
      </c>
      <c r="F2" t="s">
        <v>4767</v>
      </c>
      <c r="G2" t="s">
        <v>4768</v>
      </c>
    </row>
    <row r="3" spans="1:7">
      <c r="A3" t="s">
        <v>4509</v>
      </c>
      <c r="B3" t="s">
        <v>200</v>
      </c>
      <c r="C3" t="s">
        <v>562</v>
      </c>
      <c r="D3">
        <v>49</v>
      </c>
      <c r="E3" s="208">
        <v>45851</v>
      </c>
      <c r="F3" t="s">
        <v>4373</v>
      </c>
      <c r="G3" t="s">
        <v>4373</v>
      </c>
    </row>
    <row r="4" spans="1:7">
      <c r="A4" t="s">
        <v>4769</v>
      </c>
      <c r="B4" t="s">
        <v>4770</v>
      </c>
      <c r="C4" t="s">
        <v>4771</v>
      </c>
      <c r="D4">
        <v>71</v>
      </c>
      <c r="E4" s="208">
        <v>45838</v>
      </c>
      <c r="F4" t="s">
        <v>4772</v>
      </c>
      <c r="G4" t="s">
        <v>4768</v>
      </c>
    </row>
    <row r="5" spans="1:7">
      <c r="A5" t="s">
        <v>4773</v>
      </c>
      <c r="B5" t="s">
        <v>4774</v>
      </c>
      <c r="C5" t="s">
        <v>4775</v>
      </c>
      <c r="D5">
        <v>39.630000000000003</v>
      </c>
      <c r="E5" s="208">
        <v>45838</v>
      </c>
      <c r="F5" t="s">
        <v>4776</v>
      </c>
      <c r="G5" t="s">
        <v>4768</v>
      </c>
    </row>
    <row r="6" spans="1:7">
      <c r="A6" t="s">
        <v>4777</v>
      </c>
      <c r="B6" t="s">
        <v>4778</v>
      </c>
      <c r="C6" t="s">
        <v>4766</v>
      </c>
      <c r="D6">
        <v>1148</v>
      </c>
      <c r="E6" s="208">
        <v>45838</v>
      </c>
      <c r="F6" t="s">
        <v>4779</v>
      </c>
      <c r="G6" t="s">
        <v>4768</v>
      </c>
    </row>
    <row r="7" spans="1:7">
      <c r="A7" t="s">
        <v>4780</v>
      </c>
      <c r="B7" t="s">
        <v>4781</v>
      </c>
      <c r="C7" t="s">
        <v>4766</v>
      </c>
      <c r="D7">
        <v>31.49</v>
      </c>
      <c r="E7" s="208">
        <v>45838</v>
      </c>
      <c r="F7" t="s">
        <v>4782</v>
      </c>
      <c r="G7" t="s">
        <v>4768</v>
      </c>
    </row>
    <row r="8" spans="1:7">
      <c r="A8" t="s">
        <v>4783</v>
      </c>
      <c r="B8" t="s">
        <v>4784</v>
      </c>
      <c r="C8" t="s">
        <v>4766</v>
      </c>
      <c r="D8">
        <v>119</v>
      </c>
      <c r="E8" s="208">
        <v>45838</v>
      </c>
      <c r="F8" t="s">
        <v>4779</v>
      </c>
      <c r="G8" t="s">
        <v>4768</v>
      </c>
    </row>
    <row r="9" spans="1:7">
      <c r="A9" t="s">
        <v>4785</v>
      </c>
      <c r="B9" t="s">
        <v>4786</v>
      </c>
      <c r="C9" t="s">
        <v>4766</v>
      </c>
      <c r="D9">
        <v>14.98</v>
      </c>
      <c r="E9" s="208">
        <v>45838</v>
      </c>
      <c r="F9" t="s">
        <v>4787</v>
      </c>
      <c r="G9" t="s">
        <v>4768</v>
      </c>
    </row>
    <row r="10" spans="1:7">
      <c r="A10" t="s">
        <v>4788</v>
      </c>
      <c r="B10" t="s">
        <v>4789</v>
      </c>
      <c r="C10" t="s">
        <v>4766</v>
      </c>
      <c r="D10">
        <v>30.19</v>
      </c>
      <c r="E10" s="208">
        <v>45838</v>
      </c>
      <c r="F10" t="s">
        <v>4776</v>
      </c>
      <c r="G10" t="s">
        <v>4768</v>
      </c>
    </row>
    <row r="11" spans="1:7">
      <c r="A11" t="s">
        <v>4790</v>
      </c>
      <c r="B11" t="s">
        <v>4791</v>
      </c>
      <c r="C11" t="s">
        <v>4766</v>
      </c>
      <c r="D11">
        <v>958.73</v>
      </c>
      <c r="E11" s="208">
        <v>45838</v>
      </c>
      <c r="F11" t="s">
        <v>4792</v>
      </c>
      <c r="G11" t="s">
        <v>4768</v>
      </c>
    </row>
    <row r="12" spans="1:7">
      <c r="A12" t="s">
        <v>4793</v>
      </c>
      <c r="B12" t="s">
        <v>4794</v>
      </c>
      <c r="C12" t="s">
        <v>4795</v>
      </c>
      <c r="D12">
        <v>8.89</v>
      </c>
      <c r="E12" s="208">
        <v>45838</v>
      </c>
      <c r="F12" t="s">
        <v>4796</v>
      </c>
      <c r="G12" t="s">
        <v>4768</v>
      </c>
    </row>
    <row r="13" spans="1:7">
      <c r="A13" t="s">
        <v>4797</v>
      </c>
      <c r="B13" t="s">
        <v>4798</v>
      </c>
      <c r="C13" t="s">
        <v>4799</v>
      </c>
      <c r="D13">
        <v>4.22</v>
      </c>
      <c r="E13" s="208">
        <v>45838</v>
      </c>
      <c r="F13" t="s">
        <v>4782</v>
      </c>
      <c r="G13" t="s">
        <v>4768</v>
      </c>
    </row>
    <row r="14" spans="1:7">
      <c r="A14" t="s">
        <v>4800</v>
      </c>
      <c r="B14" t="s">
        <v>4801</v>
      </c>
      <c r="C14" t="s">
        <v>4766</v>
      </c>
      <c r="D14">
        <v>19.489999999999998</v>
      </c>
      <c r="E14" s="208">
        <v>45838</v>
      </c>
      <c r="F14" t="s">
        <v>4779</v>
      </c>
      <c r="G14" t="s">
        <v>4768</v>
      </c>
    </row>
    <row r="15" spans="1:7">
      <c r="A15" t="s">
        <v>4486</v>
      </c>
      <c r="B15" t="s">
        <v>4802</v>
      </c>
      <c r="C15" t="s">
        <v>4803</v>
      </c>
      <c r="D15">
        <v>324.95</v>
      </c>
      <c r="E15" s="208">
        <v>45838</v>
      </c>
      <c r="F15" t="s">
        <v>4804</v>
      </c>
      <c r="G15" t="s">
        <v>4768</v>
      </c>
    </row>
    <row r="16" spans="1:7">
      <c r="A16" t="s">
        <v>4583</v>
      </c>
      <c r="B16" t="s">
        <v>4805</v>
      </c>
      <c r="C16" t="s">
        <v>4806</v>
      </c>
      <c r="D16">
        <v>14</v>
      </c>
      <c r="E16" s="208">
        <v>45838</v>
      </c>
      <c r="F16" t="s">
        <v>4804</v>
      </c>
      <c r="G16" t="s">
        <v>4768</v>
      </c>
    </row>
    <row r="17" spans="1:7">
      <c r="A17" t="s">
        <v>4807</v>
      </c>
      <c r="B17" t="s">
        <v>4808</v>
      </c>
      <c r="C17" t="s">
        <v>4806</v>
      </c>
      <c r="D17">
        <v>29.4</v>
      </c>
      <c r="E17" s="208">
        <v>45838</v>
      </c>
      <c r="F17" t="s">
        <v>4804</v>
      </c>
      <c r="G17" t="s">
        <v>4768</v>
      </c>
    </row>
    <row r="18" spans="1:7">
      <c r="A18" t="s">
        <v>4551</v>
      </c>
      <c r="B18" t="s">
        <v>4809</v>
      </c>
      <c r="C18" t="s">
        <v>4810</v>
      </c>
      <c r="D18">
        <v>471.15</v>
      </c>
      <c r="E18" s="208">
        <v>45838</v>
      </c>
      <c r="F18" t="s">
        <v>4804</v>
      </c>
      <c r="G18" t="s">
        <v>4768</v>
      </c>
    </row>
    <row r="19" spans="1:7">
      <c r="A19" t="s">
        <v>4811</v>
      </c>
      <c r="B19" t="s">
        <v>4812</v>
      </c>
      <c r="C19" t="s">
        <v>4813</v>
      </c>
      <c r="D19">
        <v>115.9</v>
      </c>
      <c r="E19" s="208">
        <v>45838</v>
      </c>
      <c r="F19" t="s">
        <v>4804</v>
      </c>
      <c r="G19" t="s">
        <v>4768</v>
      </c>
    </row>
    <row r="20" spans="1:7">
      <c r="A20" t="s">
        <v>4674</v>
      </c>
      <c r="B20" t="s">
        <v>185</v>
      </c>
      <c r="C20" t="s">
        <v>4803</v>
      </c>
      <c r="D20">
        <v>127.25</v>
      </c>
      <c r="E20" s="208">
        <v>45838</v>
      </c>
      <c r="F20" t="s">
        <v>4804</v>
      </c>
      <c r="G20" t="s">
        <v>4768</v>
      </c>
    </row>
    <row r="21" spans="1:7">
      <c r="A21" t="s">
        <v>4668</v>
      </c>
      <c r="B21" t="s">
        <v>4814</v>
      </c>
      <c r="C21" t="s">
        <v>4803</v>
      </c>
      <c r="D21">
        <v>105.8</v>
      </c>
      <c r="E21" s="208">
        <v>45838</v>
      </c>
      <c r="F21" t="s">
        <v>4804</v>
      </c>
      <c r="G21" t="s">
        <v>4768</v>
      </c>
    </row>
    <row r="22" spans="1:7">
      <c r="A22" t="s">
        <v>4503</v>
      </c>
      <c r="B22" t="s">
        <v>4815</v>
      </c>
      <c r="C22" t="s">
        <v>4803</v>
      </c>
      <c r="D22">
        <v>135.05000000000001</v>
      </c>
      <c r="E22" s="208">
        <v>45838</v>
      </c>
      <c r="F22" t="s">
        <v>4804</v>
      </c>
      <c r="G22" t="s">
        <v>4768</v>
      </c>
    </row>
    <row r="23" spans="1:7">
      <c r="A23" t="s">
        <v>4816</v>
      </c>
      <c r="B23" t="s">
        <v>4817</v>
      </c>
      <c r="C23" t="s">
        <v>4818</v>
      </c>
      <c r="D23">
        <v>420.75</v>
      </c>
      <c r="E23" s="208">
        <v>45838</v>
      </c>
      <c r="F23" t="s">
        <v>4804</v>
      </c>
      <c r="G23" t="s">
        <v>4768</v>
      </c>
    </row>
    <row r="24" spans="1:7">
      <c r="A24" t="s">
        <v>4819</v>
      </c>
      <c r="B24" t="s">
        <v>4820</v>
      </c>
      <c r="C24" t="s">
        <v>4813</v>
      </c>
      <c r="D24">
        <v>18.75</v>
      </c>
      <c r="E24" s="208">
        <v>45838</v>
      </c>
      <c r="F24" t="s">
        <v>4804</v>
      </c>
      <c r="G24" t="s">
        <v>4768</v>
      </c>
    </row>
    <row r="25" spans="1:7">
      <c r="A25" t="s">
        <v>4557</v>
      </c>
      <c r="B25" t="s">
        <v>4821</v>
      </c>
      <c r="C25" t="s">
        <v>4822</v>
      </c>
      <c r="D25">
        <v>164.7</v>
      </c>
      <c r="E25" s="208">
        <v>45838</v>
      </c>
      <c r="F25" t="s">
        <v>4804</v>
      </c>
      <c r="G25" t="s">
        <v>4768</v>
      </c>
    </row>
    <row r="26" spans="1:7">
      <c r="A26" t="s">
        <v>4508</v>
      </c>
      <c r="B26" t="s">
        <v>4823</v>
      </c>
      <c r="C26" t="s">
        <v>4824</v>
      </c>
      <c r="D26">
        <v>59.8</v>
      </c>
      <c r="E26" s="208">
        <v>45838</v>
      </c>
      <c r="F26" t="s">
        <v>4804</v>
      </c>
      <c r="G26" t="s">
        <v>4768</v>
      </c>
    </row>
    <row r="27" spans="1:7">
      <c r="A27" t="s">
        <v>4825</v>
      </c>
      <c r="B27" t="s">
        <v>4826</v>
      </c>
      <c r="C27" t="s">
        <v>4766</v>
      </c>
      <c r="D27">
        <v>1755</v>
      </c>
      <c r="E27" s="208">
        <v>45838</v>
      </c>
      <c r="F27" t="s">
        <v>4804</v>
      </c>
      <c r="G27" t="s">
        <v>4768</v>
      </c>
    </row>
    <row r="28" spans="1:7">
      <c r="A28" t="s">
        <v>4827</v>
      </c>
      <c r="B28" t="s">
        <v>4828</v>
      </c>
      <c r="C28" t="s">
        <v>4806</v>
      </c>
      <c r="D28">
        <v>34.5</v>
      </c>
      <c r="E28" s="208">
        <v>45838</v>
      </c>
      <c r="F28" t="s">
        <v>4804</v>
      </c>
      <c r="G28" t="s">
        <v>4768</v>
      </c>
    </row>
    <row r="29" spans="1:7">
      <c r="A29" t="s">
        <v>4829</v>
      </c>
      <c r="B29" t="s">
        <v>4830</v>
      </c>
      <c r="C29" t="s">
        <v>4831</v>
      </c>
      <c r="D29">
        <v>65.849999999999994</v>
      </c>
      <c r="E29" s="208">
        <v>45835</v>
      </c>
      <c r="F29" t="s">
        <v>4832</v>
      </c>
      <c r="G29" t="s">
        <v>4768</v>
      </c>
    </row>
    <row r="30" spans="1:7">
      <c r="A30" t="s">
        <v>4833</v>
      </c>
      <c r="B30" t="s">
        <v>4834</v>
      </c>
      <c r="C30" t="s">
        <v>4835</v>
      </c>
      <c r="D30">
        <v>225.75</v>
      </c>
      <c r="E30" s="208">
        <v>45835</v>
      </c>
      <c r="F30" t="s">
        <v>4772</v>
      </c>
      <c r="G30" t="s">
        <v>4768</v>
      </c>
    </row>
    <row r="31" spans="1:7">
      <c r="A31" t="s">
        <v>4836</v>
      </c>
      <c r="B31" t="s">
        <v>4837</v>
      </c>
      <c r="C31" t="s">
        <v>4838</v>
      </c>
      <c r="D31">
        <v>34.6</v>
      </c>
      <c r="E31" s="208">
        <v>45835</v>
      </c>
      <c r="F31" t="s">
        <v>4804</v>
      </c>
      <c r="G31" t="s">
        <v>4768</v>
      </c>
    </row>
    <row r="32" spans="1:7">
      <c r="A32" t="s">
        <v>4680</v>
      </c>
      <c r="B32" t="s">
        <v>4839</v>
      </c>
      <c r="C32" t="s">
        <v>4838</v>
      </c>
      <c r="D32">
        <v>17.420000000000002</v>
      </c>
      <c r="E32" s="208">
        <v>45834</v>
      </c>
      <c r="F32" t="s">
        <v>4772</v>
      </c>
      <c r="G32" t="s">
        <v>4768</v>
      </c>
    </row>
    <row r="33" spans="1:7">
      <c r="A33" t="s">
        <v>4840</v>
      </c>
      <c r="B33" t="s">
        <v>4841</v>
      </c>
      <c r="C33" t="s">
        <v>4766</v>
      </c>
      <c r="D33">
        <v>44852</v>
      </c>
      <c r="E33" s="208">
        <v>45834</v>
      </c>
      <c r="F33" t="s">
        <v>4842</v>
      </c>
      <c r="G33" t="s">
        <v>4768</v>
      </c>
    </row>
    <row r="34" spans="1:7">
      <c r="A34" t="s">
        <v>4843</v>
      </c>
      <c r="B34" t="s">
        <v>4844</v>
      </c>
      <c r="C34" t="s">
        <v>4845</v>
      </c>
      <c r="D34">
        <v>73.989999999999995</v>
      </c>
      <c r="E34" s="208">
        <v>45834</v>
      </c>
      <c r="F34" t="s">
        <v>4846</v>
      </c>
      <c r="G34" t="s">
        <v>4768</v>
      </c>
    </row>
    <row r="35" spans="1:7">
      <c r="A35" t="s">
        <v>4847</v>
      </c>
      <c r="B35" t="s">
        <v>4848</v>
      </c>
      <c r="C35" t="s">
        <v>4766</v>
      </c>
      <c r="D35">
        <v>4.8600000000000003</v>
      </c>
      <c r="E35" s="208">
        <v>45834</v>
      </c>
      <c r="F35" t="s">
        <v>4832</v>
      </c>
      <c r="G35" t="s">
        <v>4768</v>
      </c>
    </row>
    <row r="36" spans="1:7">
      <c r="A36" t="s">
        <v>4849</v>
      </c>
      <c r="B36" t="s">
        <v>4850</v>
      </c>
      <c r="C36" t="s">
        <v>4766</v>
      </c>
      <c r="D36">
        <v>45</v>
      </c>
      <c r="E36" s="208">
        <v>45834</v>
      </c>
      <c r="F36" t="s">
        <v>4772</v>
      </c>
      <c r="G36" t="s">
        <v>4768</v>
      </c>
    </row>
    <row r="37" spans="1:7">
      <c r="A37" t="s">
        <v>4851</v>
      </c>
      <c r="B37" t="s">
        <v>4852</v>
      </c>
      <c r="C37" t="s">
        <v>4766</v>
      </c>
      <c r="D37">
        <v>95.25</v>
      </c>
      <c r="E37" s="208">
        <v>45834</v>
      </c>
      <c r="F37" t="s">
        <v>4772</v>
      </c>
      <c r="G37" t="s">
        <v>4768</v>
      </c>
    </row>
    <row r="38" spans="1:7">
      <c r="A38" t="s">
        <v>4853</v>
      </c>
      <c r="B38" t="s">
        <v>4854</v>
      </c>
      <c r="C38" t="s">
        <v>4799</v>
      </c>
      <c r="D38">
        <v>58.99</v>
      </c>
      <c r="E38" s="208">
        <v>45834</v>
      </c>
      <c r="F38" t="s">
        <v>4846</v>
      </c>
      <c r="G38" t="s">
        <v>4768</v>
      </c>
    </row>
    <row r="39" spans="1:7">
      <c r="A39" t="s">
        <v>4855</v>
      </c>
      <c r="B39" t="s">
        <v>4856</v>
      </c>
      <c r="C39" t="s">
        <v>4766</v>
      </c>
      <c r="D39">
        <v>12.31</v>
      </c>
      <c r="E39" s="208">
        <v>45833</v>
      </c>
      <c r="F39" t="s">
        <v>4832</v>
      </c>
      <c r="G39" t="s">
        <v>4768</v>
      </c>
    </row>
    <row r="40" spans="1:7">
      <c r="A40" t="s">
        <v>4857</v>
      </c>
      <c r="B40" t="s">
        <v>4858</v>
      </c>
      <c r="C40" t="s">
        <v>4766</v>
      </c>
      <c r="D40">
        <v>4.8499999999999996</v>
      </c>
      <c r="E40" s="208">
        <v>45833</v>
      </c>
      <c r="F40" t="s">
        <v>4772</v>
      </c>
      <c r="G40" t="s">
        <v>4768</v>
      </c>
    </row>
    <row r="41" spans="1:7">
      <c r="A41" t="s">
        <v>4859</v>
      </c>
      <c r="B41" t="s">
        <v>4860</v>
      </c>
      <c r="C41" t="s">
        <v>4766</v>
      </c>
      <c r="D41">
        <v>2.17</v>
      </c>
      <c r="E41" s="208">
        <v>45833</v>
      </c>
      <c r="F41" t="s">
        <v>4832</v>
      </c>
      <c r="G41" t="s">
        <v>4768</v>
      </c>
    </row>
    <row r="42" spans="1:7">
      <c r="A42" t="s">
        <v>4861</v>
      </c>
      <c r="B42" t="s">
        <v>4862</v>
      </c>
      <c r="C42" t="s">
        <v>4845</v>
      </c>
      <c r="D42">
        <v>95.25</v>
      </c>
      <c r="E42" s="208">
        <v>45833</v>
      </c>
      <c r="F42" t="s">
        <v>4772</v>
      </c>
      <c r="G42" t="s">
        <v>4768</v>
      </c>
    </row>
    <row r="43" spans="1:7">
      <c r="A43" t="s">
        <v>4863</v>
      </c>
      <c r="B43" t="s">
        <v>4864</v>
      </c>
      <c r="C43" t="s">
        <v>4766</v>
      </c>
      <c r="D43">
        <v>14.81</v>
      </c>
      <c r="E43" s="208">
        <v>45833</v>
      </c>
      <c r="F43" t="s">
        <v>4832</v>
      </c>
      <c r="G43" t="s">
        <v>4768</v>
      </c>
    </row>
    <row r="44" spans="1:7">
      <c r="A44" t="s">
        <v>4865</v>
      </c>
      <c r="B44" t="s">
        <v>4866</v>
      </c>
      <c r="C44" t="s">
        <v>4795</v>
      </c>
      <c r="D44">
        <v>428.45</v>
      </c>
      <c r="E44" s="208">
        <v>45833</v>
      </c>
      <c r="F44" t="s">
        <v>4832</v>
      </c>
      <c r="G44" t="s">
        <v>4768</v>
      </c>
    </row>
    <row r="45" spans="1:7">
      <c r="A45" t="s">
        <v>4867</v>
      </c>
      <c r="B45" t="s">
        <v>4868</v>
      </c>
      <c r="C45" t="s">
        <v>4766</v>
      </c>
      <c r="D45">
        <v>88.94</v>
      </c>
      <c r="E45" s="208">
        <v>45833</v>
      </c>
      <c r="F45" t="s">
        <v>4832</v>
      </c>
      <c r="G45" t="s">
        <v>4768</v>
      </c>
    </row>
    <row r="46" spans="1:7">
      <c r="A46" t="s">
        <v>4869</v>
      </c>
      <c r="B46" t="s">
        <v>4870</v>
      </c>
      <c r="C46" t="s">
        <v>4871</v>
      </c>
      <c r="D46">
        <v>8.7899999999999991</v>
      </c>
      <c r="E46" s="208">
        <v>45833</v>
      </c>
      <c r="F46" t="s">
        <v>4832</v>
      </c>
      <c r="G46" t="s">
        <v>4768</v>
      </c>
    </row>
    <row r="47" spans="1:7">
      <c r="A47" t="s">
        <v>4872</v>
      </c>
      <c r="B47" t="s">
        <v>4873</v>
      </c>
      <c r="C47" t="s">
        <v>4799</v>
      </c>
      <c r="D47">
        <v>22.25</v>
      </c>
      <c r="E47" s="208">
        <v>45833</v>
      </c>
      <c r="F47" t="s">
        <v>4832</v>
      </c>
      <c r="G47" t="s">
        <v>4768</v>
      </c>
    </row>
    <row r="48" spans="1:7">
      <c r="A48" t="s">
        <v>4632</v>
      </c>
      <c r="B48" t="s">
        <v>4874</v>
      </c>
      <c r="C48" t="s">
        <v>4803</v>
      </c>
      <c r="D48">
        <v>74.97</v>
      </c>
      <c r="E48" s="208">
        <v>45900</v>
      </c>
      <c r="F48" t="s">
        <v>4782</v>
      </c>
      <c r="G48" t="s">
        <v>4768</v>
      </c>
    </row>
    <row r="49" spans="1:7">
      <c r="A49" t="s">
        <v>4875</v>
      </c>
      <c r="B49" t="s">
        <v>4876</v>
      </c>
      <c r="C49" t="s">
        <v>4766</v>
      </c>
      <c r="D49">
        <v>5.08</v>
      </c>
      <c r="E49" s="208">
        <v>45832</v>
      </c>
      <c r="F49" t="s">
        <v>4877</v>
      </c>
      <c r="G49" t="s">
        <v>4768</v>
      </c>
    </row>
    <row r="50" spans="1:7">
      <c r="A50" t="s">
        <v>4878</v>
      </c>
      <c r="B50" t="s">
        <v>4879</v>
      </c>
      <c r="C50" t="s">
        <v>4880</v>
      </c>
      <c r="D50">
        <v>168.64</v>
      </c>
      <c r="E50" s="208">
        <v>45831</v>
      </c>
      <c r="F50" t="s">
        <v>4881</v>
      </c>
      <c r="G50" t="s">
        <v>4768</v>
      </c>
    </row>
    <row r="51" spans="1:7">
      <c r="A51" t="s">
        <v>4882</v>
      </c>
      <c r="B51" t="s">
        <v>4883</v>
      </c>
      <c r="C51" t="s">
        <v>4884</v>
      </c>
      <c r="D51">
        <v>81.760000000000005</v>
      </c>
      <c r="E51" s="208">
        <v>45831</v>
      </c>
      <c r="F51" t="s">
        <v>4885</v>
      </c>
      <c r="G51" t="s">
        <v>4768</v>
      </c>
    </row>
    <row r="52" spans="1:7">
      <c r="A52" t="s">
        <v>4886</v>
      </c>
      <c r="B52" t="s">
        <v>4887</v>
      </c>
      <c r="C52" t="s">
        <v>4888</v>
      </c>
      <c r="D52">
        <v>52.5</v>
      </c>
      <c r="E52" s="208">
        <v>45831</v>
      </c>
      <c r="F52" t="s">
        <v>4772</v>
      </c>
      <c r="G52" t="s">
        <v>4768</v>
      </c>
    </row>
    <row r="53" spans="1:7">
      <c r="A53" t="s">
        <v>4889</v>
      </c>
      <c r="B53" t="s">
        <v>4890</v>
      </c>
      <c r="C53" t="s">
        <v>4766</v>
      </c>
      <c r="D53">
        <v>21.6</v>
      </c>
      <c r="E53" s="208">
        <v>45828</v>
      </c>
      <c r="F53" t="s">
        <v>4804</v>
      </c>
      <c r="G53" t="s">
        <v>4768</v>
      </c>
    </row>
    <row r="54" spans="1:7">
      <c r="A54" t="s">
        <v>4581</v>
      </c>
      <c r="B54" t="s">
        <v>4891</v>
      </c>
      <c r="C54" t="s">
        <v>4803</v>
      </c>
      <c r="D54">
        <v>167.15</v>
      </c>
      <c r="E54" s="208">
        <v>45827</v>
      </c>
      <c r="F54" t="s">
        <v>4772</v>
      </c>
      <c r="G54" t="s">
        <v>4768</v>
      </c>
    </row>
    <row r="55" spans="1:7">
      <c r="A55" t="s">
        <v>4626</v>
      </c>
      <c r="B55" t="s">
        <v>4892</v>
      </c>
      <c r="C55" t="s">
        <v>4771</v>
      </c>
      <c r="D55">
        <v>128</v>
      </c>
      <c r="E55" s="208">
        <v>45827</v>
      </c>
      <c r="F55" t="s">
        <v>4772</v>
      </c>
      <c r="G55" t="s">
        <v>4768</v>
      </c>
    </row>
    <row r="56" spans="1:7">
      <c r="A56" t="s">
        <v>4893</v>
      </c>
      <c r="B56" t="s">
        <v>4894</v>
      </c>
      <c r="C56" t="s">
        <v>4895</v>
      </c>
      <c r="D56">
        <v>178</v>
      </c>
      <c r="E56" s="208">
        <v>45827</v>
      </c>
      <c r="F56" t="s">
        <v>4772</v>
      </c>
      <c r="G56" t="s">
        <v>4768</v>
      </c>
    </row>
    <row r="57" spans="1:7">
      <c r="A57" t="s">
        <v>4896</v>
      </c>
      <c r="B57" t="s">
        <v>4897</v>
      </c>
      <c r="C57" t="s">
        <v>4795</v>
      </c>
      <c r="D57">
        <v>26.99</v>
      </c>
      <c r="E57" s="208">
        <v>45827</v>
      </c>
      <c r="F57" t="s">
        <v>4898</v>
      </c>
      <c r="G57" t="s">
        <v>4768</v>
      </c>
    </row>
    <row r="58" spans="1:7">
      <c r="A58" t="s">
        <v>4899</v>
      </c>
      <c r="B58" t="s">
        <v>4900</v>
      </c>
      <c r="C58" t="s">
        <v>4766</v>
      </c>
      <c r="D58">
        <v>16.989999999999998</v>
      </c>
      <c r="E58" s="208">
        <v>45827</v>
      </c>
      <c r="F58" t="s">
        <v>4898</v>
      </c>
      <c r="G58" t="s">
        <v>4768</v>
      </c>
    </row>
    <row r="59" spans="1:7">
      <c r="A59" t="s">
        <v>4901</v>
      </c>
      <c r="B59" t="s">
        <v>4902</v>
      </c>
      <c r="C59" t="s">
        <v>4766</v>
      </c>
      <c r="D59">
        <v>8.99</v>
      </c>
      <c r="E59" s="208">
        <v>45827</v>
      </c>
      <c r="F59" t="s">
        <v>4898</v>
      </c>
      <c r="G59" t="s">
        <v>4768</v>
      </c>
    </row>
    <row r="60" spans="1:7">
      <c r="A60" t="s">
        <v>4903</v>
      </c>
      <c r="B60" t="s">
        <v>4904</v>
      </c>
      <c r="C60" t="s">
        <v>4766</v>
      </c>
      <c r="D60">
        <v>181.31</v>
      </c>
      <c r="E60" s="208">
        <v>45827</v>
      </c>
      <c r="F60" t="s">
        <v>4905</v>
      </c>
      <c r="G60" t="s">
        <v>4768</v>
      </c>
    </row>
    <row r="61" spans="1:7">
      <c r="A61" t="s">
        <v>4906</v>
      </c>
      <c r="B61" t="s">
        <v>4907</v>
      </c>
      <c r="C61" t="s">
        <v>4766</v>
      </c>
      <c r="D61">
        <v>11.49</v>
      </c>
      <c r="E61" s="208">
        <v>45827</v>
      </c>
      <c r="F61" t="s">
        <v>4782</v>
      </c>
      <c r="G61" t="s">
        <v>4768</v>
      </c>
    </row>
    <row r="62" spans="1:7">
      <c r="A62" t="s">
        <v>4908</v>
      </c>
      <c r="B62" t="s">
        <v>4909</v>
      </c>
      <c r="C62" t="s">
        <v>4766</v>
      </c>
      <c r="D62">
        <v>9.99</v>
      </c>
      <c r="E62" s="208">
        <v>45826</v>
      </c>
      <c r="F62" t="s">
        <v>4782</v>
      </c>
      <c r="G62" t="s">
        <v>4768</v>
      </c>
    </row>
    <row r="63" spans="1:7">
      <c r="A63" t="s">
        <v>4910</v>
      </c>
      <c r="B63" t="s">
        <v>4911</v>
      </c>
      <c r="C63" t="s">
        <v>4766</v>
      </c>
      <c r="D63">
        <v>33.020000000000003</v>
      </c>
      <c r="E63" s="208">
        <v>45826</v>
      </c>
      <c r="F63" t="s">
        <v>4782</v>
      </c>
      <c r="G63" t="s">
        <v>4768</v>
      </c>
    </row>
    <row r="64" spans="1:7">
      <c r="A64" t="s">
        <v>4912</v>
      </c>
      <c r="B64" t="s">
        <v>4913</v>
      </c>
      <c r="C64" t="s">
        <v>4766</v>
      </c>
      <c r="D64">
        <v>41.03</v>
      </c>
      <c r="E64" s="208">
        <v>45826</v>
      </c>
      <c r="F64" t="s">
        <v>4832</v>
      </c>
      <c r="G64" t="s">
        <v>4768</v>
      </c>
    </row>
    <row r="65" spans="1:7">
      <c r="A65" t="s">
        <v>4914</v>
      </c>
      <c r="B65" t="s">
        <v>4915</v>
      </c>
      <c r="C65" t="s">
        <v>4835</v>
      </c>
      <c r="D65">
        <v>245.65</v>
      </c>
      <c r="E65" s="208">
        <v>45826</v>
      </c>
      <c r="F65" t="s">
        <v>4772</v>
      </c>
      <c r="G65" t="s">
        <v>4768</v>
      </c>
    </row>
    <row r="66" spans="1:7">
      <c r="A66" t="s">
        <v>4916</v>
      </c>
      <c r="B66" t="s">
        <v>4917</v>
      </c>
      <c r="C66" t="s">
        <v>4766</v>
      </c>
      <c r="D66">
        <v>106.85</v>
      </c>
      <c r="E66" s="208">
        <v>45826</v>
      </c>
      <c r="F66" t="s">
        <v>4772</v>
      </c>
      <c r="G66" t="s">
        <v>4768</v>
      </c>
    </row>
    <row r="67" spans="1:7">
      <c r="A67" t="s">
        <v>4918</v>
      </c>
      <c r="B67" t="s">
        <v>4919</v>
      </c>
      <c r="C67" t="s">
        <v>4920</v>
      </c>
      <c r="D67">
        <v>22.75</v>
      </c>
      <c r="E67" s="208">
        <v>45826</v>
      </c>
      <c r="F67" t="s">
        <v>4846</v>
      </c>
      <c r="G67" t="s">
        <v>4768</v>
      </c>
    </row>
    <row r="68" spans="1:7">
      <c r="A68" t="s">
        <v>4921</v>
      </c>
      <c r="B68" t="s">
        <v>4922</v>
      </c>
      <c r="C68" t="s">
        <v>4806</v>
      </c>
      <c r="D68">
        <v>72.5</v>
      </c>
      <c r="E68" s="208">
        <v>45826</v>
      </c>
      <c r="F68" t="s">
        <v>4923</v>
      </c>
      <c r="G68" t="s">
        <v>4768</v>
      </c>
    </row>
    <row r="69" spans="1:7">
      <c r="A69" t="s">
        <v>4924</v>
      </c>
      <c r="B69" t="s">
        <v>4925</v>
      </c>
      <c r="C69" t="s">
        <v>4884</v>
      </c>
      <c r="D69">
        <v>486.38</v>
      </c>
      <c r="E69" s="208">
        <v>45826</v>
      </c>
      <c r="F69" t="s">
        <v>4885</v>
      </c>
      <c r="G69" t="s">
        <v>4768</v>
      </c>
    </row>
    <row r="70" spans="1:7">
      <c r="A70" t="s">
        <v>4926</v>
      </c>
      <c r="B70" t="s">
        <v>4927</v>
      </c>
      <c r="C70" t="s">
        <v>4803</v>
      </c>
      <c r="D70">
        <v>46.52</v>
      </c>
      <c r="E70" s="208">
        <v>45826</v>
      </c>
      <c r="F70" t="s">
        <v>4782</v>
      </c>
      <c r="G70" t="s">
        <v>4768</v>
      </c>
    </row>
    <row r="71" spans="1:7">
      <c r="A71" t="s">
        <v>4928</v>
      </c>
      <c r="B71" t="s">
        <v>4929</v>
      </c>
      <c r="C71" t="s">
        <v>4766</v>
      </c>
      <c r="D71">
        <v>278</v>
      </c>
      <c r="E71" s="208">
        <v>45825</v>
      </c>
      <c r="F71" t="s">
        <v>4832</v>
      </c>
      <c r="G71" t="s">
        <v>4768</v>
      </c>
    </row>
    <row r="72" spans="1:7">
      <c r="A72" t="s">
        <v>4930</v>
      </c>
      <c r="B72" t="s">
        <v>4931</v>
      </c>
      <c r="C72" t="s">
        <v>4766</v>
      </c>
      <c r="D72">
        <v>203</v>
      </c>
      <c r="E72" s="208">
        <v>45825</v>
      </c>
      <c r="F72" t="s">
        <v>4832</v>
      </c>
      <c r="G72" t="s">
        <v>4768</v>
      </c>
    </row>
    <row r="73" spans="1:7">
      <c r="A73" t="s">
        <v>4932</v>
      </c>
      <c r="B73" t="s">
        <v>4933</v>
      </c>
      <c r="C73" t="s">
        <v>4766</v>
      </c>
      <c r="D73">
        <v>298</v>
      </c>
      <c r="E73" s="208">
        <v>45825</v>
      </c>
      <c r="F73" t="s">
        <v>4832</v>
      </c>
      <c r="G73" t="s">
        <v>4768</v>
      </c>
    </row>
    <row r="74" spans="1:7">
      <c r="A74" t="s">
        <v>4934</v>
      </c>
      <c r="B74" t="s">
        <v>4935</v>
      </c>
      <c r="C74" t="s">
        <v>4766</v>
      </c>
      <c r="D74">
        <v>5.19</v>
      </c>
      <c r="E74" s="208">
        <v>45825</v>
      </c>
      <c r="F74" t="s">
        <v>4936</v>
      </c>
      <c r="G74" t="s">
        <v>4768</v>
      </c>
    </row>
    <row r="75" spans="1:7">
      <c r="A75" t="s">
        <v>4937</v>
      </c>
      <c r="B75" t="s">
        <v>4938</v>
      </c>
      <c r="C75" t="s">
        <v>4766</v>
      </c>
      <c r="D75">
        <v>3.13</v>
      </c>
      <c r="E75" s="208">
        <v>45825</v>
      </c>
      <c r="F75" t="s">
        <v>4936</v>
      </c>
      <c r="G75" t="s">
        <v>4768</v>
      </c>
    </row>
    <row r="76" spans="1:7">
      <c r="A76" t="s">
        <v>4939</v>
      </c>
      <c r="B76" t="s">
        <v>4940</v>
      </c>
      <c r="C76" t="s">
        <v>4766</v>
      </c>
      <c r="D76">
        <v>5.21</v>
      </c>
      <c r="E76" s="208">
        <v>45825</v>
      </c>
      <c r="F76" t="s">
        <v>4936</v>
      </c>
      <c r="G76" t="s">
        <v>4768</v>
      </c>
    </row>
    <row r="77" spans="1:7">
      <c r="A77" t="s">
        <v>4554</v>
      </c>
      <c r="B77" t="s">
        <v>4941</v>
      </c>
      <c r="C77" t="s">
        <v>4803</v>
      </c>
      <c r="D77">
        <v>134.94999999999999</v>
      </c>
      <c r="E77" s="208">
        <v>45825</v>
      </c>
      <c r="F77" t="s">
        <v>4804</v>
      </c>
      <c r="G77" t="s">
        <v>4768</v>
      </c>
    </row>
    <row r="78" spans="1:7">
      <c r="A78" t="s">
        <v>4942</v>
      </c>
      <c r="B78" t="s">
        <v>4943</v>
      </c>
      <c r="C78" t="s">
        <v>4766</v>
      </c>
      <c r="D78">
        <v>4.32</v>
      </c>
      <c r="E78" s="208">
        <v>45825</v>
      </c>
      <c r="F78" t="s">
        <v>4936</v>
      </c>
      <c r="G78" t="s">
        <v>4768</v>
      </c>
    </row>
    <row r="79" spans="1:7">
      <c r="A79" t="s">
        <v>4944</v>
      </c>
      <c r="B79" t="s">
        <v>323</v>
      </c>
      <c r="C79" t="s">
        <v>4799</v>
      </c>
      <c r="D79">
        <v>12.69</v>
      </c>
      <c r="E79" s="208">
        <v>45824</v>
      </c>
      <c r="F79" t="s">
        <v>4782</v>
      </c>
      <c r="G79" t="s">
        <v>4768</v>
      </c>
    </row>
    <row r="80" spans="1:7">
      <c r="A80" t="s">
        <v>4945</v>
      </c>
      <c r="B80" t="s">
        <v>4946</v>
      </c>
      <c r="C80" t="s">
        <v>4775</v>
      </c>
      <c r="D80">
        <v>39.630000000000003</v>
      </c>
      <c r="E80" s="208">
        <v>45824</v>
      </c>
      <c r="F80" t="s">
        <v>4776</v>
      </c>
      <c r="G80" t="s">
        <v>4768</v>
      </c>
    </row>
    <row r="81" spans="1:7">
      <c r="A81" t="s">
        <v>4947</v>
      </c>
      <c r="B81" t="s">
        <v>4948</v>
      </c>
      <c r="C81" t="s">
        <v>4766</v>
      </c>
      <c r="D81">
        <v>35.99</v>
      </c>
      <c r="E81" s="208">
        <v>45824</v>
      </c>
      <c r="F81" t="s">
        <v>4846</v>
      </c>
      <c r="G81" t="s">
        <v>4768</v>
      </c>
    </row>
    <row r="82" spans="1:7">
      <c r="A82" t="s">
        <v>4949</v>
      </c>
      <c r="B82" t="s">
        <v>4950</v>
      </c>
      <c r="C82" t="s">
        <v>4766</v>
      </c>
      <c r="D82">
        <v>51.59</v>
      </c>
      <c r="E82" s="208">
        <v>45824</v>
      </c>
      <c r="F82" t="s">
        <v>4782</v>
      </c>
      <c r="G82" t="s">
        <v>4768</v>
      </c>
    </row>
    <row r="83" spans="1:7">
      <c r="A83" t="s">
        <v>4951</v>
      </c>
      <c r="B83" t="s">
        <v>4952</v>
      </c>
      <c r="C83" t="s">
        <v>4766</v>
      </c>
      <c r="D83">
        <v>55.63</v>
      </c>
      <c r="E83" s="208">
        <v>45824</v>
      </c>
      <c r="F83" t="s">
        <v>4782</v>
      </c>
      <c r="G83" t="s">
        <v>4768</v>
      </c>
    </row>
    <row r="84" spans="1:7">
      <c r="A84" t="s">
        <v>4953</v>
      </c>
      <c r="B84" t="s">
        <v>4954</v>
      </c>
      <c r="C84" t="s">
        <v>4838</v>
      </c>
      <c r="D84">
        <v>30.96</v>
      </c>
      <c r="E84" s="208">
        <v>45820</v>
      </c>
      <c r="F84" t="s">
        <v>4772</v>
      </c>
      <c r="G84" t="s">
        <v>4768</v>
      </c>
    </row>
    <row r="85" spans="1:7">
      <c r="A85" t="s">
        <v>4955</v>
      </c>
      <c r="B85" t="s">
        <v>4956</v>
      </c>
      <c r="C85" t="s">
        <v>4838</v>
      </c>
      <c r="D85">
        <v>24.9</v>
      </c>
      <c r="E85" s="208">
        <v>45820</v>
      </c>
      <c r="F85" t="s">
        <v>4772</v>
      </c>
      <c r="G85" t="s">
        <v>4768</v>
      </c>
    </row>
    <row r="86" spans="1:7">
      <c r="A86" t="s">
        <v>4526</v>
      </c>
      <c r="B86" t="s">
        <v>4957</v>
      </c>
      <c r="C86" t="s">
        <v>4771</v>
      </c>
      <c r="D86">
        <v>62</v>
      </c>
      <c r="E86" s="208">
        <v>45820</v>
      </c>
      <c r="F86" t="s">
        <v>4772</v>
      </c>
      <c r="G86" t="s">
        <v>4768</v>
      </c>
    </row>
    <row r="87" spans="1:7">
      <c r="A87" t="s">
        <v>4958</v>
      </c>
      <c r="B87" t="s">
        <v>4959</v>
      </c>
      <c r="C87" t="s">
        <v>4795</v>
      </c>
      <c r="D87">
        <v>42.77</v>
      </c>
      <c r="E87" s="208">
        <v>45820</v>
      </c>
      <c r="F87" t="s">
        <v>4832</v>
      </c>
      <c r="G87" t="s">
        <v>4768</v>
      </c>
    </row>
    <row r="88" spans="1:7">
      <c r="A88" t="s">
        <v>4960</v>
      </c>
      <c r="B88" t="s">
        <v>4961</v>
      </c>
      <c r="C88" t="s">
        <v>4962</v>
      </c>
      <c r="D88">
        <v>25.405100000000001</v>
      </c>
      <c r="E88" s="208">
        <v>45820</v>
      </c>
      <c r="F88" t="s">
        <v>4772</v>
      </c>
      <c r="G88" t="s">
        <v>4768</v>
      </c>
    </row>
    <row r="89" spans="1:7">
      <c r="A89" t="s">
        <v>4963</v>
      </c>
      <c r="B89" t="s">
        <v>4964</v>
      </c>
      <c r="C89" t="s">
        <v>4806</v>
      </c>
      <c r="D89">
        <v>722.18799999999999</v>
      </c>
      <c r="E89" s="208">
        <v>45820</v>
      </c>
      <c r="F89" t="s">
        <v>4772</v>
      </c>
      <c r="G89" t="s">
        <v>4768</v>
      </c>
    </row>
    <row r="90" spans="1:7">
      <c r="A90" t="s">
        <v>4965</v>
      </c>
      <c r="B90" t="s">
        <v>4966</v>
      </c>
      <c r="C90" t="s">
        <v>4967</v>
      </c>
      <c r="D90">
        <v>408.95</v>
      </c>
      <c r="E90" s="208">
        <v>45820</v>
      </c>
      <c r="F90" t="s">
        <v>4885</v>
      </c>
      <c r="G90" t="s">
        <v>4768</v>
      </c>
    </row>
    <row r="91" spans="1:7">
      <c r="A91" t="s">
        <v>4968</v>
      </c>
      <c r="B91" t="s">
        <v>4969</v>
      </c>
      <c r="C91" t="s">
        <v>4766</v>
      </c>
      <c r="D91">
        <v>25.32</v>
      </c>
      <c r="E91" s="208">
        <v>45819</v>
      </c>
      <c r="F91" t="s">
        <v>4832</v>
      </c>
      <c r="G91" t="s">
        <v>4768</v>
      </c>
    </row>
    <row r="92" spans="1:7">
      <c r="A92" t="s">
        <v>4970</v>
      </c>
      <c r="B92" t="s">
        <v>4971</v>
      </c>
      <c r="C92" t="s">
        <v>4972</v>
      </c>
      <c r="D92">
        <v>2.75</v>
      </c>
      <c r="E92" s="208">
        <v>45819</v>
      </c>
      <c r="F92" t="s">
        <v>4782</v>
      </c>
      <c r="G92" t="s">
        <v>4768</v>
      </c>
    </row>
    <row r="93" spans="1:7">
      <c r="A93" t="s">
        <v>4973</v>
      </c>
      <c r="B93" t="s">
        <v>4974</v>
      </c>
      <c r="C93" t="s">
        <v>4884</v>
      </c>
      <c r="D93">
        <v>7.35</v>
      </c>
      <c r="E93" s="208">
        <v>45819</v>
      </c>
      <c r="F93" t="s">
        <v>4782</v>
      </c>
      <c r="G93" t="s">
        <v>4768</v>
      </c>
    </row>
    <row r="94" spans="1:7">
      <c r="A94" t="s">
        <v>4975</v>
      </c>
      <c r="B94" t="s">
        <v>4976</v>
      </c>
      <c r="C94" t="s">
        <v>4766</v>
      </c>
      <c r="D94">
        <v>3.9</v>
      </c>
      <c r="E94" s="208">
        <v>45819</v>
      </c>
      <c r="F94" t="s">
        <v>4782</v>
      </c>
      <c r="G94" t="s">
        <v>4768</v>
      </c>
    </row>
    <row r="95" spans="1:7">
      <c r="A95" t="s">
        <v>4977</v>
      </c>
      <c r="B95" t="s">
        <v>4978</v>
      </c>
      <c r="C95" t="s">
        <v>4972</v>
      </c>
      <c r="D95">
        <v>1.34</v>
      </c>
      <c r="E95" s="208">
        <v>45819</v>
      </c>
      <c r="F95" t="s">
        <v>4782</v>
      </c>
      <c r="G95" t="s">
        <v>4768</v>
      </c>
    </row>
    <row r="96" spans="1:7">
      <c r="A96" t="s">
        <v>4979</v>
      </c>
      <c r="B96" t="s">
        <v>4980</v>
      </c>
      <c r="C96" t="s">
        <v>4766</v>
      </c>
      <c r="D96">
        <v>36.81</v>
      </c>
      <c r="E96" s="208">
        <v>45819</v>
      </c>
      <c r="F96" t="s">
        <v>4782</v>
      </c>
      <c r="G96" t="s">
        <v>4768</v>
      </c>
    </row>
    <row r="97" spans="1:7">
      <c r="A97" t="s">
        <v>4981</v>
      </c>
      <c r="B97" t="s">
        <v>4982</v>
      </c>
      <c r="C97" t="s">
        <v>4766</v>
      </c>
      <c r="D97">
        <v>59.72</v>
      </c>
      <c r="E97" s="208">
        <v>45819</v>
      </c>
      <c r="F97" t="s">
        <v>4782</v>
      </c>
      <c r="G97" t="s">
        <v>4768</v>
      </c>
    </row>
    <row r="98" spans="1:7">
      <c r="A98" t="s">
        <v>4983</v>
      </c>
      <c r="B98" t="s">
        <v>4984</v>
      </c>
      <c r="C98" t="s">
        <v>4766</v>
      </c>
      <c r="D98">
        <v>0.5</v>
      </c>
      <c r="E98" s="208">
        <v>45818</v>
      </c>
      <c r="F98" t="s">
        <v>4877</v>
      </c>
      <c r="G98" t="s">
        <v>4768</v>
      </c>
    </row>
    <row r="99" spans="1:7">
      <c r="A99" t="s">
        <v>4638</v>
      </c>
      <c r="B99" t="s">
        <v>4637</v>
      </c>
      <c r="C99" t="s">
        <v>4985</v>
      </c>
      <c r="D99">
        <v>73.650000000000006</v>
      </c>
      <c r="E99" s="208">
        <v>45818</v>
      </c>
      <c r="F99" t="s">
        <v>4804</v>
      </c>
      <c r="G99" t="s">
        <v>4768</v>
      </c>
    </row>
    <row r="100" spans="1:7">
      <c r="A100" t="s">
        <v>4576</v>
      </c>
      <c r="B100" t="s">
        <v>4986</v>
      </c>
      <c r="C100" t="s">
        <v>4985</v>
      </c>
      <c r="D100">
        <v>72.650000000000006</v>
      </c>
      <c r="E100" s="208">
        <v>45818</v>
      </c>
      <c r="F100" t="s">
        <v>4804</v>
      </c>
      <c r="G100" t="s">
        <v>4768</v>
      </c>
    </row>
    <row r="101" spans="1:7">
      <c r="A101" t="s">
        <v>4528</v>
      </c>
      <c r="B101" t="s">
        <v>4527</v>
      </c>
      <c r="C101" t="s">
        <v>4803</v>
      </c>
      <c r="D101">
        <v>163.5</v>
      </c>
      <c r="E101" s="208">
        <v>45818</v>
      </c>
      <c r="F101" t="s">
        <v>4804</v>
      </c>
      <c r="G101" t="s">
        <v>4768</v>
      </c>
    </row>
    <row r="102" spans="1:7">
      <c r="A102" t="s">
        <v>4577</v>
      </c>
      <c r="B102" t="s">
        <v>4987</v>
      </c>
      <c r="C102" t="s">
        <v>4822</v>
      </c>
      <c r="D102">
        <v>125.05</v>
      </c>
      <c r="E102" s="208">
        <v>45818</v>
      </c>
      <c r="F102" t="s">
        <v>4804</v>
      </c>
      <c r="G102" t="s">
        <v>4768</v>
      </c>
    </row>
    <row r="103" spans="1:7">
      <c r="A103" t="s">
        <v>4988</v>
      </c>
      <c r="B103" t="s">
        <v>4989</v>
      </c>
      <c r="C103" t="s">
        <v>4806</v>
      </c>
      <c r="D103">
        <v>110</v>
      </c>
      <c r="E103" s="208">
        <v>45818</v>
      </c>
      <c r="F103" t="s">
        <v>4923</v>
      </c>
      <c r="G103" t="s">
        <v>4768</v>
      </c>
    </row>
    <row r="104" spans="1:7">
      <c r="A104" t="s">
        <v>4990</v>
      </c>
      <c r="B104" t="s">
        <v>4991</v>
      </c>
      <c r="C104" t="s">
        <v>4766</v>
      </c>
      <c r="D104">
        <v>5.0999999999999996</v>
      </c>
      <c r="E104" s="208">
        <v>45818</v>
      </c>
      <c r="F104" t="s">
        <v>4877</v>
      </c>
      <c r="G104" t="s">
        <v>4768</v>
      </c>
    </row>
    <row r="105" spans="1:7">
      <c r="A105" t="s">
        <v>4992</v>
      </c>
      <c r="B105" t="s">
        <v>4993</v>
      </c>
      <c r="C105" t="s">
        <v>4884</v>
      </c>
      <c r="D105">
        <v>75.5</v>
      </c>
      <c r="E105" s="208">
        <v>45818</v>
      </c>
      <c r="F105" t="s">
        <v>4767</v>
      </c>
      <c r="G105" t="s">
        <v>4768</v>
      </c>
    </row>
    <row r="106" spans="1:7">
      <c r="A106" t="s">
        <v>4994</v>
      </c>
      <c r="B106" t="s">
        <v>4995</v>
      </c>
      <c r="C106" t="s">
        <v>4884</v>
      </c>
      <c r="D106">
        <v>248</v>
      </c>
      <c r="E106" s="208">
        <v>45818</v>
      </c>
      <c r="F106" t="s">
        <v>4996</v>
      </c>
      <c r="G106" t="s">
        <v>4768</v>
      </c>
    </row>
    <row r="107" spans="1:7">
      <c r="A107" t="s">
        <v>4997</v>
      </c>
      <c r="B107" t="s">
        <v>4998</v>
      </c>
      <c r="C107" t="s">
        <v>4803</v>
      </c>
      <c r="D107">
        <v>74.05</v>
      </c>
      <c r="E107" s="208">
        <v>45817</v>
      </c>
      <c r="F107" t="s">
        <v>4767</v>
      </c>
      <c r="G107" t="s">
        <v>4768</v>
      </c>
    </row>
    <row r="108" spans="1:7">
      <c r="A108" t="s">
        <v>4999</v>
      </c>
      <c r="B108" t="s">
        <v>5000</v>
      </c>
      <c r="C108" t="s">
        <v>4775</v>
      </c>
      <c r="D108">
        <v>44.6</v>
      </c>
      <c r="E108" s="208">
        <v>45817</v>
      </c>
      <c r="F108" t="s">
        <v>4767</v>
      </c>
      <c r="G108" t="s">
        <v>4768</v>
      </c>
    </row>
    <row r="109" spans="1:7">
      <c r="A109" t="s">
        <v>5001</v>
      </c>
      <c r="B109" t="s">
        <v>5002</v>
      </c>
      <c r="C109" t="s">
        <v>4775</v>
      </c>
      <c r="D109">
        <v>64.95</v>
      </c>
      <c r="E109" s="208">
        <v>45817</v>
      </c>
      <c r="F109" t="s">
        <v>4767</v>
      </c>
      <c r="G109" t="s">
        <v>4768</v>
      </c>
    </row>
    <row r="110" spans="1:7">
      <c r="A110" t="s">
        <v>5003</v>
      </c>
      <c r="B110" t="s">
        <v>5004</v>
      </c>
      <c r="C110" t="s">
        <v>4766</v>
      </c>
      <c r="D110">
        <v>214.36</v>
      </c>
      <c r="E110" s="208">
        <v>45817</v>
      </c>
      <c r="F110" t="s">
        <v>4782</v>
      </c>
      <c r="G110" t="s">
        <v>4768</v>
      </c>
    </row>
    <row r="111" spans="1:7">
      <c r="A111" t="s">
        <v>5005</v>
      </c>
      <c r="B111" t="s">
        <v>5006</v>
      </c>
      <c r="C111" t="s">
        <v>4766</v>
      </c>
      <c r="D111">
        <v>5.51</v>
      </c>
      <c r="E111" s="208">
        <v>45817</v>
      </c>
      <c r="F111" t="s">
        <v>4782</v>
      </c>
      <c r="G111" t="s">
        <v>4768</v>
      </c>
    </row>
    <row r="112" spans="1:7">
      <c r="A112" t="s">
        <v>5007</v>
      </c>
      <c r="B112" t="s">
        <v>5008</v>
      </c>
      <c r="C112" t="s">
        <v>4766</v>
      </c>
      <c r="D112">
        <v>9.1</v>
      </c>
      <c r="E112" s="208">
        <v>45817</v>
      </c>
      <c r="F112" t="s">
        <v>4782</v>
      </c>
      <c r="G112" t="s">
        <v>4768</v>
      </c>
    </row>
    <row r="113" spans="1:7">
      <c r="A113" t="s">
        <v>5009</v>
      </c>
      <c r="B113" t="s">
        <v>5010</v>
      </c>
      <c r="C113" t="s">
        <v>4962</v>
      </c>
      <c r="D113">
        <v>9.93</v>
      </c>
      <c r="E113" s="208">
        <v>45817</v>
      </c>
      <c r="F113" t="s">
        <v>4832</v>
      </c>
      <c r="G113" t="s">
        <v>4768</v>
      </c>
    </row>
    <row r="114" spans="1:7">
      <c r="A114" t="s">
        <v>5011</v>
      </c>
      <c r="B114" t="s">
        <v>5012</v>
      </c>
      <c r="C114" t="s">
        <v>4835</v>
      </c>
      <c r="D114">
        <v>540.79999999999995</v>
      </c>
      <c r="E114" s="208">
        <v>45817</v>
      </c>
      <c r="F114" t="s">
        <v>4772</v>
      </c>
      <c r="G114" t="s">
        <v>4768</v>
      </c>
    </row>
    <row r="115" spans="1:7">
      <c r="A115" t="s">
        <v>5013</v>
      </c>
      <c r="B115" t="s">
        <v>5014</v>
      </c>
      <c r="C115" t="s">
        <v>4775</v>
      </c>
      <c r="D115">
        <v>60.2</v>
      </c>
      <c r="E115" s="208">
        <v>45817</v>
      </c>
      <c r="F115" t="s">
        <v>4767</v>
      </c>
      <c r="G115" t="s">
        <v>4768</v>
      </c>
    </row>
    <row r="116" spans="1:7">
      <c r="A116" t="s">
        <v>5015</v>
      </c>
      <c r="B116" t="s">
        <v>5016</v>
      </c>
      <c r="C116" t="s">
        <v>4766</v>
      </c>
      <c r="D116">
        <v>59.87</v>
      </c>
      <c r="E116" s="208">
        <v>45817</v>
      </c>
      <c r="F116" t="s">
        <v>4782</v>
      </c>
      <c r="G116" t="s">
        <v>4768</v>
      </c>
    </row>
    <row r="117" spans="1:7">
      <c r="A117" t="s">
        <v>5017</v>
      </c>
      <c r="B117" t="s">
        <v>5018</v>
      </c>
      <c r="C117" t="s">
        <v>4766</v>
      </c>
      <c r="D117">
        <v>11.31</v>
      </c>
      <c r="E117" s="208">
        <v>45817</v>
      </c>
      <c r="F117" t="s">
        <v>4782</v>
      </c>
      <c r="G117" t="s">
        <v>4768</v>
      </c>
    </row>
    <row r="118" spans="1:7">
      <c r="A118" t="s">
        <v>5019</v>
      </c>
      <c r="B118" t="s">
        <v>5020</v>
      </c>
      <c r="C118" t="s">
        <v>4920</v>
      </c>
      <c r="D118">
        <v>14.987769999999999</v>
      </c>
      <c r="E118" s="208">
        <v>45814</v>
      </c>
      <c r="F118" t="s">
        <v>4898</v>
      </c>
      <c r="G118" t="s">
        <v>4768</v>
      </c>
    </row>
    <row r="119" spans="1:7">
      <c r="A119" t="s">
        <v>5021</v>
      </c>
      <c r="B119" t="s">
        <v>5022</v>
      </c>
      <c r="C119" t="s">
        <v>4845</v>
      </c>
      <c r="D119">
        <v>5.97</v>
      </c>
      <c r="E119" s="208">
        <v>45814</v>
      </c>
      <c r="F119" t="s">
        <v>4767</v>
      </c>
      <c r="G119" t="s">
        <v>4768</v>
      </c>
    </row>
    <row r="120" spans="1:7">
      <c r="A120" t="s">
        <v>5023</v>
      </c>
      <c r="B120" t="s">
        <v>5024</v>
      </c>
      <c r="C120" t="s">
        <v>5025</v>
      </c>
      <c r="D120">
        <v>523.9</v>
      </c>
      <c r="E120" s="208">
        <v>45814</v>
      </c>
      <c r="F120" t="s">
        <v>4804</v>
      </c>
      <c r="G120" t="s">
        <v>4768</v>
      </c>
    </row>
    <row r="121" spans="1:7">
      <c r="A121" t="s">
        <v>5026</v>
      </c>
      <c r="B121" t="s">
        <v>5027</v>
      </c>
      <c r="C121" t="s">
        <v>4838</v>
      </c>
      <c r="D121">
        <v>24.9</v>
      </c>
      <c r="E121" s="208">
        <v>45813</v>
      </c>
      <c r="F121" t="s">
        <v>4772</v>
      </c>
      <c r="G121" t="s">
        <v>4768</v>
      </c>
    </row>
    <row r="122" spans="1:7">
      <c r="A122" t="s">
        <v>5028</v>
      </c>
      <c r="B122" t="s">
        <v>5029</v>
      </c>
      <c r="C122" t="s">
        <v>4766</v>
      </c>
      <c r="D122">
        <v>8.7899999999999991</v>
      </c>
      <c r="E122" s="208">
        <v>45813</v>
      </c>
      <c r="F122" t="s">
        <v>4832</v>
      </c>
      <c r="G122" t="s">
        <v>4768</v>
      </c>
    </row>
    <row r="123" spans="1:7">
      <c r="A123" t="s">
        <v>5030</v>
      </c>
      <c r="B123" t="s">
        <v>5031</v>
      </c>
      <c r="C123" t="s">
        <v>4766</v>
      </c>
      <c r="D123">
        <v>4.7300000000000004</v>
      </c>
      <c r="E123" s="208">
        <v>45813</v>
      </c>
      <c r="F123" t="s">
        <v>4877</v>
      </c>
      <c r="G123" t="s">
        <v>4768</v>
      </c>
    </row>
    <row r="124" spans="1:7">
      <c r="A124" t="s">
        <v>5032</v>
      </c>
      <c r="B124" t="s">
        <v>5033</v>
      </c>
      <c r="C124" t="s">
        <v>4803</v>
      </c>
      <c r="D124">
        <v>78.400000000000006</v>
      </c>
      <c r="E124" s="208">
        <v>45812</v>
      </c>
      <c r="F124" t="s">
        <v>4767</v>
      </c>
      <c r="G124" t="s">
        <v>4768</v>
      </c>
    </row>
    <row r="125" spans="1:7">
      <c r="A125" t="s">
        <v>5034</v>
      </c>
      <c r="B125" t="s">
        <v>5035</v>
      </c>
      <c r="C125" t="s">
        <v>4775</v>
      </c>
      <c r="D125">
        <v>40.65</v>
      </c>
      <c r="E125" s="208">
        <v>45812</v>
      </c>
      <c r="F125" t="s">
        <v>4767</v>
      </c>
      <c r="G125" t="s">
        <v>4768</v>
      </c>
    </row>
    <row r="126" spans="1:7">
      <c r="A126" t="s">
        <v>5036</v>
      </c>
      <c r="B126" t="s">
        <v>5037</v>
      </c>
      <c r="C126" t="s">
        <v>4775</v>
      </c>
      <c r="D126">
        <v>64.95</v>
      </c>
      <c r="E126" s="208">
        <v>45812</v>
      </c>
      <c r="F126" t="s">
        <v>4767</v>
      </c>
      <c r="G126" t="s">
        <v>4768</v>
      </c>
    </row>
    <row r="127" spans="1:7">
      <c r="A127" t="s">
        <v>5038</v>
      </c>
      <c r="B127" t="s">
        <v>5039</v>
      </c>
      <c r="C127" t="s">
        <v>4766</v>
      </c>
      <c r="D127">
        <v>72.12</v>
      </c>
      <c r="E127" s="208">
        <v>45812</v>
      </c>
      <c r="F127" t="s">
        <v>4782</v>
      </c>
      <c r="G127" t="s">
        <v>4768</v>
      </c>
    </row>
    <row r="128" spans="1:7">
      <c r="A128" t="s">
        <v>5040</v>
      </c>
      <c r="B128" t="s">
        <v>5041</v>
      </c>
      <c r="C128" t="s">
        <v>4884</v>
      </c>
      <c r="D128">
        <v>31.73</v>
      </c>
      <c r="E128" s="208">
        <v>45812</v>
      </c>
      <c r="F128" t="s">
        <v>4782</v>
      </c>
      <c r="G128" t="s">
        <v>4768</v>
      </c>
    </row>
    <row r="129" spans="1:7">
      <c r="A129" t="s">
        <v>5042</v>
      </c>
      <c r="B129" t="s">
        <v>5043</v>
      </c>
      <c r="C129" t="s">
        <v>4803</v>
      </c>
      <c r="D129">
        <v>7.99</v>
      </c>
      <c r="E129" s="208">
        <v>45812</v>
      </c>
      <c r="F129" t="s">
        <v>4782</v>
      </c>
      <c r="G129" t="s">
        <v>4768</v>
      </c>
    </row>
    <row r="130" spans="1:7">
      <c r="A130" t="s">
        <v>4734</v>
      </c>
      <c r="B130" t="s">
        <v>5044</v>
      </c>
      <c r="C130" t="s">
        <v>4806</v>
      </c>
      <c r="D130">
        <v>29.15</v>
      </c>
      <c r="E130" s="208">
        <v>45812</v>
      </c>
      <c r="F130" t="s">
        <v>4804</v>
      </c>
      <c r="G130" t="s">
        <v>4768</v>
      </c>
    </row>
    <row r="131" spans="1:7">
      <c r="A131" t="s">
        <v>5045</v>
      </c>
      <c r="B131" t="s">
        <v>5046</v>
      </c>
      <c r="C131" t="s">
        <v>4766</v>
      </c>
      <c r="D131">
        <v>6.31</v>
      </c>
      <c r="E131" s="208">
        <v>45812</v>
      </c>
      <c r="F131" t="s">
        <v>4782</v>
      </c>
      <c r="G131" t="s">
        <v>4768</v>
      </c>
    </row>
    <row r="132" spans="1:7">
      <c r="A132" t="s">
        <v>4590</v>
      </c>
      <c r="B132" t="s">
        <v>5047</v>
      </c>
      <c r="C132" t="s">
        <v>4771</v>
      </c>
      <c r="D132">
        <v>72</v>
      </c>
      <c r="E132" s="208">
        <v>45811</v>
      </c>
      <c r="F132" t="s">
        <v>4772</v>
      </c>
      <c r="G132" t="s">
        <v>4768</v>
      </c>
    </row>
    <row r="133" spans="1:7">
      <c r="A133" t="s">
        <v>5048</v>
      </c>
      <c r="B133" t="s">
        <v>5049</v>
      </c>
      <c r="C133" t="s">
        <v>4803</v>
      </c>
      <c r="D133">
        <v>135</v>
      </c>
      <c r="E133" s="208">
        <v>45811</v>
      </c>
      <c r="F133" t="s">
        <v>4877</v>
      </c>
      <c r="G133" t="s">
        <v>4768</v>
      </c>
    </row>
    <row r="134" spans="1:7">
      <c r="A134" t="s">
        <v>5050</v>
      </c>
      <c r="B134" t="s">
        <v>5051</v>
      </c>
      <c r="C134" t="s">
        <v>4766</v>
      </c>
      <c r="D134">
        <v>10.97</v>
      </c>
      <c r="E134" s="208">
        <v>45808</v>
      </c>
      <c r="F134" t="s">
        <v>4779</v>
      </c>
      <c r="G134" t="s">
        <v>4768</v>
      </c>
    </row>
    <row r="135" spans="1:7">
      <c r="A135" t="s">
        <v>5052</v>
      </c>
      <c r="B135" t="s">
        <v>5053</v>
      </c>
      <c r="C135" t="s">
        <v>4766</v>
      </c>
      <c r="D135">
        <v>12.97</v>
      </c>
      <c r="E135" s="208">
        <v>45808</v>
      </c>
      <c r="F135" t="s">
        <v>4779</v>
      </c>
      <c r="G135" t="s">
        <v>4768</v>
      </c>
    </row>
    <row r="136" spans="1:7">
      <c r="A136" t="s">
        <v>5054</v>
      </c>
      <c r="B136" t="s">
        <v>5055</v>
      </c>
      <c r="C136" t="s">
        <v>4766</v>
      </c>
      <c r="D136">
        <v>22.98</v>
      </c>
      <c r="E136" s="208">
        <v>45808</v>
      </c>
      <c r="F136" t="s">
        <v>4779</v>
      </c>
      <c r="G136" t="s">
        <v>4768</v>
      </c>
    </row>
    <row r="137" spans="1:7">
      <c r="A137" t="s">
        <v>5056</v>
      </c>
      <c r="B137" t="s">
        <v>5057</v>
      </c>
      <c r="C137" t="s">
        <v>4766</v>
      </c>
      <c r="D137">
        <v>7.16</v>
      </c>
      <c r="E137" s="208">
        <v>45808</v>
      </c>
      <c r="F137" t="s">
        <v>5058</v>
      </c>
      <c r="G137" t="s">
        <v>4768</v>
      </c>
    </row>
    <row r="138" spans="1:7">
      <c r="A138" t="s">
        <v>5059</v>
      </c>
      <c r="B138" t="s">
        <v>5060</v>
      </c>
      <c r="C138" t="s">
        <v>4795</v>
      </c>
      <c r="D138">
        <v>215</v>
      </c>
      <c r="E138" s="208">
        <v>45807</v>
      </c>
      <c r="F138" t="s">
        <v>4877</v>
      </c>
      <c r="G138" t="s">
        <v>4768</v>
      </c>
    </row>
    <row r="139" spans="1:7">
      <c r="A139" t="s">
        <v>5061</v>
      </c>
      <c r="B139" t="s">
        <v>5062</v>
      </c>
      <c r="C139" t="s">
        <v>4962</v>
      </c>
      <c r="D139">
        <v>10.42</v>
      </c>
      <c r="E139" s="208">
        <v>45807</v>
      </c>
      <c r="F139" t="s">
        <v>4832</v>
      </c>
      <c r="G139" t="s">
        <v>4768</v>
      </c>
    </row>
    <row r="140" spans="1:7">
      <c r="A140" t="s">
        <v>5063</v>
      </c>
      <c r="B140" t="s">
        <v>5064</v>
      </c>
      <c r="C140" t="s">
        <v>4972</v>
      </c>
      <c r="D140">
        <v>7.7</v>
      </c>
      <c r="E140" s="208">
        <v>45807</v>
      </c>
      <c r="F140" t="s">
        <v>4877</v>
      </c>
      <c r="G140" t="s">
        <v>4768</v>
      </c>
    </row>
    <row r="141" spans="1:7">
      <c r="A141" t="s">
        <v>5065</v>
      </c>
      <c r="B141" t="s">
        <v>5066</v>
      </c>
      <c r="C141" t="s">
        <v>4803</v>
      </c>
      <c r="D141">
        <v>88.13</v>
      </c>
      <c r="E141" s="208">
        <v>45807</v>
      </c>
      <c r="F141" t="s">
        <v>4832</v>
      </c>
      <c r="G141" t="s">
        <v>4768</v>
      </c>
    </row>
    <row r="142" spans="1:7">
      <c r="A142" t="s">
        <v>5067</v>
      </c>
      <c r="B142" t="s">
        <v>5068</v>
      </c>
      <c r="C142" t="s">
        <v>4803</v>
      </c>
      <c r="D142">
        <v>485</v>
      </c>
      <c r="E142" s="208">
        <v>45807</v>
      </c>
      <c r="F142" t="s">
        <v>4996</v>
      </c>
      <c r="G142" t="s">
        <v>4768</v>
      </c>
    </row>
    <row r="143" spans="1:7">
      <c r="A143" t="s">
        <v>5069</v>
      </c>
      <c r="B143" t="s">
        <v>5070</v>
      </c>
      <c r="C143" t="s">
        <v>4806</v>
      </c>
      <c r="D143">
        <v>37.1</v>
      </c>
      <c r="E143" s="208">
        <v>45806</v>
      </c>
      <c r="F143" t="s">
        <v>4923</v>
      </c>
      <c r="G143" t="s">
        <v>4768</v>
      </c>
    </row>
    <row r="144" spans="1:7">
      <c r="A144" t="s">
        <v>5071</v>
      </c>
      <c r="B144" t="s">
        <v>5072</v>
      </c>
      <c r="C144" t="s">
        <v>4806</v>
      </c>
      <c r="D144">
        <v>47.35</v>
      </c>
      <c r="E144" s="208">
        <v>45806</v>
      </c>
      <c r="F144" t="s">
        <v>4923</v>
      </c>
      <c r="G144" t="s">
        <v>4768</v>
      </c>
    </row>
    <row r="145" spans="1:7">
      <c r="A145" t="s">
        <v>5073</v>
      </c>
      <c r="B145" t="s">
        <v>5074</v>
      </c>
      <c r="C145" t="s">
        <v>4766</v>
      </c>
      <c r="D145">
        <v>9.86</v>
      </c>
      <c r="E145" s="208">
        <v>45805</v>
      </c>
      <c r="F145" t="s">
        <v>4832</v>
      </c>
      <c r="G145" t="s">
        <v>4768</v>
      </c>
    </row>
    <row r="146" spans="1:7">
      <c r="A146" t="s">
        <v>5075</v>
      </c>
      <c r="B146" t="s">
        <v>5076</v>
      </c>
      <c r="C146" t="s">
        <v>4766</v>
      </c>
      <c r="D146">
        <v>11.95</v>
      </c>
      <c r="E146" s="208">
        <v>45805</v>
      </c>
      <c r="F146" t="s">
        <v>4782</v>
      </c>
      <c r="G146" t="s">
        <v>4768</v>
      </c>
    </row>
    <row r="147" spans="1:7">
      <c r="A147" t="s">
        <v>5077</v>
      </c>
      <c r="B147" t="s">
        <v>5078</v>
      </c>
      <c r="C147" t="s">
        <v>5079</v>
      </c>
      <c r="D147">
        <v>47.79</v>
      </c>
      <c r="E147" s="208">
        <v>45805</v>
      </c>
      <c r="F147" t="s">
        <v>4782</v>
      </c>
      <c r="G147" t="s">
        <v>4768</v>
      </c>
    </row>
    <row r="148" spans="1:7">
      <c r="A148" t="s">
        <v>5080</v>
      </c>
      <c r="B148" t="s">
        <v>5081</v>
      </c>
      <c r="C148" t="s">
        <v>4803</v>
      </c>
      <c r="D148">
        <v>36.75</v>
      </c>
      <c r="E148" s="208">
        <v>45805</v>
      </c>
      <c r="F148" t="s">
        <v>4782</v>
      </c>
      <c r="G148" t="s">
        <v>4768</v>
      </c>
    </row>
    <row r="149" spans="1:7">
      <c r="A149" t="s">
        <v>5082</v>
      </c>
      <c r="B149" t="s">
        <v>5083</v>
      </c>
      <c r="C149" t="s">
        <v>5084</v>
      </c>
      <c r="D149">
        <v>109.45</v>
      </c>
      <c r="E149" s="208">
        <v>45804</v>
      </c>
      <c r="F149" t="s">
        <v>4804</v>
      </c>
      <c r="G149" t="s">
        <v>4768</v>
      </c>
    </row>
    <row r="150" spans="1:7">
      <c r="A150" t="s">
        <v>5085</v>
      </c>
      <c r="B150" t="s">
        <v>5086</v>
      </c>
      <c r="C150" t="s">
        <v>4766</v>
      </c>
      <c r="D150">
        <v>30.9</v>
      </c>
      <c r="E150" s="208">
        <v>45804</v>
      </c>
      <c r="F150" t="s">
        <v>4767</v>
      </c>
      <c r="G150" t="s">
        <v>4768</v>
      </c>
    </row>
    <row r="151" spans="1:7">
      <c r="A151" t="s">
        <v>5087</v>
      </c>
      <c r="B151" t="s">
        <v>5088</v>
      </c>
      <c r="C151" t="s">
        <v>5089</v>
      </c>
      <c r="D151">
        <v>107.9</v>
      </c>
      <c r="E151" s="208">
        <v>45804</v>
      </c>
      <c r="F151" t="s">
        <v>4767</v>
      </c>
      <c r="G151" t="s">
        <v>4768</v>
      </c>
    </row>
    <row r="152" spans="1:7">
      <c r="A152" t="s">
        <v>5090</v>
      </c>
      <c r="B152" t="s">
        <v>5091</v>
      </c>
      <c r="C152" t="s">
        <v>4766</v>
      </c>
      <c r="D152">
        <v>9.15</v>
      </c>
      <c r="E152" s="208">
        <v>45803</v>
      </c>
      <c r="F152" t="s">
        <v>4782</v>
      </c>
      <c r="G152" t="s">
        <v>4768</v>
      </c>
    </row>
    <row r="153" spans="1:7">
      <c r="A153" t="s">
        <v>5092</v>
      </c>
      <c r="B153" t="s">
        <v>5093</v>
      </c>
      <c r="C153" t="s">
        <v>4766</v>
      </c>
      <c r="D153">
        <v>5.05</v>
      </c>
      <c r="E153" s="208">
        <v>45803</v>
      </c>
      <c r="F153" t="s">
        <v>4782</v>
      </c>
      <c r="G153" t="s">
        <v>4768</v>
      </c>
    </row>
    <row r="154" spans="1:7">
      <c r="A154" t="s">
        <v>5094</v>
      </c>
      <c r="B154" t="s">
        <v>5095</v>
      </c>
      <c r="C154" t="s">
        <v>4775</v>
      </c>
      <c r="D154">
        <v>44.6</v>
      </c>
      <c r="E154" s="208">
        <v>45800</v>
      </c>
      <c r="F154" t="s">
        <v>4767</v>
      </c>
      <c r="G154" t="s">
        <v>4768</v>
      </c>
    </row>
    <row r="155" spans="1:7">
      <c r="A155" t="s">
        <v>5096</v>
      </c>
      <c r="B155" t="s">
        <v>5097</v>
      </c>
      <c r="C155" t="s">
        <v>4806</v>
      </c>
      <c r="D155">
        <v>28</v>
      </c>
      <c r="E155" s="208">
        <v>45800</v>
      </c>
      <c r="F155" t="s">
        <v>4923</v>
      </c>
      <c r="G155" t="s">
        <v>4768</v>
      </c>
    </row>
    <row r="156" spans="1:7">
      <c r="A156" t="s">
        <v>5098</v>
      </c>
      <c r="B156" t="s">
        <v>5099</v>
      </c>
      <c r="C156" t="s">
        <v>4806</v>
      </c>
      <c r="D156">
        <v>47.35</v>
      </c>
      <c r="E156" s="208">
        <v>45800</v>
      </c>
      <c r="F156" t="s">
        <v>4923</v>
      </c>
      <c r="G156" t="s">
        <v>4768</v>
      </c>
    </row>
    <row r="157" spans="1:7">
      <c r="A157" t="s">
        <v>5100</v>
      </c>
      <c r="B157" t="s">
        <v>5101</v>
      </c>
      <c r="C157" t="s">
        <v>4766</v>
      </c>
      <c r="D157">
        <v>40.25</v>
      </c>
      <c r="E157" s="208">
        <v>45799</v>
      </c>
      <c r="F157" t="s">
        <v>4792</v>
      </c>
      <c r="G157" t="s">
        <v>4768</v>
      </c>
    </row>
    <row r="158" spans="1:7">
      <c r="A158" t="s">
        <v>5102</v>
      </c>
      <c r="B158" t="s">
        <v>5103</v>
      </c>
      <c r="C158" t="s">
        <v>4803</v>
      </c>
      <c r="D158">
        <v>601.91999999999996</v>
      </c>
      <c r="E158" s="208">
        <v>45799</v>
      </c>
      <c r="F158" t="s">
        <v>4846</v>
      </c>
      <c r="G158" t="s">
        <v>4768</v>
      </c>
    </row>
    <row r="159" spans="1:7">
      <c r="A159" t="s">
        <v>5104</v>
      </c>
      <c r="B159" t="s">
        <v>5105</v>
      </c>
      <c r="C159" t="s">
        <v>4884</v>
      </c>
      <c r="D159">
        <v>104.74</v>
      </c>
      <c r="E159" s="208">
        <v>45798</v>
      </c>
      <c r="F159" t="s">
        <v>4772</v>
      </c>
      <c r="G159" t="s">
        <v>4768</v>
      </c>
    </row>
    <row r="160" spans="1:7">
      <c r="A160" t="s">
        <v>5106</v>
      </c>
      <c r="B160" t="s">
        <v>5107</v>
      </c>
      <c r="C160" t="s">
        <v>4895</v>
      </c>
      <c r="D160">
        <v>59.95</v>
      </c>
      <c r="E160" s="208">
        <v>45798</v>
      </c>
      <c r="F160" t="s">
        <v>4767</v>
      </c>
      <c r="G160" t="s">
        <v>4768</v>
      </c>
    </row>
    <row r="161" spans="1:7">
      <c r="A161" t="s">
        <v>5108</v>
      </c>
      <c r="B161" t="s">
        <v>5109</v>
      </c>
      <c r="C161" t="s">
        <v>4766</v>
      </c>
      <c r="D161">
        <v>59.45</v>
      </c>
      <c r="E161" s="208">
        <v>45797</v>
      </c>
      <c r="F161" t="s">
        <v>4772</v>
      </c>
      <c r="G161" t="s">
        <v>4768</v>
      </c>
    </row>
    <row r="162" spans="1:7">
      <c r="A162" t="s">
        <v>5110</v>
      </c>
      <c r="B162" t="s">
        <v>5111</v>
      </c>
      <c r="C162" t="s">
        <v>4766</v>
      </c>
      <c r="D162">
        <v>7.35</v>
      </c>
      <c r="E162" s="208">
        <v>45796</v>
      </c>
      <c r="F162" t="s">
        <v>4782</v>
      </c>
      <c r="G162" t="s">
        <v>4768</v>
      </c>
    </row>
    <row r="163" spans="1:7">
      <c r="A163" t="s">
        <v>5112</v>
      </c>
      <c r="B163" t="s">
        <v>5113</v>
      </c>
      <c r="C163" t="s">
        <v>4884</v>
      </c>
      <c r="D163">
        <v>42.05</v>
      </c>
      <c r="E163" s="208">
        <v>45793</v>
      </c>
      <c r="F163" t="s">
        <v>4772</v>
      </c>
      <c r="G163" t="s">
        <v>4768</v>
      </c>
    </row>
    <row r="164" spans="1:7">
      <c r="A164" t="s">
        <v>5114</v>
      </c>
      <c r="B164" t="s">
        <v>5115</v>
      </c>
      <c r="C164" t="s">
        <v>4884</v>
      </c>
      <c r="D164">
        <v>598</v>
      </c>
      <c r="E164" s="208">
        <v>45793</v>
      </c>
      <c r="F164" t="s">
        <v>4772</v>
      </c>
      <c r="G164" t="s">
        <v>4768</v>
      </c>
    </row>
    <row r="165" spans="1:7">
      <c r="A165" t="s">
        <v>5116</v>
      </c>
      <c r="B165" t="s">
        <v>5117</v>
      </c>
      <c r="C165" t="s">
        <v>4766</v>
      </c>
      <c r="D165">
        <v>5.0199999999999996</v>
      </c>
      <c r="E165" s="208">
        <v>45792</v>
      </c>
      <c r="F165" t="s">
        <v>4905</v>
      </c>
      <c r="G165" t="s">
        <v>4768</v>
      </c>
    </row>
    <row r="166" spans="1:7">
      <c r="A166" t="s">
        <v>5118</v>
      </c>
      <c r="B166" t="s">
        <v>5119</v>
      </c>
      <c r="C166" t="s">
        <v>4766</v>
      </c>
      <c r="D166">
        <v>84</v>
      </c>
      <c r="E166" s="208">
        <v>45792</v>
      </c>
      <c r="F166" t="s">
        <v>5120</v>
      </c>
      <c r="G166" t="s">
        <v>4768</v>
      </c>
    </row>
    <row r="167" spans="1:7">
      <c r="A167" t="s">
        <v>5121</v>
      </c>
      <c r="B167" t="s">
        <v>5122</v>
      </c>
      <c r="C167" t="s">
        <v>4766</v>
      </c>
      <c r="D167">
        <v>88.19</v>
      </c>
      <c r="E167" s="208">
        <v>45791</v>
      </c>
      <c r="F167" t="s">
        <v>4782</v>
      </c>
      <c r="G167" t="s">
        <v>4768</v>
      </c>
    </row>
    <row r="168" spans="1:7">
      <c r="A168" t="s">
        <v>5123</v>
      </c>
      <c r="B168" t="s">
        <v>5124</v>
      </c>
      <c r="C168" t="s">
        <v>4803</v>
      </c>
      <c r="D168">
        <v>75.989999999999995</v>
      </c>
      <c r="E168" s="208">
        <v>45791</v>
      </c>
      <c r="F168" t="s">
        <v>4782</v>
      </c>
      <c r="G168" t="s">
        <v>4768</v>
      </c>
    </row>
    <row r="169" spans="1:7">
      <c r="A169" t="s">
        <v>5125</v>
      </c>
      <c r="B169" t="s">
        <v>5126</v>
      </c>
      <c r="C169" t="s">
        <v>4766</v>
      </c>
      <c r="D169">
        <v>42</v>
      </c>
      <c r="E169" s="208">
        <v>45790</v>
      </c>
      <c r="F169" t="s">
        <v>4923</v>
      </c>
      <c r="G169" t="s">
        <v>4768</v>
      </c>
    </row>
    <row r="170" spans="1:7">
      <c r="A170" t="s">
        <v>5127</v>
      </c>
      <c r="B170" t="s">
        <v>5128</v>
      </c>
      <c r="C170" t="s">
        <v>4806</v>
      </c>
      <c r="D170">
        <v>42</v>
      </c>
      <c r="E170" s="208">
        <v>45790</v>
      </c>
      <c r="F170" t="s">
        <v>4923</v>
      </c>
      <c r="G170" t="s">
        <v>4768</v>
      </c>
    </row>
    <row r="171" spans="1:7">
      <c r="A171" t="s">
        <v>4587</v>
      </c>
      <c r="B171" t="s">
        <v>5129</v>
      </c>
      <c r="C171" t="s">
        <v>4838</v>
      </c>
      <c r="D171">
        <v>9.3000000000000007</v>
      </c>
      <c r="E171" s="208">
        <v>45790</v>
      </c>
      <c r="F171" t="s">
        <v>4767</v>
      </c>
      <c r="G171" t="s">
        <v>4768</v>
      </c>
    </row>
    <row r="172" spans="1:7">
      <c r="A172" t="s">
        <v>5130</v>
      </c>
      <c r="B172" t="s">
        <v>5131</v>
      </c>
      <c r="C172" t="s">
        <v>4831</v>
      </c>
      <c r="D172">
        <v>5.05</v>
      </c>
      <c r="E172" s="208">
        <v>45789</v>
      </c>
      <c r="F172" t="s">
        <v>4782</v>
      </c>
      <c r="G172" t="s">
        <v>4768</v>
      </c>
    </row>
    <row r="173" spans="1:7">
      <c r="A173" t="s">
        <v>5132</v>
      </c>
      <c r="B173" t="s">
        <v>5133</v>
      </c>
      <c r="C173" t="s">
        <v>4766</v>
      </c>
      <c r="D173">
        <v>45.99</v>
      </c>
      <c r="E173" s="208">
        <v>45789</v>
      </c>
      <c r="F173" t="s">
        <v>4792</v>
      </c>
      <c r="G173" t="s">
        <v>4768</v>
      </c>
    </row>
    <row r="174" spans="1:7">
      <c r="A174" t="s">
        <v>5134</v>
      </c>
      <c r="B174" t="s">
        <v>5135</v>
      </c>
      <c r="C174" t="s">
        <v>4766</v>
      </c>
      <c r="D174">
        <v>31.5</v>
      </c>
      <c r="E174" s="208">
        <v>45789</v>
      </c>
      <c r="F174" t="s">
        <v>4792</v>
      </c>
      <c r="G174" t="s">
        <v>4768</v>
      </c>
    </row>
    <row r="175" spans="1:7">
      <c r="A175" t="s">
        <v>5136</v>
      </c>
      <c r="B175" t="s">
        <v>5137</v>
      </c>
      <c r="C175" t="s">
        <v>4799</v>
      </c>
      <c r="D175">
        <v>11.79</v>
      </c>
      <c r="E175" s="208">
        <v>45789</v>
      </c>
      <c r="F175" t="s">
        <v>4792</v>
      </c>
      <c r="G175" t="s">
        <v>4768</v>
      </c>
    </row>
    <row r="176" spans="1:7">
      <c r="A176" t="s">
        <v>5138</v>
      </c>
      <c r="B176" t="s">
        <v>4814</v>
      </c>
      <c r="C176" t="s">
        <v>4803</v>
      </c>
      <c r="D176">
        <v>98</v>
      </c>
      <c r="E176" s="208">
        <v>45786</v>
      </c>
      <c r="F176" t="s">
        <v>4804</v>
      </c>
      <c r="G176" t="s">
        <v>4768</v>
      </c>
    </row>
    <row r="177" spans="1:7">
      <c r="A177" t="s">
        <v>5139</v>
      </c>
      <c r="B177" t="s">
        <v>5140</v>
      </c>
      <c r="C177" t="s">
        <v>4803</v>
      </c>
      <c r="D177">
        <v>250.35</v>
      </c>
      <c r="E177" s="208">
        <v>45786</v>
      </c>
      <c r="F177" t="s">
        <v>4804</v>
      </c>
      <c r="G177" t="s">
        <v>4768</v>
      </c>
    </row>
    <row r="178" spans="1:7">
      <c r="A178" t="s">
        <v>5141</v>
      </c>
      <c r="B178" t="s">
        <v>5142</v>
      </c>
      <c r="C178" t="s">
        <v>4920</v>
      </c>
      <c r="D178">
        <v>128.25</v>
      </c>
      <c r="E178" s="208">
        <v>45785</v>
      </c>
      <c r="F178" t="s">
        <v>4804</v>
      </c>
      <c r="G178" t="s">
        <v>4768</v>
      </c>
    </row>
    <row r="179" spans="1:7">
      <c r="A179" t="s">
        <v>5143</v>
      </c>
      <c r="B179" t="s">
        <v>5144</v>
      </c>
      <c r="C179" t="s">
        <v>4766</v>
      </c>
      <c r="D179">
        <v>9.99</v>
      </c>
      <c r="E179" s="208">
        <v>45785</v>
      </c>
      <c r="F179" t="s">
        <v>4792</v>
      </c>
      <c r="G179" t="s">
        <v>4768</v>
      </c>
    </row>
    <row r="180" spans="1:7">
      <c r="A180" t="s">
        <v>5145</v>
      </c>
      <c r="B180" t="s">
        <v>5146</v>
      </c>
      <c r="C180" t="s">
        <v>4766</v>
      </c>
      <c r="D180">
        <v>2.1</v>
      </c>
      <c r="E180" s="208">
        <v>45785</v>
      </c>
      <c r="F180" t="s">
        <v>4792</v>
      </c>
      <c r="G180" t="s">
        <v>4768</v>
      </c>
    </row>
    <row r="181" spans="1:7">
      <c r="A181" t="s">
        <v>5147</v>
      </c>
      <c r="B181" t="s">
        <v>5148</v>
      </c>
      <c r="C181" t="s">
        <v>4766</v>
      </c>
      <c r="D181">
        <v>1.55</v>
      </c>
      <c r="E181" s="208">
        <v>45784</v>
      </c>
      <c r="F181" t="s">
        <v>4782</v>
      </c>
      <c r="G181" t="s">
        <v>4768</v>
      </c>
    </row>
    <row r="182" spans="1:7">
      <c r="A182" t="s">
        <v>5149</v>
      </c>
      <c r="B182" t="s">
        <v>5150</v>
      </c>
      <c r="C182" t="s">
        <v>4803</v>
      </c>
      <c r="D182">
        <v>24.83</v>
      </c>
      <c r="E182" s="208">
        <v>45784</v>
      </c>
      <c r="F182" t="s">
        <v>4782</v>
      </c>
      <c r="G182" t="s">
        <v>4768</v>
      </c>
    </row>
    <row r="183" spans="1:7">
      <c r="A183" t="s">
        <v>5151</v>
      </c>
      <c r="B183" t="s">
        <v>5152</v>
      </c>
      <c r="C183" t="s">
        <v>4962</v>
      </c>
      <c r="D183">
        <v>51.49</v>
      </c>
      <c r="E183" s="208">
        <v>45784</v>
      </c>
      <c r="F183" t="s">
        <v>4772</v>
      </c>
      <c r="G183" t="s">
        <v>4768</v>
      </c>
    </row>
    <row r="184" spans="1:7">
      <c r="A184" t="s">
        <v>5153</v>
      </c>
      <c r="B184" t="s">
        <v>5154</v>
      </c>
      <c r="C184" t="s">
        <v>4838</v>
      </c>
      <c r="D184">
        <v>48.05</v>
      </c>
      <c r="E184" s="208">
        <v>45783</v>
      </c>
      <c r="F184" t="s">
        <v>4772</v>
      </c>
      <c r="G184" t="s">
        <v>4768</v>
      </c>
    </row>
    <row r="185" spans="1:7">
      <c r="A185" t="s">
        <v>5155</v>
      </c>
      <c r="B185" t="s">
        <v>5156</v>
      </c>
      <c r="C185" t="s">
        <v>4838</v>
      </c>
      <c r="D185">
        <v>37.1</v>
      </c>
      <c r="E185" s="208">
        <v>45783</v>
      </c>
      <c r="F185" t="s">
        <v>4772</v>
      </c>
      <c r="G185" t="s">
        <v>4768</v>
      </c>
    </row>
    <row r="186" spans="1:7">
      <c r="A186" t="s">
        <v>5157</v>
      </c>
      <c r="B186" t="s">
        <v>5158</v>
      </c>
      <c r="C186" t="s">
        <v>4766</v>
      </c>
      <c r="D186">
        <v>20.100000000000001</v>
      </c>
      <c r="E186" s="208">
        <v>45783</v>
      </c>
      <c r="F186" t="s">
        <v>4767</v>
      </c>
      <c r="G186" t="s">
        <v>4768</v>
      </c>
    </row>
    <row r="187" spans="1:7">
      <c r="A187" t="s">
        <v>5159</v>
      </c>
      <c r="B187" t="s">
        <v>5160</v>
      </c>
      <c r="C187" t="s">
        <v>4795</v>
      </c>
      <c r="D187">
        <v>8.9700000000000006</v>
      </c>
      <c r="E187" s="208">
        <v>45783</v>
      </c>
      <c r="F187" t="s">
        <v>4885</v>
      </c>
      <c r="G187" t="s">
        <v>4768</v>
      </c>
    </row>
    <row r="188" spans="1:7">
      <c r="A188" t="s">
        <v>5161</v>
      </c>
      <c r="B188" t="s">
        <v>5162</v>
      </c>
      <c r="C188" t="s">
        <v>4803</v>
      </c>
      <c r="D188">
        <v>57.91</v>
      </c>
      <c r="E188" s="208">
        <v>45782</v>
      </c>
      <c r="F188" t="s">
        <v>4782</v>
      </c>
      <c r="G188" t="s">
        <v>4768</v>
      </c>
    </row>
    <row r="189" spans="1:7">
      <c r="A189" t="s">
        <v>5163</v>
      </c>
      <c r="B189" t="s">
        <v>5164</v>
      </c>
      <c r="C189" t="s">
        <v>5165</v>
      </c>
      <c r="D189">
        <v>12.35</v>
      </c>
      <c r="E189" s="208">
        <v>45782</v>
      </c>
      <c r="F189" t="s">
        <v>4877</v>
      </c>
      <c r="G189" t="s">
        <v>4768</v>
      </c>
    </row>
    <row r="190" spans="1:7">
      <c r="A190" t="s">
        <v>5166</v>
      </c>
      <c r="B190" t="s">
        <v>5167</v>
      </c>
      <c r="C190" t="s">
        <v>4766</v>
      </c>
      <c r="D190">
        <v>0.5</v>
      </c>
      <c r="E190" s="208">
        <v>45779</v>
      </c>
      <c r="F190" t="s">
        <v>4877</v>
      </c>
      <c r="G190" t="s">
        <v>4768</v>
      </c>
    </row>
    <row r="191" spans="1:7">
      <c r="A191" t="s">
        <v>5168</v>
      </c>
      <c r="B191" t="s">
        <v>5169</v>
      </c>
      <c r="C191" t="s">
        <v>4803</v>
      </c>
      <c r="D191">
        <v>1518.15</v>
      </c>
      <c r="E191" s="208">
        <v>45779</v>
      </c>
      <c r="F191" t="s">
        <v>4804</v>
      </c>
      <c r="G191" t="s">
        <v>4768</v>
      </c>
    </row>
    <row r="192" spans="1:7">
      <c r="A192" t="s">
        <v>5170</v>
      </c>
      <c r="B192" t="s">
        <v>5171</v>
      </c>
      <c r="C192" t="s">
        <v>5172</v>
      </c>
      <c r="D192">
        <v>3.4</v>
      </c>
      <c r="E192" s="208">
        <v>45779</v>
      </c>
      <c r="F192" t="s">
        <v>4877</v>
      </c>
      <c r="G192" t="s">
        <v>4768</v>
      </c>
    </row>
    <row r="193" spans="1:7">
      <c r="A193" t="s">
        <v>5173</v>
      </c>
      <c r="B193" t="s">
        <v>5174</v>
      </c>
      <c r="C193" t="s">
        <v>4766</v>
      </c>
      <c r="D193">
        <v>116.94</v>
      </c>
      <c r="E193" s="208">
        <v>45778</v>
      </c>
      <c r="F193" t="s">
        <v>4832</v>
      </c>
      <c r="G193" t="s">
        <v>4768</v>
      </c>
    </row>
    <row r="194" spans="1:7">
      <c r="A194" t="s">
        <v>5175</v>
      </c>
      <c r="B194" t="s">
        <v>5176</v>
      </c>
      <c r="C194" t="s">
        <v>4766</v>
      </c>
      <c r="D194">
        <v>71.33</v>
      </c>
      <c r="E194" s="208">
        <v>45778</v>
      </c>
      <c r="F194" t="s">
        <v>4832</v>
      </c>
      <c r="G194" t="s">
        <v>4768</v>
      </c>
    </row>
    <row r="195" spans="1:7">
      <c r="A195" t="s">
        <v>5177</v>
      </c>
      <c r="B195" t="s">
        <v>5178</v>
      </c>
      <c r="C195" t="s">
        <v>4766</v>
      </c>
      <c r="D195">
        <v>414.67</v>
      </c>
      <c r="E195" s="208">
        <v>45778</v>
      </c>
      <c r="F195" t="s">
        <v>4772</v>
      </c>
      <c r="G195" t="s">
        <v>4768</v>
      </c>
    </row>
    <row r="196" spans="1:7">
      <c r="A196" t="s">
        <v>5179</v>
      </c>
      <c r="B196" t="s">
        <v>5180</v>
      </c>
      <c r="C196" t="s">
        <v>4766</v>
      </c>
      <c r="D196">
        <v>37.99</v>
      </c>
      <c r="E196" s="208">
        <v>45777</v>
      </c>
      <c r="F196" t="s">
        <v>4779</v>
      </c>
      <c r="G196" t="s">
        <v>4768</v>
      </c>
    </row>
    <row r="197" spans="1:7">
      <c r="A197" t="s">
        <v>5181</v>
      </c>
      <c r="B197" t="s">
        <v>5182</v>
      </c>
      <c r="C197" t="s">
        <v>4766</v>
      </c>
      <c r="D197">
        <v>0.99</v>
      </c>
      <c r="E197" s="208">
        <v>45777</v>
      </c>
      <c r="F197" t="s">
        <v>5183</v>
      </c>
      <c r="G197" t="s">
        <v>4768</v>
      </c>
    </row>
    <row r="198" spans="1:7">
      <c r="A198" t="s">
        <v>5184</v>
      </c>
      <c r="B198" t="s">
        <v>5185</v>
      </c>
      <c r="C198" t="s">
        <v>4766</v>
      </c>
      <c r="D198">
        <v>4.99</v>
      </c>
      <c r="E198" s="208">
        <v>45777</v>
      </c>
      <c r="F198" t="s">
        <v>5186</v>
      </c>
      <c r="G198" t="s">
        <v>4768</v>
      </c>
    </row>
    <row r="199" spans="1:7">
      <c r="A199" t="s">
        <v>5187</v>
      </c>
      <c r="B199" t="s">
        <v>5188</v>
      </c>
      <c r="C199" t="s">
        <v>4766</v>
      </c>
      <c r="D199">
        <v>17.420000000000002</v>
      </c>
      <c r="E199" s="208">
        <v>45777</v>
      </c>
      <c r="F199" t="s">
        <v>5183</v>
      </c>
      <c r="G199" t="s">
        <v>4768</v>
      </c>
    </row>
    <row r="200" spans="1:7">
      <c r="A200" t="s">
        <v>5189</v>
      </c>
      <c r="B200" t="s">
        <v>5190</v>
      </c>
      <c r="C200" t="s">
        <v>4766</v>
      </c>
      <c r="D200">
        <v>11.46</v>
      </c>
      <c r="E200" s="208">
        <v>45777</v>
      </c>
      <c r="F200" t="s">
        <v>4782</v>
      </c>
      <c r="G200" t="s">
        <v>4768</v>
      </c>
    </row>
    <row r="201" spans="1:7">
      <c r="A201" t="s">
        <v>5191</v>
      </c>
      <c r="B201" t="s">
        <v>5192</v>
      </c>
      <c r="C201" t="s">
        <v>4766</v>
      </c>
      <c r="D201">
        <v>46.87</v>
      </c>
      <c r="E201" s="208">
        <v>45777</v>
      </c>
      <c r="F201" t="s">
        <v>4782</v>
      </c>
      <c r="G201" t="s">
        <v>4768</v>
      </c>
    </row>
    <row r="202" spans="1:7">
      <c r="A202" t="s">
        <v>5193</v>
      </c>
      <c r="B202" t="s">
        <v>5194</v>
      </c>
      <c r="C202" t="s">
        <v>4838</v>
      </c>
      <c r="D202">
        <v>36.200000000000003</v>
      </c>
      <c r="E202" s="208">
        <v>45776</v>
      </c>
      <c r="F202" t="s">
        <v>4767</v>
      </c>
      <c r="G202" t="s">
        <v>4768</v>
      </c>
    </row>
    <row r="203" spans="1:7">
      <c r="A203" t="s">
        <v>5195</v>
      </c>
      <c r="B203" t="s">
        <v>5196</v>
      </c>
      <c r="C203" t="s">
        <v>4766</v>
      </c>
      <c r="D203">
        <v>9.25</v>
      </c>
      <c r="E203" s="208">
        <v>45776</v>
      </c>
      <c r="F203" t="s">
        <v>4772</v>
      </c>
      <c r="G203" t="s">
        <v>4768</v>
      </c>
    </row>
    <row r="204" spans="1:7">
      <c r="A204" t="s">
        <v>5197</v>
      </c>
      <c r="B204" t="s">
        <v>5198</v>
      </c>
      <c r="C204" t="s">
        <v>4795</v>
      </c>
      <c r="D204">
        <v>29</v>
      </c>
      <c r="E204" s="208">
        <v>45776</v>
      </c>
      <c r="F204" t="s">
        <v>4772</v>
      </c>
      <c r="G204" t="s">
        <v>4768</v>
      </c>
    </row>
    <row r="205" spans="1:7">
      <c r="A205" t="s">
        <v>4513</v>
      </c>
      <c r="B205" t="s">
        <v>5199</v>
      </c>
      <c r="C205" t="s">
        <v>4806</v>
      </c>
      <c r="D205">
        <v>20.5</v>
      </c>
      <c r="E205" s="208">
        <v>45776</v>
      </c>
      <c r="F205" t="s">
        <v>4804</v>
      </c>
      <c r="G205" t="s">
        <v>4768</v>
      </c>
    </row>
    <row r="206" spans="1:7">
      <c r="A206" t="s">
        <v>5200</v>
      </c>
      <c r="B206" t="s">
        <v>5201</v>
      </c>
      <c r="C206" t="s">
        <v>4803</v>
      </c>
      <c r="D206">
        <v>68</v>
      </c>
      <c r="E206" s="208">
        <v>45776</v>
      </c>
      <c r="F206" t="s">
        <v>4772</v>
      </c>
      <c r="G206" t="s">
        <v>4768</v>
      </c>
    </row>
    <row r="207" spans="1:7">
      <c r="A207" t="s">
        <v>5202</v>
      </c>
      <c r="B207" t="s">
        <v>5203</v>
      </c>
      <c r="C207" t="s">
        <v>4803</v>
      </c>
      <c r="D207">
        <v>70.2</v>
      </c>
      <c r="E207" s="208">
        <v>45776</v>
      </c>
      <c r="F207" t="s">
        <v>4772</v>
      </c>
      <c r="G207" t="s">
        <v>4768</v>
      </c>
    </row>
    <row r="208" spans="1:7">
      <c r="A208" t="s">
        <v>5204</v>
      </c>
      <c r="B208" t="s">
        <v>5205</v>
      </c>
      <c r="C208" t="s">
        <v>5089</v>
      </c>
      <c r="D208">
        <v>58</v>
      </c>
      <c r="E208" s="208">
        <v>45776</v>
      </c>
      <c r="F208" t="s">
        <v>4772</v>
      </c>
      <c r="G208" t="s">
        <v>4768</v>
      </c>
    </row>
    <row r="209" spans="1:7">
      <c r="A209" t="s">
        <v>5206</v>
      </c>
      <c r="B209" t="s">
        <v>5207</v>
      </c>
      <c r="C209" t="s">
        <v>5089</v>
      </c>
      <c r="D209">
        <v>58</v>
      </c>
      <c r="E209" s="208">
        <v>45776</v>
      </c>
      <c r="F209" t="s">
        <v>4772</v>
      </c>
      <c r="G209" t="s">
        <v>4768</v>
      </c>
    </row>
    <row r="210" spans="1:7">
      <c r="A210" t="s">
        <v>5208</v>
      </c>
      <c r="B210" t="s">
        <v>5209</v>
      </c>
      <c r="C210" t="s">
        <v>5089</v>
      </c>
      <c r="D210">
        <v>40.25</v>
      </c>
      <c r="E210" s="208">
        <v>45776</v>
      </c>
      <c r="F210" t="s">
        <v>4772</v>
      </c>
      <c r="G210" t="s">
        <v>4768</v>
      </c>
    </row>
    <row r="211" spans="1:7">
      <c r="A211" t="s">
        <v>5210</v>
      </c>
      <c r="B211" t="s">
        <v>5211</v>
      </c>
      <c r="C211" t="s">
        <v>4766</v>
      </c>
      <c r="D211">
        <v>4.1900000000000004</v>
      </c>
      <c r="E211" s="208">
        <v>45775</v>
      </c>
      <c r="F211" t="s">
        <v>4792</v>
      </c>
      <c r="G211" t="s">
        <v>4768</v>
      </c>
    </row>
    <row r="212" spans="1:7">
      <c r="A212" t="s">
        <v>5212</v>
      </c>
      <c r="B212" t="s">
        <v>5213</v>
      </c>
      <c r="C212" t="s">
        <v>4766</v>
      </c>
      <c r="D212">
        <v>19.489999999999998</v>
      </c>
      <c r="E212" s="208">
        <v>45775</v>
      </c>
      <c r="F212" t="s">
        <v>4792</v>
      </c>
      <c r="G212" t="s">
        <v>4768</v>
      </c>
    </row>
    <row r="213" spans="1:7">
      <c r="A213" t="s">
        <v>5214</v>
      </c>
      <c r="B213" t="s">
        <v>5215</v>
      </c>
      <c r="C213" t="s">
        <v>4766</v>
      </c>
      <c r="D213">
        <v>1.2</v>
      </c>
      <c r="E213" s="208">
        <v>45775</v>
      </c>
      <c r="F213" t="s">
        <v>4792</v>
      </c>
      <c r="G213" t="s">
        <v>4768</v>
      </c>
    </row>
    <row r="214" spans="1:7">
      <c r="A214" t="s">
        <v>5216</v>
      </c>
      <c r="B214" t="s">
        <v>5217</v>
      </c>
      <c r="C214" t="s">
        <v>4766</v>
      </c>
      <c r="D214">
        <v>36.79</v>
      </c>
      <c r="E214" s="208">
        <v>45773</v>
      </c>
      <c r="F214" t="s">
        <v>4782</v>
      </c>
      <c r="G214" t="s">
        <v>4768</v>
      </c>
    </row>
    <row r="215" spans="1:7">
      <c r="A215" t="s">
        <v>5218</v>
      </c>
      <c r="B215" t="s">
        <v>5219</v>
      </c>
      <c r="C215" t="s">
        <v>4795</v>
      </c>
      <c r="D215">
        <v>92</v>
      </c>
      <c r="E215" s="208">
        <v>45773</v>
      </c>
      <c r="F215" t="s">
        <v>4782</v>
      </c>
      <c r="G215" t="s">
        <v>4768</v>
      </c>
    </row>
    <row r="216" spans="1:7">
      <c r="A216" t="s">
        <v>5220</v>
      </c>
      <c r="B216" t="s">
        <v>5221</v>
      </c>
      <c r="C216" t="s">
        <v>4803</v>
      </c>
      <c r="D216">
        <v>26</v>
      </c>
      <c r="E216" s="208">
        <v>45772</v>
      </c>
      <c r="F216" t="s">
        <v>4804</v>
      </c>
      <c r="G216" t="s">
        <v>4768</v>
      </c>
    </row>
    <row r="217" spans="1:7">
      <c r="A217" t="s">
        <v>5222</v>
      </c>
      <c r="B217" t="s">
        <v>5223</v>
      </c>
      <c r="C217" t="s">
        <v>5224</v>
      </c>
      <c r="D217">
        <v>42</v>
      </c>
      <c r="E217" s="208">
        <v>45772</v>
      </c>
      <c r="F217" t="s">
        <v>4804</v>
      </c>
      <c r="G217" t="s">
        <v>4768</v>
      </c>
    </row>
    <row r="218" spans="1:7">
      <c r="A218" t="s">
        <v>5225</v>
      </c>
      <c r="B218" t="s">
        <v>5226</v>
      </c>
      <c r="C218" t="s">
        <v>4806</v>
      </c>
      <c r="D218">
        <v>33.299999999999997</v>
      </c>
      <c r="E218" s="208">
        <v>45772</v>
      </c>
      <c r="F218" t="s">
        <v>5227</v>
      </c>
      <c r="G218" t="s">
        <v>4768</v>
      </c>
    </row>
    <row r="219" spans="1:7">
      <c r="A219" t="s">
        <v>5228</v>
      </c>
      <c r="B219" t="s">
        <v>5229</v>
      </c>
      <c r="C219" t="s">
        <v>4845</v>
      </c>
      <c r="D219">
        <v>20.059999999999999</v>
      </c>
      <c r="E219" s="208">
        <v>45771</v>
      </c>
      <c r="F219" t="s">
        <v>4772</v>
      </c>
      <c r="G219" t="s">
        <v>4768</v>
      </c>
    </row>
    <row r="220" spans="1:7">
      <c r="A220" t="s">
        <v>5230</v>
      </c>
      <c r="B220" t="s">
        <v>5231</v>
      </c>
      <c r="C220" t="s">
        <v>4766</v>
      </c>
      <c r="D220">
        <v>252.41</v>
      </c>
      <c r="E220" s="208">
        <v>45771</v>
      </c>
      <c r="F220" t="s">
        <v>4905</v>
      </c>
      <c r="G220" t="s">
        <v>4768</v>
      </c>
    </row>
    <row r="221" spans="1:7">
      <c r="A221" t="s">
        <v>5232</v>
      </c>
      <c r="B221" t="s">
        <v>5233</v>
      </c>
      <c r="C221" t="s">
        <v>4766</v>
      </c>
      <c r="D221">
        <v>24.6</v>
      </c>
      <c r="E221" s="208">
        <v>45771</v>
      </c>
      <c r="F221" t="s">
        <v>4767</v>
      </c>
      <c r="G221" t="s">
        <v>4768</v>
      </c>
    </row>
    <row r="222" spans="1:7">
      <c r="A222" t="s">
        <v>5234</v>
      </c>
      <c r="B222" t="s">
        <v>5235</v>
      </c>
      <c r="C222" t="s">
        <v>4831</v>
      </c>
      <c r="D222">
        <v>19.03</v>
      </c>
      <c r="E222" s="208">
        <v>45770</v>
      </c>
      <c r="F222" t="s">
        <v>4832</v>
      </c>
      <c r="G222" t="s">
        <v>4768</v>
      </c>
    </row>
    <row r="223" spans="1:7">
      <c r="A223" t="s">
        <v>5236</v>
      </c>
      <c r="B223" t="s">
        <v>5237</v>
      </c>
      <c r="C223" t="s">
        <v>5238</v>
      </c>
      <c r="D223">
        <v>50.15</v>
      </c>
      <c r="E223" s="208">
        <v>45770</v>
      </c>
      <c r="F223" t="s">
        <v>4804</v>
      </c>
      <c r="G223" t="s">
        <v>4768</v>
      </c>
    </row>
    <row r="224" spans="1:7">
      <c r="A224" t="s">
        <v>5239</v>
      </c>
      <c r="B224" t="s">
        <v>5240</v>
      </c>
      <c r="C224" t="s">
        <v>4803</v>
      </c>
      <c r="D224">
        <v>248</v>
      </c>
      <c r="E224" s="208">
        <v>45770</v>
      </c>
      <c r="F224" t="s">
        <v>4996</v>
      </c>
      <c r="G224" t="s">
        <v>4768</v>
      </c>
    </row>
    <row r="225" spans="1:7">
      <c r="A225" t="s">
        <v>5241</v>
      </c>
      <c r="B225" t="s">
        <v>5242</v>
      </c>
      <c r="C225" t="s">
        <v>4803</v>
      </c>
      <c r="D225">
        <v>105</v>
      </c>
      <c r="E225" s="208">
        <v>45770</v>
      </c>
      <c r="F225" t="s">
        <v>4996</v>
      </c>
      <c r="G225" t="s">
        <v>4768</v>
      </c>
    </row>
    <row r="226" spans="1:7">
      <c r="A226" t="s">
        <v>4673</v>
      </c>
      <c r="B226" t="s">
        <v>5243</v>
      </c>
      <c r="C226" t="s">
        <v>4838</v>
      </c>
      <c r="D226">
        <v>14.89</v>
      </c>
      <c r="E226" s="208">
        <v>45769</v>
      </c>
      <c r="F226" t="s">
        <v>4767</v>
      </c>
      <c r="G226" t="s">
        <v>4768</v>
      </c>
    </row>
    <row r="227" spans="1:7">
      <c r="A227" t="s">
        <v>4696</v>
      </c>
      <c r="B227" t="s">
        <v>5244</v>
      </c>
      <c r="C227" t="s">
        <v>4838</v>
      </c>
      <c r="D227">
        <v>20.96</v>
      </c>
      <c r="E227" s="208">
        <v>45855</v>
      </c>
      <c r="F227" t="s">
        <v>4767</v>
      </c>
      <c r="G227" t="s">
        <v>4768</v>
      </c>
    </row>
    <row r="228" spans="1:7">
      <c r="A228" t="s">
        <v>5245</v>
      </c>
      <c r="B228" t="s">
        <v>5246</v>
      </c>
      <c r="C228" t="s">
        <v>4838</v>
      </c>
      <c r="D228">
        <v>15.5</v>
      </c>
      <c r="E228" s="208">
        <v>45769</v>
      </c>
      <c r="F228" t="s">
        <v>4767</v>
      </c>
      <c r="G228" t="s">
        <v>4768</v>
      </c>
    </row>
    <row r="229" spans="1:7">
      <c r="A229" t="s">
        <v>5247</v>
      </c>
      <c r="B229" t="s">
        <v>5248</v>
      </c>
      <c r="C229" t="s">
        <v>4766</v>
      </c>
      <c r="D229">
        <v>11.92</v>
      </c>
      <c r="E229" s="208">
        <v>45769</v>
      </c>
      <c r="F229" t="s">
        <v>4832</v>
      </c>
      <c r="G229" t="s">
        <v>4768</v>
      </c>
    </row>
    <row r="230" spans="1:7">
      <c r="A230" t="s">
        <v>5249</v>
      </c>
      <c r="B230" t="s">
        <v>5250</v>
      </c>
      <c r="C230" t="s">
        <v>4845</v>
      </c>
      <c r="D230">
        <v>71</v>
      </c>
      <c r="E230" s="208">
        <v>45769</v>
      </c>
      <c r="F230" t="s">
        <v>4767</v>
      </c>
      <c r="G230" t="s">
        <v>4768</v>
      </c>
    </row>
    <row r="231" spans="1:7">
      <c r="A231" t="s">
        <v>5251</v>
      </c>
      <c r="B231" t="s">
        <v>5252</v>
      </c>
      <c r="C231" t="s">
        <v>4766</v>
      </c>
      <c r="D231">
        <v>13</v>
      </c>
      <c r="E231" s="208">
        <v>45768</v>
      </c>
      <c r="F231" t="s">
        <v>4832</v>
      </c>
      <c r="G231" t="s">
        <v>4768</v>
      </c>
    </row>
    <row r="232" spans="1:7">
      <c r="A232" t="s">
        <v>5253</v>
      </c>
      <c r="B232" t="s">
        <v>5254</v>
      </c>
      <c r="C232" t="s">
        <v>4806</v>
      </c>
      <c r="D232">
        <v>26.1</v>
      </c>
      <c r="E232" s="208">
        <v>45768</v>
      </c>
      <c r="F232" t="s">
        <v>4804</v>
      </c>
      <c r="G232" t="s">
        <v>4768</v>
      </c>
    </row>
    <row r="233" spans="1:7">
      <c r="A233" t="s">
        <v>5255</v>
      </c>
      <c r="B233" t="s">
        <v>5256</v>
      </c>
      <c r="C233" t="s">
        <v>4806</v>
      </c>
      <c r="D233">
        <v>17.100000000000001</v>
      </c>
      <c r="E233" s="208">
        <v>45768</v>
      </c>
      <c r="F233" t="s">
        <v>4804</v>
      </c>
      <c r="G233" t="s">
        <v>4768</v>
      </c>
    </row>
    <row r="234" spans="1:7">
      <c r="A234" t="s">
        <v>5257</v>
      </c>
      <c r="B234" t="s">
        <v>5258</v>
      </c>
      <c r="C234" t="s">
        <v>4806</v>
      </c>
      <c r="D234">
        <v>39.6</v>
      </c>
      <c r="E234" s="208">
        <v>45768</v>
      </c>
      <c r="F234" t="s">
        <v>4804</v>
      </c>
      <c r="G234" t="s">
        <v>4768</v>
      </c>
    </row>
    <row r="235" spans="1:7">
      <c r="A235" t="s">
        <v>4488</v>
      </c>
      <c r="B235" t="s">
        <v>5259</v>
      </c>
      <c r="C235" t="s">
        <v>4806</v>
      </c>
      <c r="D235">
        <v>16.350000000000001</v>
      </c>
      <c r="E235" s="208">
        <v>45768</v>
      </c>
      <c r="F235" t="s">
        <v>4804</v>
      </c>
      <c r="G235" t="s">
        <v>4768</v>
      </c>
    </row>
    <row r="236" spans="1:7">
      <c r="A236" t="s">
        <v>5260</v>
      </c>
      <c r="B236" t="s">
        <v>5261</v>
      </c>
      <c r="C236" t="s">
        <v>4806</v>
      </c>
      <c r="D236">
        <v>35.1</v>
      </c>
      <c r="E236" s="208">
        <v>45768</v>
      </c>
      <c r="F236" t="s">
        <v>4804</v>
      </c>
      <c r="G236" t="s">
        <v>4768</v>
      </c>
    </row>
    <row r="237" spans="1:7">
      <c r="A237" t="s">
        <v>5262</v>
      </c>
      <c r="B237" t="s">
        <v>5263</v>
      </c>
      <c r="C237" t="s">
        <v>4806</v>
      </c>
      <c r="D237">
        <v>53.25</v>
      </c>
      <c r="E237" s="208">
        <v>45768</v>
      </c>
      <c r="F237" t="s">
        <v>4804</v>
      </c>
      <c r="G237" t="s">
        <v>4768</v>
      </c>
    </row>
    <row r="238" spans="1:7">
      <c r="A238" t="s">
        <v>5264</v>
      </c>
      <c r="B238" t="s">
        <v>5265</v>
      </c>
      <c r="C238" t="s">
        <v>5089</v>
      </c>
      <c r="D238">
        <v>37.5</v>
      </c>
      <c r="E238" s="208">
        <v>45768</v>
      </c>
      <c r="F238" t="s">
        <v>4772</v>
      </c>
      <c r="G238" t="s">
        <v>4768</v>
      </c>
    </row>
    <row r="239" spans="1:7">
      <c r="A239" t="s">
        <v>4501</v>
      </c>
      <c r="B239" t="s">
        <v>5266</v>
      </c>
      <c r="C239" t="s">
        <v>4771</v>
      </c>
      <c r="D239">
        <v>61.55</v>
      </c>
      <c r="E239" s="208">
        <v>45764</v>
      </c>
      <c r="F239" t="s">
        <v>4767</v>
      </c>
      <c r="G239" t="s">
        <v>4768</v>
      </c>
    </row>
    <row r="240" spans="1:7">
      <c r="A240" t="s">
        <v>5267</v>
      </c>
      <c r="B240" t="s">
        <v>5268</v>
      </c>
      <c r="C240" t="s">
        <v>4766</v>
      </c>
      <c r="D240">
        <v>4.99</v>
      </c>
      <c r="E240" s="208">
        <v>45764</v>
      </c>
      <c r="F240" t="s">
        <v>4898</v>
      </c>
      <c r="G240" t="s">
        <v>4768</v>
      </c>
    </row>
    <row r="241" spans="1:7">
      <c r="A241" t="s">
        <v>5269</v>
      </c>
      <c r="B241" t="s">
        <v>5270</v>
      </c>
      <c r="C241" t="s">
        <v>4795</v>
      </c>
      <c r="D241">
        <v>3.67</v>
      </c>
      <c r="E241" s="208">
        <v>45764</v>
      </c>
      <c r="F241" t="s">
        <v>4782</v>
      </c>
      <c r="G241" t="s">
        <v>4768</v>
      </c>
    </row>
    <row r="242" spans="1:7">
      <c r="A242" t="s">
        <v>5271</v>
      </c>
      <c r="B242" t="s">
        <v>5272</v>
      </c>
      <c r="C242" t="s">
        <v>5025</v>
      </c>
      <c r="D242">
        <v>250.35</v>
      </c>
      <c r="E242" s="208">
        <v>45764</v>
      </c>
      <c r="F242" t="s">
        <v>4804</v>
      </c>
      <c r="G242" t="s">
        <v>4768</v>
      </c>
    </row>
    <row r="243" spans="1:7">
      <c r="A243" t="s">
        <v>4570</v>
      </c>
      <c r="B243" t="s">
        <v>5273</v>
      </c>
      <c r="C243" t="s">
        <v>4810</v>
      </c>
      <c r="D243">
        <v>471.15</v>
      </c>
      <c r="E243" s="208">
        <v>45764</v>
      </c>
      <c r="F243" t="s">
        <v>4804</v>
      </c>
      <c r="G243" t="s">
        <v>4768</v>
      </c>
    </row>
    <row r="244" spans="1:7">
      <c r="A244" t="s">
        <v>5274</v>
      </c>
      <c r="B244" t="s">
        <v>5275</v>
      </c>
      <c r="C244" t="s">
        <v>4771</v>
      </c>
      <c r="D244">
        <v>43.45</v>
      </c>
      <c r="E244" s="208">
        <v>45764</v>
      </c>
      <c r="F244" t="s">
        <v>4767</v>
      </c>
      <c r="G244" t="s">
        <v>4768</v>
      </c>
    </row>
    <row r="245" spans="1:7">
      <c r="A245" t="s">
        <v>5276</v>
      </c>
      <c r="B245" t="s">
        <v>5277</v>
      </c>
      <c r="C245" t="s">
        <v>4838</v>
      </c>
      <c r="D245">
        <v>33.5</v>
      </c>
      <c r="E245" s="208">
        <v>45764</v>
      </c>
      <c r="F245" t="s">
        <v>4804</v>
      </c>
      <c r="G245" t="s">
        <v>4768</v>
      </c>
    </row>
    <row r="246" spans="1:7">
      <c r="A246" t="s">
        <v>5278</v>
      </c>
      <c r="B246" t="s">
        <v>5279</v>
      </c>
      <c r="C246" t="s">
        <v>4803</v>
      </c>
      <c r="D246">
        <v>302</v>
      </c>
      <c r="E246" s="208">
        <v>45764</v>
      </c>
      <c r="F246" t="s">
        <v>4996</v>
      </c>
      <c r="G246" t="s">
        <v>4768</v>
      </c>
    </row>
    <row r="247" spans="1:7">
      <c r="A247" t="s">
        <v>4536</v>
      </c>
      <c r="B247" t="s">
        <v>5280</v>
      </c>
      <c r="C247" t="s">
        <v>4884</v>
      </c>
      <c r="D247" s="2">
        <f>1769/11</f>
        <v>160.81818181818181</v>
      </c>
      <c r="E247" s="208">
        <v>45764</v>
      </c>
      <c r="F247" t="s">
        <v>4996</v>
      </c>
      <c r="G247" t="s">
        <v>4768</v>
      </c>
    </row>
    <row r="248" spans="1:7">
      <c r="A248" t="s">
        <v>4559</v>
      </c>
      <c r="B248" t="s">
        <v>5281</v>
      </c>
      <c r="C248" t="s">
        <v>5282</v>
      </c>
      <c r="D248">
        <v>1769</v>
      </c>
      <c r="E248" s="208">
        <v>45764</v>
      </c>
      <c r="F248" t="s">
        <v>4996</v>
      </c>
      <c r="G248" t="s">
        <v>4768</v>
      </c>
    </row>
    <row r="249" spans="1:7">
      <c r="A249" t="s">
        <v>5283</v>
      </c>
      <c r="B249" t="s">
        <v>219</v>
      </c>
      <c r="C249" t="s">
        <v>4884</v>
      </c>
      <c r="D249">
        <v>542</v>
      </c>
      <c r="E249" s="208">
        <v>45764</v>
      </c>
      <c r="F249" t="s">
        <v>4996</v>
      </c>
      <c r="G249" t="s">
        <v>4768</v>
      </c>
    </row>
    <row r="250" spans="1:7">
      <c r="A250" t="s">
        <v>5284</v>
      </c>
      <c r="B250" t="s">
        <v>5285</v>
      </c>
      <c r="C250" t="s">
        <v>5286</v>
      </c>
      <c r="D250">
        <v>790</v>
      </c>
      <c r="E250" s="208">
        <v>45764</v>
      </c>
      <c r="F250" t="s">
        <v>4996</v>
      </c>
      <c r="G250" t="s">
        <v>4768</v>
      </c>
    </row>
    <row r="251" spans="1:7">
      <c r="A251" t="s">
        <v>5287</v>
      </c>
      <c r="B251" t="s">
        <v>5288</v>
      </c>
      <c r="C251" t="s">
        <v>5289</v>
      </c>
      <c r="D251">
        <v>523.9</v>
      </c>
      <c r="E251" s="208">
        <v>45762</v>
      </c>
      <c r="F251" t="s">
        <v>4804</v>
      </c>
      <c r="G251" t="s">
        <v>4768</v>
      </c>
    </row>
    <row r="252" spans="1:7">
      <c r="A252" t="s">
        <v>5290</v>
      </c>
      <c r="B252" t="s">
        <v>5291</v>
      </c>
      <c r="C252" t="s">
        <v>4766</v>
      </c>
      <c r="D252">
        <v>11.1</v>
      </c>
      <c r="E252" s="208">
        <v>45762</v>
      </c>
      <c r="F252" t="s">
        <v>4885</v>
      </c>
      <c r="G252" t="s">
        <v>4768</v>
      </c>
    </row>
    <row r="253" spans="1:7">
      <c r="A253" t="s">
        <v>5292</v>
      </c>
      <c r="B253" t="s">
        <v>5293</v>
      </c>
      <c r="C253" t="s">
        <v>5294</v>
      </c>
      <c r="D253">
        <v>45.4</v>
      </c>
      <c r="E253" s="208">
        <v>45758</v>
      </c>
      <c r="F253" t="s">
        <v>4804</v>
      </c>
      <c r="G253" t="s">
        <v>4768</v>
      </c>
    </row>
    <row r="254" spans="1:7">
      <c r="A254" t="s">
        <v>4628</v>
      </c>
      <c r="B254" t="s">
        <v>5295</v>
      </c>
      <c r="C254" t="s">
        <v>4771</v>
      </c>
      <c r="D254">
        <v>131.44999999999999</v>
      </c>
      <c r="E254" s="208">
        <v>45757</v>
      </c>
      <c r="F254" t="s">
        <v>4772</v>
      </c>
      <c r="G254" t="s">
        <v>4768</v>
      </c>
    </row>
    <row r="255" spans="1:7">
      <c r="A255" t="s">
        <v>5296</v>
      </c>
      <c r="B255" t="s">
        <v>5297</v>
      </c>
      <c r="C255" t="s">
        <v>4884</v>
      </c>
      <c r="D255">
        <v>1096</v>
      </c>
      <c r="E255" s="208">
        <v>45757</v>
      </c>
      <c r="F255" t="s">
        <v>4996</v>
      </c>
      <c r="G255" t="s">
        <v>4768</v>
      </c>
    </row>
    <row r="256" spans="1:7">
      <c r="A256" t="s">
        <v>5298</v>
      </c>
      <c r="B256" t="s">
        <v>5299</v>
      </c>
      <c r="C256" t="s">
        <v>4766</v>
      </c>
      <c r="D256">
        <v>60</v>
      </c>
      <c r="E256" s="208">
        <v>45755</v>
      </c>
      <c r="F256" t="s">
        <v>5300</v>
      </c>
      <c r="G256" t="s">
        <v>4768</v>
      </c>
    </row>
    <row r="257" spans="1:7">
      <c r="A257" t="s">
        <v>5301</v>
      </c>
      <c r="B257" t="s">
        <v>5302</v>
      </c>
      <c r="C257" t="s">
        <v>4766</v>
      </c>
      <c r="D257">
        <v>16</v>
      </c>
      <c r="E257" s="208">
        <v>45755</v>
      </c>
      <c r="F257" t="s">
        <v>5300</v>
      </c>
      <c r="G257" t="s">
        <v>4768</v>
      </c>
    </row>
    <row r="258" spans="1:7">
      <c r="A258" t="s">
        <v>5303</v>
      </c>
      <c r="B258" t="s">
        <v>5304</v>
      </c>
      <c r="C258" t="s">
        <v>4766</v>
      </c>
      <c r="D258">
        <v>9.5500000000000007</v>
      </c>
      <c r="E258" s="208">
        <v>45754</v>
      </c>
      <c r="F258" t="s">
        <v>4782</v>
      </c>
      <c r="G258" t="s">
        <v>4768</v>
      </c>
    </row>
    <row r="259" spans="1:7">
      <c r="A259" t="s">
        <v>5305</v>
      </c>
      <c r="B259" t="s">
        <v>5306</v>
      </c>
      <c r="C259" t="s">
        <v>4766</v>
      </c>
      <c r="D259">
        <v>14.33</v>
      </c>
      <c r="E259" s="208">
        <v>45754</v>
      </c>
      <c r="F259" t="s">
        <v>4782</v>
      </c>
      <c r="G259" t="s">
        <v>4768</v>
      </c>
    </row>
    <row r="260" spans="1:7">
      <c r="A260" t="s">
        <v>5307</v>
      </c>
      <c r="B260" t="s">
        <v>5308</v>
      </c>
      <c r="C260" t="s">
        <v>4766</v>
      </c>
      <c r="D260">
        <v>220.55</v>
      </c>
      <c r="E260" s="208">
        <v>45751</v>
      </c>
      <c r="F260" t="s">
        <v>4772</v>
      </c>
      <c r="G260" t="s">
        <v>4768</v>
      </c>
    </row>
    <row r="261" spans="1:7">
      <c r="A261" t="s">
        <v>5309</v>
      </c>
      <c r="B261" t="s">
        <v>5310</v>
      </c>
      <c r="C261" t="s">
        <v>4771</v>
      </c>
      <c r="D261">
        <v>1050</v>
      </c>
      <c r="E261" s="208">
        <v>45748</v>
      </c>
      <c r="G261" t="s">
        <v>5311</v>
      </c>
    </row>
    <row r="262" spans="1:7">
      <c r="A262" t="s">
        <v>5312</v>
      </c>
      <c r="B262" t="s">
        <v>5313</v>
      </c>
      <c r="C262" t="s">
        <v>4771</v>
      </c>
      <c r="D262">
        <v>149.94999999999999</v>
      </c>
      <c r="E262" s="208">
        <v>45748</v>
      </c>
      <c r="G262" t="s">
        <v>5314</v>
      </c>
    </row>
    <row r="263" spans="1:7">
      <c r="A263" t="s">
        <v>5315</v>
      </c>
      <c r="B263" t="s">
        <v>5316</v>
      </c>
      <c r="C263" t="s">
        <v>4771</v>
      </c>
      <c r="D263">
        <v>324.95</v>
      </c>
      <c r="E263" s="208">
        <v>45748</v>
      </c>
      <c r="G263" t="s">
        <v>5314</v>
      </c>
    </row>
    <row r="264" spans="1:7">
      <c r="A264" t="s">
        <v>5317</v>
      </c>
      <c r="B264" t="s">
        <v>5318</v>
      </c>
      <c r="C264" t="s">
        <v>4771</v>
      </c>
      <c r="D264">
        <v>71.17</v>
      </c>
      <c r="E264" s="208">
        <v>45748</v>
      </c>
      <c r="G264" t="s">
        <v>5314</v>
      </c>
    </row>
    <row r="265" spans="1:7">
      <c r="A265" t="s">
        <v>5319</v>
      </c>
      <c r="B265" t="s">
        <v>5320</v>
      </c>
      <c r="C265" t="s">
        <v>4771</v>
      </c>
      <c r="D265">
        <v>101.8</v>
      </c>
      <c r="E265" s="208">
        <v>45748</v>
      </c>
      <c r="G265" t="s">
        <v>5314</v>
      </c>
    </row>
    <row r="266" spans="1:7">
      <c r="A266" t="s">
        <v>5321</v>
      </c>
      <c r="B266" t="s">
        <v>5322</v>
      </c>
      <c r="C266" t="s">
        <v>4771</v>
      </c>
      <c r="D266">
        <v>75</v>
      </c>
      <c r="E266" s="208">
        <v>45748</v>
      </c>
      <c r="G266" t="s">
        <v>5314</v>
      </c>
    </row>
    <row r="267" spans="1:7">
      <c r="A267" t="s">
        <v>5323</v>
      </c>
      <c r="B267" t="s">
        <v>5324</v>
      </c>
      <c r="C267" t="s">
        <v>4771</v>
      </c>
      <c r="D267">
        <v>74</v>
      </c>
      <c r="E267" s="208">
        <v>45748</v>
      </c>
      <c r="G267" t="s">
        <v>5314</v>
      </c>
    </row>
    <row r="268" spans="1:7">
      <c r="A268" t="s">
        <v>5325</v>
      </c>
      <c r="B268" t="s">
        <v>5326</v>
      </c>
      <c r="C268" t="s">
        <v>4771</v>
      </c>
      <c r="D268">
        <v>41.73</v>
      </c>
      <c r="E268" s="208">
        <v>45748</v>
      </c>
      <c r="G268" t="s">
        <v>5314</v>
      </c>
    </row>
    <row r="269" spans="1:7">
      <c r="A269" t="s">
        <v>5327</v>
      </c>
      <c r="B269" t="s">
        <v>5328</v>
      </c>
      <c r="C269" t="s">
        <v>4771</v>
      </c>
      <c r="D269">
        <v>132.82</v>
      </c>
      <c r="E269" s="208">
        <v>45748</v>
      </c>
      <c r="G269" t="s">
        <v>5314</v>
      </c>
    </row>
    <row r="270" spans="1:7">
      <c r="A270" t="s">
        <v>5329</v>
      </c>
      <c r="B270" t="s">
        <v>5330</v>
      </c>
      <c r="C270" t="s">
        <v>4895</v>
      </c>
      <c r="D270">
        <v>116.1</v>
      </c>
      <c r="E270" s="208">
        <v>45748</v>
      </c>
      <c r="G270" t="s">
        <v>5314</v>
      </c>
    </row>
    <row r="271" spans="1:7">
      <c r="A271" t="s">
        <v>5331</v>
      </c>
      <c r="B271" t="s">
        <v>5332</v>
      </c>
      <c r="C271" t="s">
        <v>4845</v>
      </c>
      <c r="D271">
        <v>38.5</v>
      </c>
      <c r="E271" s="208">
        <v>45748</v>
      </c>
      <c r="G271" t="s">
        <v>5314</v>
      </c>
    </row>
    <row r="272" spans="1:7">
      <c r="A272" t="s">
        <v>5333</v>
      </c>
      <c r="B272" t="s">
        <v>5334</v>
      </c>
      <c r="C272" t="s">
        <v>4771</v>
      </c>
      <c r="D272">
        <v>25.15</v>
      </c>
      <c r="E272" s="208">
        <v>45748</v>
      </c>
      <c r="G272" t="s">
        <v>5314</v>
      </c>
    </row>
    <row r="273" spans="1:7">
      <c r="A273" t="s">
        <v>5335</v>
      </c>
      <c r="B273" t="s">
        <v>5336</v>
      </c>
      <c r="C273" t="s">
        <v>4895</v>
      </c>
      <c r="D273">
        <v>410.35</v>
      </c>
      <c r="E273" s="208">
        <v>45748</v>
      </c>
      <c r="G273" t="s">
        <v>5314</v>
      </c>
    </row>
    <row r="274" spans="1:7">
      <c r="A274" t="s">
        <v>5337</v>
      </c>
      <c r="B274" t="s">
        <v>5338</v>
      </c>
      <c r="C274" t="s">
        <v>4895</v>
      </c>
      <c r="D274">
        <v>154.69999999999999</v>
      </c>
      <c r="E274" s="208">
        <v>45748</v>
      </c>
      <c r="G274" t="s">
        <v>5314</v>
      </c>
    </row>
    <row r="275" spans="1:7">
      <c r="A275" t="s">
        <v>5339</v>
      </c>
      <c r="B275" t="s">
        <v>5340</v>
      </c>
      <c r="C275" t="s">
        <v>5341</v>
      </c>
      <c r="D275">
        <v>54.05</v>
      </c>
      <c r="E275" s="208">
        <v>45748</v>
      </c>
      <c r="G275" t="s">
        <v>5314</v>
      </c>
    </row>
    <row r="276" spans="1:7">
      <c r="A276" t="s">
        <v>5342</v>
      </c>
      <c r="B276" t="s">
        <v>5343</v>
      </c>
      <c r="C276" t="s">
        <v>5344</v>
      </c>
      <c r="D276">
        <v>12.75</v>
      </c>
      <c r="E276" s="208">
        <v>45748</v>
      </c>
      <c r="G276" t="s">
        <v>5314</v>
      </c>
    </row>
    <row r="277" spans="1:7">
      <c r="A277" t="s">
        <v>5345</v>
      </c>
      <c r="B277" t="s">
        <v>5346</v>
      </c>
      <c r="C277" t="s">
        <v>5347</v>
      </c>
      <c r="D277">
        <v>240</v>
      </c>
      <c r="E277" s="208">
        <v>45748</v>
      </c>
      <c r="G277" t="s">
        <v>5314</v>
      </c>
    </row>
    <row r="278" spans="1:7">
      <c r="A278" t="s">
        <v>5348</v>
      </c>
      <c r="B278" t="s">
        <v>5349</v>
      </c>
      <c r="C278" t="s">
        <v>4771</v>
      </c>
      <c r="D278">
        <v>103.8</v>
      </c>
      <c r="E278" s="208">
        <v>45748</v>
      </c>
      <c r="G278" t="s">
        <v>5314</v>
      </c>
    </row>
    <row r="279" spans="1:7">
      <c r="A279" t="s">
        <v>5350</v>
      </c>
      <c r="B279" t="s">
        <v>5351</v>
      </c>
      <c r="C279" t="s">
        <v>4895</v>
      </c>
      <c r="D279">
        <v>431</v>
      </c>
      <c r="E279" s="208">
        <v>45748</v>
      </c>
      <c r="G279" t="s">
        <v>5314</v>
      </c>
    </row>
    <row r="280" spans="1:7">
      <c r="A280" t="s">
        <v>5352</v>
      </c>
      <c r="B280" t="s">
        <v>5353</v>
      </c>
      <c r="C280" t="s">
        <v>4771</v>
      </c>
      <c r="D280">
        <v>89.25</v>
      </c>
      <c r="E280" s="208">
        <v>45748</v>
      </c>
      <c r="G280" t="s">
        <v>5314</v>
      </c>
    </row>
    <row r="281" spans="1:7">
      <c r="A281" t="s">
        <v>5354</v>
      </c>
      <c r="B281" t="s">
        <v>5355</v>
      </c>
      <c r="C281" t="s">
        <v>4771</v>
      </c>
      <c r="D281">
        <v>67.400000000000006</v>
      </c>
      <c r="E281" s="208">
        <v>45748</v>
      </c>
      <c r="G281" t="s">
        <v>5314</v>
      </c>
    </row>
    <row r="282" spans="1:7">
      <c r="A282" t="s">
        <v>5356</v>
      </c>
      <c r="B282" t="s">
        <v>5357</v>
      </c>
      <c r="C282" t="s">
        <v>4771</v>
      </c>
      <c r="D282">
        <v>149.30000000000001</v>
      </c>
      <c r="E282" s="208">
        <v>45748</v>
      </c>
      <c r="G282" t="s">
        <v>5314</v>
      </c>
    </row>
    <row r="283" spans="1:7">
      <c r="A283" t="s">
        <v>5358</v>
      </c>
      <c r="B283" t="s">
        <v>5359</v>
      </c>
      <c r="C283" t="s">
        <v>4771</v>
      </c>
      <c r="D283">
        <v>94.84</v>
      </c>
      <c r="E283" s="208">
        <v>45748</v>
      </c>
      <c r="G283" t="s">
        <v>5314</v>
      </c>
    </row>
    <row r="284" spans="1:7">
      <c r="A284" t="s">
        <v>5360</v>
      </c>
      <c r="B284" t="s">
        <v>5361</v>
      </c>
      <c r="C284" t="s">
        <v>4771</v>
      </c>
      <c r="D284">
        <v>160.28</v>
      </c>
      <c r="E284" s="208">
        <v>45748</v>
      </c>
      <c r="G284" t="s">
        <v>5314</v>
      </c>
    </row>
    <row r="285" spans="1:7">
      <c r="A285" t="s">
        <v>5362</v>
      </c>
      <c r="B285" t="s">
        <v>5363</v>
      </c>
      <c r="C285" t="s">
        <v>4845</v>
      </c>
      <c r="D285">
        <v>89.04</v>
      </c>
      <c r="E285" s="208">
        <v>45748</v>
      </c>
      <c r="G285" t="s">
        <v>5314</v>
      </c>
    </row>
    <row r="286" spans="1:7">
      <c r="A286" t="s">
        <v>5364</v>
      </c>
      <c r="B286" t="s">
        <v>5365</v>
      </c>
      <c r="C286" t="s">
        <v>4771</v>
      </c>
      <c r="D286">
        <v>124.7</v>
      </c>
      <c r="E286" s="208">
        <v>45748</v>
      </c>
      <c r="G286" t="s">
        <v>5314</v>
      </c>
    </row>
    <row r="287" spans="1:7">
      <c r="A287" t="s">
        <v>5366</v>
      </c>
      <c r="B287" t="s">
        <v>5367</v>
      </c>
      <c r="C287" t="s">
        <v>4771</v>
      </c>
      <c r="D287">
        <v>85.25</v>
      </c>
      <c r="E287" s="208">
        <v>45748</v>
      </c>
      <c r="G287" t="s">
        <v>5314</v>
      </c>
    </row>
    <row r="288" spans="1:7">
      <c r="A288" t="s">
        <v>5368</v>
      </c>
      <c r="B288" t="s">
        <v>5369</v>
      </c>
      <c r="C288" t="s">
        <v>5344</v>
      </c>
      <c r="D288">
        <v>20.55</v>
      </c>
      <c r="E288" s="208">
        <v>45748</v>
      </c>
      <c r="G288" t="s">
        <v>5314</v>
      </c>
    </row>
    <row r="289" spans="1:7">
      <c r="A289" t="s">
        <v>5370</v>
      </c>
      <c r="B289" t="s">
        <v>5371</v>
      </c>
      <c r="C289" t="s">
        <v>5344</v>
      </c>
      <c r="D289">
        <v>8.44</v>
      </c>
      <c r="E289" s="208">
        <v>45748</v>
      </c>
      <c r="G289" t="s">
        <v>5311</v>
      </c>
    </row>
    <row r="290" spans="1:7">
      <c r="A290" t="s">
        <v>5372</v>
      </c>
      <c r="B290" t="s">
        <v>5373</v>
      </c>
      <c r="C290" t="s">
        <v>4771</v>
      </c>
      <c r="D290">
        <v>88.1</v>
      </c>
      <c r="E290" s="208">
        <v>45748</v>
      </c>
      <c r="G290" t="s">
        <v>5311</v>
      </c>
    </row>
    <row r="291" spans="1:7">
      <c r="A291" t="s">
        <v>5374</v>
      </c>
      <c r="B291" t="s">
        <v>5375</v>
      </c>
      <c r="C291" t="s">
        <v>4771</v>
      </c>
      <c r="D291">
        <v>430.04</v>
      </c>
      <c r="E291" s="208">
        <v>45748</v>
      </c>
      <c r="G291" t="s">
        <v>5376</v>
      </c>
    </row>
    <row r="292" spans="1:7">
      <c r="A292" t="s">
        <v>5377</v>
      </c>
      <c r="B292" t="s">
        <v>5378</v>
      </c>
      <c r="C292" t="s">
        <v>4771</v>
      </c>
      <c r="D292">
        <v>251.61</v>
      </c>
      <c r="E292" s="208">
        <v>45748</v>
      </c>
      <c r="G292" t="s">
        <v>5311</v>
      </c>
    </row>
    <row r="293" spans="1:7">
      <c r="A293" t="s">
        <v>5379</v>
      </c>
      <c r="B293" t="s">
        <v>5380</v>
      </c>
      <c r="C293" t="s">
        <v>4895</v>
      </c>
      <c r="D293">
        <v>128.58000000000001</v>
      </c>
      <c r="E293" s="208">
        <v>45748</v>
      </c>
      <c r="G293" t="s">
        <v>5311</v>
      </c>
    </row>
    <row r="294" spans="1:7">
      <c r="A294" t="s">
        <v>5379</v>
      </c>
      <c r="B294" t="s">
        <v>5380</v>
      </c>
      <c r="C294" t="s">
        <v>4895</v>
      </c>
      <c r="D294">
        <v>128.65</v>
      </c>
      <c r="E294" s="208">
        <v>45748</v>
      </c>
      <c r="G294" t="s">
        <v>5376</v>
      </c>
    </row>
    <row r="295" spans="1:7">
      <c r="A295" t="s">
        <v>5381</v>
      </c>
      <c r="B295" t="s">
        <v>5382</v>
      </c>
      <c r="C295" t="s">
        <v>4895</v>
      </c>
      <c r="D295">
        <v>193.55</v>
      </c>
      <c r="E295" s="208">
        <v>45748</v>
      </c>
      <c r="G295" t="s">
        <v>5376</v>
      </c>
    </row>
    <row r="296" spans="1:7">
      <c r="A296" t="s">
        <v>5383</v>
      </c>
      <c r="B296" t="s">
        <v>5384</v>
      </c>
      <c r="C296" t="s">
        <v>4895</v>
      </c>
      <c r="D296">
        <v>178.25</v>
      </c>
      <c r="E296" s="208">
        <v>45748</v>
      </c>
      <c r="G296" t="s">
        <v>5311</v>
      </c>
    </row>
    <row r="297" spans="1:7">
      <c r="A297" t="s">
        <v>5385</v>
      </c>
      <c r="B297" t="s">
        <v>5386</v>
      </c>
      <c r="C297" t="s">
        <v>4871</v>
      </c>
      <c r="D297">
        <v>9.65</v>
      </c>
      <c r="E297" s="208">
        <v>45748</v>
      </c>
      <c r="G297" t="s">
        <v>5311</v>
      </c>
    </row>
    <row r="298" spans="1:7">
      <c r="A298" t="s">
        <v>5387</v>
      </c>
      <c r="B298" t="s">
        <v>5388</v>
      </c>
      <c r="C298" t="s">
        <v>4771</v>
      </c>
      <c r="D298">
        <v>632.34</v>
      </c>
      <c r="E298" s="208">
        <v>45748</v>
      </c>
      <c r="G298" t="s">
        <v>5311</v>
      </c>
    </row>
    <row r="299" spans="1:7">
      <c r="A299" t="s">
        <v>5389</v>
      </c>
      <c r="B299" t="s">
        <v>5390</v>
      </c>
      <c r="C299" t="s">
        <v>4771</v>
      </c>
      <c r="D299">
        <v>421.93</v>
      </c>
      <c r="E299" s="208">
        <v>45748</v>
      </c>
      <c r="G299" t="s">
        <v>5311</v>
      </c>
    </row>
    <row r="300" spans="1:7">
      <c r="A300" t="s">
        <v>5391</v>
      </c>
      <c r="B300" t="s">
        <v>5392</v>
      </c>
      <c r="C300" t="s">
        <v>4845</v>
      </c>
      <c r="D300">
        <v>5.27</v>
      </c>
      <c r="E300" s="208">
        <v>45748</v>
      </c>
      <c r="G300" t="s">
        <v>5311</v>
      </c>
    </row>
    <row r="301" spans="1:7">
      <c r="A301" t="s">
        <v>5393</v>
      </c>
      <c r="B301" t="s">
        <v>5394</v>
      </c>
      <c r="C301" t="s">
        <v>5341</v>
      </c>
      <c r="D301">
        <v>367.4</v>
      </c>
      <c r="E301" s="208">
        <v>45748</v>
      </c>
      <c r="G301" t="s">
        <v>5376</v>
      </c>
    </row>
    <row r="302" spans="1:7">
      <c r="A302" t="s">
        <v>5395</v>
      </c>
      <c r="B302" t="s">
        <v>5396</v>
      </c>
      <c r="C302" t="s">
        <v>5397</v>
      </c>
      <c r="D302">
        <v>22.75</v>
      </c>
      <c r="E302" s="208">
        <v>45748</v>
      </c>
      <c r="G302" t="s">
        <v>5376</v>
      </c>
    </row>
    <row r="303" spans="1:7">
      <c r="A303" t="s">
        <v>5398</v>
      </c>
      <c r="B303" t="s">
        <v>5399</v>
      </c>
      <c r="C303" t="s">
        <v>5400</v>
      </c>
      <c r="D303">
        <v>33.25</v>
      </c>
      <c r="E303" s="208">
        <v>45748</v>
      </c>
      <c r="G303" t="s">
        <v>5376</v>
      </c>
    </row>
    <row r="304" spans="1:7">
      <c r="A304" t="s">
        <v>5401</v>
      </c>
      <c r="B304" t="s">
        <v>5402</v>
      </c>
      <c r="C304" t="s">
        <v>5403</v>
      </c>
      <c r="D304">
        <v>267.25</v>
      </c>
      <c r="E304" s="208">
        <v>45748</v>
      </c>
      <c r="G304" t="s">
        <v>5376</v>
      </c>
    </row>
    <row r="305" spans="1:7">
      <c r="A305" t="s">
        <v>5404</v>
      </c>
      <c r="B305" t="s">
        <v>5405</v>
      </c>
      <c r="C305" t="s">
        <v>4771</v>
      </c>
      <c r="D305">
        <v>420.6</v>
      </c>
      <c r="E305" s="208">
        <v>45748</v>
      </c>
      <c r="G305" t="s">
        <v>5376</v>
      </c>
    </row>
    <row r="306" spans="1:7">
      <c r="A306" t="s">
        <v>5406</v>
      </c>
      <c r="B306" t="s">
        <v>5407</v>
      </c>
      <c r="C306" t="s">
        <v>4771</v>
      </c>
      <c r="D306">
        <v>383.95</v>
      </c>
      <c r="E306" s="208">
        <v>45748</v>
      </c>
      <c r="G306" t="s">
        <v>5311</v>
      </c>
    </row>
    <row r="307" spans="1:7">
      <c r="A307" t="s">
        <v>5408</v>
      </c>
      <c r="B307" t="s">
        <v>5409</v>
      </c>
      <c r="C307" t="s">
        <v>5344</v>
      </c>
      <c r="D307">
        <v>0.99</v>
      </c>
      <c r="E307" s="208">
        <v>45748</v>
      </c>
      <c r="G307" t="s">
        <v>5376</v>
      </c>
    </row>
    <row r="308" spans="1:7">
      <c r="A308" t="s">
        <v>5410</v>
      </c>
      <c r="B308" t="s">
        <v>5411</v>
      </c>
      <c r="C308" t="s">
        <v>4771</v>
      </c>
      <c r="D308">
        <v>359.62</v>
      </c>
      <c r="E308" s="208">
        <v>45748</v>
      </c>
      <c r="G308" t="s">
        <v>5311</v>
      </c>
    </row>
    <row r="309" spans="1:7">
      <c r="A309" t="s">
        <v>5412</v>
      </c>
      <c r="B309" t="s">
        <v>5413</v>
      </c>
      <c r="C309" t="s">
        <v>4771</v>
      </c>
      <c r="D309">
        <v>551.04</v>
      </c>
      <c r="E309" s="208">
        <v>45748</v>
      </c>
      <c r="G309" t="s">
        <v>5311</v>
      </c>
    </row>
    <row r="310" spans="1:7">
      <c r="A310" t="s">
        <v>5414</v>
      </c>
      <c r="B310" t="s">
        <v>5415</v>
      </c>
      <c r="C310" t="s">
        <v>4845</v>
      </c>
      <c r="D310">
        <v>57.45</v>
      </c>
      <c r="E310" s="208">
        <v>45748</v>
      </c>
      <c r="G310" t="s">
        <v>5311</v>
      </c>
    </row>
    <row r="311" spans="1:7">
      <c r="A311" t="s">
        <v>5416</v>
      </c>
      <c r="B311" t="s">
        <v>5417</v>
      </c>
      <c r="C311" t="s">
        <v>4871</v>
      </c>
      <c r="D311">
        <v>9.73</v>
      </c>
      <c r="E311" s="208">
        <v>45748</v>
      </c>
      <c r="G311" t="s">
        <v>5376</v>
      </c>
    </row>
    <row r="312" spans="1:7">
      <c r="A312" t="s">
        <v>5418</v>
      </c>
      <c r="B312" t="s">
        <v>5419</v>
      </c>
      <c r="C312" t="s">
        <v>4771</v>
      </c>
      <c r="D312">
        <v>736.26</v>
      </c>
      <c r="E312" s="208">
        <v>45748</v>
      </c>
      <c r="G312" t="s">
        <v>5376</v>
      </c>
    </row>
    <row r="313" spans="1:7">
      <c r="A313" t="s">
        <v>5420</v>
      </c>
      <c r="B313" t="s">
        <v>5421</v>
      </c>
      <c r="C313" t="s">
        <v>5344</v>
      </c>
      <c r="D313">
        <v>43.5</v>
      </c>
      <c r="E313" s="208">
        <v>45748</v>
      </c>
      <c r="G313" t="s">
        <v>5376</v>
      </c>
    </row>
    <row r="314" spans="1:7">
      <c r="A314" t="s">
        <v>5422</v>
      </c>
      <c r="B314" t="s">
        <v>5423</v>
      </c>
      <c r="C314" t="s">
        <v>5347</v>
      </c>
      <c r="D314">
        <v>495.03</v>
      </c>
      <c r="E314" s="208">
        <v>45748</v>
      </c>
      <c r="G314" t="s">
        <v>5376</v>
      </c>
    </row>
    <row r="315" spans="1:7">
      <c r="A315" t="s">
        <v>5424</v>
      </c>
      <c r="B315" t="s">
        <v>5425</v>
      </c>
      <c r="C315" t="s">
        <v>4771</v>
      </c>
      <c r="D315">
        <v>421.52</v>
      </c>
      <c r="E315" s="208">
        <v>45748</v>
      </c>
      <c r="G315" t="s">
        <v>5311</v>
      </c>
    </row>
    <row r="316" spans="1:7">
      <c r="A316" t="s">
        <v>5426</v>
      </c>
      <c r="B316" t="s">
        <v>5427</v>
      </c>
      <c r="C316" t="s">
        <v>4771</v>
      </c>
      <c r="D316">
        <v>421.92</v>
      </c>
      <c r="E316" s="208">
        <v>45748</v>
      </c>
      <c r="G316" t="s">
        <v>5311</v>
      </c>
    </row>
    <row r="317" spans="1:7">
      <c r="A317" t="s">
        <v>5428</v>
      </c>
      <c r="B317" t="s">
        <v>5429</v>
      </c>
      <c r="C317" t="s">
        <v>5344</v>
      </c>
      <c r="D317">
        <v>13.83</v>
      </c>
      <c r="E317" s="208">
        <v>45748</v>
      </c>
      <c r="G317" t="s">
        <v>5376</v>
      </c>
    </row>
    <row r="318" spans="1:7">
      <c r="A318" t="s">
        <v>5430</v>
      </c>
      <c r="B318" t="s">
        <v>5431</v>
      </c>
      <c r="C318" t="s">
        <v>4871</v>
      </c>
      <c r="D318">
        <v>8.91</v>
      </c>
      <c r="E318" s="208">
        <v>45748</v>
      </c>
      <c r="G318" t="s">
        <v>5311</v>
      </c>
    </row>
    <row r="319" spans="1:7">
      <c r="A319" t="s">
        <v>5430</v>
      </c>
      <c r="B319" t="s">
        <v>5431</v>
      </c>
      <c r="C319" t="s">
        <v>4871</v>
      </c>
      <c r="D319">
        <v>8.91</v>
      </c>
      <c r="E319" s="208">
        <v>45748</v>
      </c>
      <c r="G319" t="s">
        <v>5376</v>
      </c>
    </row>
    <row r="320" spans="1:7">
      <c r="A320" t="s">
        <v>5432</v>
      </c>
      <c r="B320" t="s">
        <v>5433</v>
      </c>
      <c r="C320" t="s">
        <v>4771</v>
      </c>
      <c r="D320">
        <v>444.25</v>
      </c>
      <c r="E320" s="208">
        <v>45748</v>
      </c>
      <c r="G320" t="s">
        <v>5376</v>
      </c>
    </row>
    <row r="321" spans="1:7">
      <c r="A321" t="s">
        <v>5434</v>
      </c>
      <c r="B321" t="s">
        <v>5435</v>
      </c>
      <c r="C321" t="s">
        <v>5344</v>
      </c>
      <c r="D321">
        <v>850</v>
      </c>
      <c r="E321" s="208">
        <v>45748</v>
      </c>
      <c r="G321" t="s">
        <v>5311</v>
      </c>
    </row>
    <row r="322" spans="1:7">
      <c r="A322" t="s">
        <v>5436</v>
      </c>
      <c r="B322" t="s">
        <v>5437</v>
      </c>
      <c r="C322" t="s">
        <v>4771</v>
      </c>
      <c r="D322">
        <v>220.59</v>
      </c>
      <c r="E322" s="208">
        <v>45748</v>
      </c>
      <c r="G322" t="s">
        <v>5376</v>
      </c>
    </row>
    <row r="323" spans="1:7">
      <c r="A323" t="s">
        <v>5438</v>
      </c>
      <c r="B323" t="s">
        <v>5439</v>
      </c>
      <c r="C323" t="s">
        <v>4771</v>
      </c>
      <c r="D323">
        <v>900</v>
      </c>
      <c r="E323" s="208">
        <v>45748</v>
      </c>
      <c r="G323" t="s">
        <v>5376</v>
      </c>
    </row>
    <row r="324" spans="1:7">
      <c r="A324" t="s">
        <v>5440</v>
      </c>
      <c r="B324" t="s">
        <v>5441</v>
      </c>
      <c r="C324" t="s">
        <v>5442</v>
      </c>
      <c r="D324">
        <v>136.44999999999999</v>
      </c>
      <c r="E324" s="208">
        <v>45748</v>
      </c>
      <c r="G324" t="s">
        <v>5311</v>
      </c>
    </row>
    <row r="325" spans="1:7">
      <c r="A325" t="s">
        <v>5443</v>
      </c>
      <c r="B325" t="s">
        <v>5444</v>
      </c>
      <c r="C325" t="s">
        <v>5445</v>
      </c>
      <c r="D325">
        <v>135.05000000000001</v>
      </c>
      <c r="E325" s="208">
        <v>45748</v>
      </c>
      <c r="G325" t="s">
        <v>5446</v>
      </c>
    </row>
    <row r="326" spans="1:7">
      <c r="A326" t="s">
        <v>5447</v>
      </c>
      <c r="B326" t="s">
        <v>5448</v>
      </c>
      <c r="C326" t="s">
        <v>5445</v>
      </c>
      <c r="D326">
        <v>73.650000000000006</v>
      </c>
      <c r="E326" s="208">
        <v>45748</v>
      </c>
      <c r="G326" t="s">
        <v>5446</v>
      </c>
    </row>
    <row r="327" spans="1:7">
      <c r="A327" t="s">
        <v>5449</v>
      </c>
      <c r="B327" t="s">
        <v>5450</v>
      </c>
      <c r="C327" t="s">
        <v>5451</v>
      </c>
      <c r="D327">
        <v>535.75</v>
      </c>
      <c r="E327" s="208">
        <v>45748</v>
      </c>
      <c r="G327" t="s">
        <v>5446</v>
      </c>
    </row>
    <row r="328" spans="1:7">
      <c r="A328" t="s">
        <v>5452</v>
      </c>
      <c r="B328" t="s">
        <v>4820</v>
      </c>
      <c r="C328" t="s">
        <v>5451</v>
      </c>
      <c r="D328">
        <v>18.75</v>
      </c>
      <c r="E328" s="208">
        <v>45748</v>
      </c>
      <c r="G328" t="s">
        <v>5446</v>
      </c>
    </row>
    <row r="329" spans="1:7">
      <c r="A329" t="s">
        <v>5453</v>
      </c>
      <c r="B329" t="s">
        <v>5454</v>
      </c>
      <c r="C329" t="s">
        <v>5445</v>
      </c>
      <c r="D329">
        <v>119.6</v>
      </c>
      <c r="E329" s="208">
        <v>45748</v>
      </c>
      <c r="G329" t="s">
        <v>5446</v>
      </c>
    </row>
    <row r="330" spans="1:7">
      <c r="A330" t="s">
        <v>5455</v>
      </c>
      <c r="B330" t="s">
        <v>5456</v>
      </c>
      <c r="C330" t="s">
        <v>5445</v>
      </c>
      <c r="D330">
        <v>1076.0999999999999</v>
      </c>
      <c r="E330" s="208">
        <v>45748</v>
      </c>
      <c r="G330" t="s">
        <v>5446</v>
      </c>
    </row>
    <row r="331" spans="1:7">
      <c r="A331" t="s">
        <v>5457</v>
      </c>
      <c r="B331" t="s">
        <v>5458</v>
      </c>
      <c r="C331" t="s">
        <v>4967</v>
      </c>
      <c r="D331">
        <v>324.95</v>
      </c>
      <c r="E331" s="208">
        <v>45748</v>
      </c>
      <c r="G331" t="s">
        <v>5446</v>
      </c>
    </row>
    <row r="332" spans="1:7">
      <c r="A332" t="s">
        <v>5459</v>
      </c>
      <c r="B332" t="s">
        <v>5460</v>
      </c>
      <c r="C332" t="s">
        <v>4967</v>
      </c>
      <c r="D332">
        <v>286.75</v>
      </c>
      <c r="E332" s="208">
        <v>45748</v>
      </c>
      <c r="G332" t="s">
        <v>5446</v>
      </c>
    </row>
    <row r="333" spans="1:7">
      <c r="A333" t="s">
        <v>5461</v>
      </c>
      <c r="B333" t="s">
        <v>5462</v>
      </c>
      <c r="C333" t="s">
        <v>5445</v>
      </c>
      <c r="D333">
        <v>98</v>
      </c>
      <c r="E333" s="208">
        <v>45748</v>
      </c>
      <c r="G333" t="s">
        <v>5446</v>
      </c>
    </row>
    <row r="334" spans="1:7">
      <c r="A334" t="s">
        <v>5463</v>
      </c>
      <c r="B334" t="s">
        <v>5464</v>
      </c>
      <c r="C334" t="s">
        <v>5445</v>
      </c>
      <c r="D334">
        <v>140.30000000000001</v>
      </c>
      <c r="E334" s="208">
        <v>45748</v>
      </c>
      <c r="G334" t="s">
        <v>5446</v>
      </c>
    </row>
    <row r="335" spans="1:7">
      <c r="A335" t="s">
        <v>5465</v>
      </c>
      <c r="B335" t="s">
        <v>5466</v>
      </c>
      <c r="C335" t="s">
        <v>5467</v>
      </c>
      <c r="D335">
        <v>58</v>
      </c>
      <c r="E335" s="208">
        <v>45748</v>
      </c>
      <c r="G335" t="s">
        <v>5446</v>
      </c>
    </row>
    <row r="336" spans="1:7">
      <c r="A336" t="s">
        <v>5468</v>
      </c>
      <c r="B336" t="s">
        <v>5469</v>
      </c>
      <c r="C336" t="s">
        <v>4967</v>
      </c>
      <c r="D336">
        <v>556.04999999999995</v>
      </c>
      <c r="E336" s="208">
        <v>45748</v>
      </c>
      <c r="G336" t="s">
        <v>5446</v>
      </c>
    </row>
    <row r="337" spans="1:7">
      <c r="A337" t="s">
        <v>5470</v>
      </c>
      <c r="B337" t="s">
        <v>5471</v>
      </c>
      <c r="C337" t="s">
        <v>4967</v>
      </c>
      <c r="D337">
        <v>556.04999999999995</v>
      </c>
      <c r="E337" s="208">
        <v>45748</v>
      </c>
      <c r="G337" t="s">
        <v>5446</v>
      </c>
    </row>
    <row r="338" spans="1:7">
      <c r="A338" t="s">
        <v>5472</v>
      </c>
      <c r="B338" t="s">
        <v>5473</v>
      </c>
      <c r="C338" t="s">
        <v>4967</v>
      </c>
      <c r="D338">
        <v>471.15</v>
      </c>
      <c r="E338" s="208">
        <v>45748</v>
      </c>
      <c r="G338" t="s">
        <v>5446</v>
      </c>
    </row>
    <row r="339" spans="1:7">
      <c r="A339" t="s">
        <v>5474</v>
      </c>
      <c r="B339" t="s">
        <v>5475</v>
      </c>
      <c r="C339" t="s">
        <v>4967</v>
      </c>
      <c r="D339">
        <v>657.6</v>
      </c>
      <c r="E339" s="208">
        <v>45748</v>
      </c>
      <c r="G339" t="s">
        <v>5446</v>
      </c>
    </row>
    <row r="340" spans="1:7">
      <c r="A340" t="s">
        <v>5476</v>
      </c>
      <c r="B340" t="s">
        <v>4941</v>
      </c>
      <c r="C340" t="s">
        <v>5445</v>
      </c>
      <c r="D340">
        <v>134.94999999999999</v>
      </c>
      <c r="E340" s="208">
        <v>45748</v>
      </c>
      <c r="G340" t="s">
        <v>5446</v>
      </c>
    </row>
    <row r="341" spans="1:7">
      <c r="A341" t="s">
        <v>5477</v>
      </c>
      <c r="B341" t="s">
        <v>5478</v>
      </c>
      <c r="C341" t="s">
        <v>4967</v>
      </c>
      <c r="D341">
        <v>492</v>
      </c>
      <c r="E341" s="208">
        <v>45748</v>
      </c>
      <c r="G341" t="s">
        <v>5446</v>
      </c>
    </row>
    <row r="342" spans="1:7">
      <c r="A342" t="s">
        <v>5479</v>
      </c>
      <c r="B342" t="s">
        <v>5480</v>
      </c>
      <c r="C342" t="s">
        <v>4967</v>
      </c>
      <c r="D342">
        <v>109.45</v>
      </c>
      <c r="E342" s="208">
        <v>45748</v>
      </c>
      <c r="G342" t="s">
        <v>5446</v>
      </c>
    </row>
    <row r="343" spans="1:7">
      <c r="A343" t="s">
        <v>5481</v>
      </c>
      <c r="B343" t="s">
        <v>5482</v>
      </c>
      <c r="C343" t="s">
        <v>4967</v>
      </c>
      <c r="D343">
        <v>125.05</v>
      </c>
      <c r="E343" s="208">
        <v>45748</v>
      </c>
      <c r="G343" t="s">
        <v>5446</v>
      </c>
    </row>
    <row r="344" spans="1:7">
      <c r="A344" t="s">
        <v>5483</v>
      </c>
      <c r="B344" t="s">
        <v>5484</v>
      </c>
      <c r="C344" t="s">
        <v>5445</v>
      </c>
      <c r="D344">
        <v>139.9</v>
      </c>
      <c r="E344" s="208">
        <v>45748</v>
      </c>
      <c r="G344" t="s">
        <v>5446</v>
      </c>
    </row>
    <row r="345" spans="1:7">
      <c r="A345" t="s">
        <v>5485</v>
      </c>
      <c r="B345" t="s">
        <v>5486</v>
      </c>
      <c r="C345" t="s">
        <v>4967</v>
      </c>
      <c r="D345">
        <v>160</v>
      </c>
      <c r="E345" s="208">
        <v>45748</v>
      </c>
      <c r="G345" t="s">
        <v>5446</v>
      </c>
    </row>
    <row r="346" spans="1:7">
      <c r="A346" t="s">
        <v>5487</v>
      </c>
      <c r="B346" t="s">
        <v>5488</v>
      </c>
      <c r="C346" t="s">
        <v>5341</v>
      </c>
      <c r="D346">
        <v>16.350000000000001</v>
      </c>
      <c r="E346" s="208">
        <v>45748</v>
      </c>
      <c r="G346" t="s">
        <v>5446</v>
      </c>
    </row>
    <row r="347" spans="1:7">
      <c r="A347" t="s">
        <v>5489</v>
      </c>
      <c r="B347" t="s">
        <v>5490</v>
      </c>
      <c r="C347" t="s">
        <v>5445</v>
      </c>
      <c r="D347">
        <v>127.25</v>
      </c>
      <c r="E347" s="208">
        <v>45748</v>
      </c>
      <c r="G347" t="s">
        <v>5446</v>
      </c>
    </row>
    <row r="348" spans="1:7">
      <c r="A348" t="s">
        <v>5491</v>
      </c>
      <c r="B348" t="s">
        <v>5492</v>
      </c>
      <c r="C348" t="s">
        <v>5341</v>
      </c>
      <c r="D348">
        <v>29.15</v>
      </c>
      <c r="E348" s="208">
        <v>45748</v>
      </c>
      <c r="G348" t="s">
        <v>5446</v>
      </c>
    </row>
    <row r="349" spans="1:7">
      <c r="A349" t="s">
        <v>5493</v>
      </c>
      <c r="B349" t="s">
        <v>5494</v>
      </c>
      <c r="C349" t="s">
        <v>5341</v>
      </c>
      <c r="D349">
        <v>21.85</v>
      </c>
      <c r="E349" s="208">
        <v>45748</v>
      </c>
      <c r="G349" t="s">
        <v>5446</v>
      </c>
    </row>
    <row r="350" spans="1:7">
      <c r="A350" t="s">
        <v>5495</v>
      </c>
      <c r="B350" t="s">
        <v>5496</v>
      </c>
      <c r="C350" t="s">
        <v>5341</v>
      </c>
      <c r="D350">
        <v>43.7</v>
      </c>
      <c r="E350" s="208">
        <v>45748</v>
      </c>
      <c r="G350" t="s">
        <v>5446</v>
      </c>
    </row>
    <row r="351" spans="1:7">
      <c r="A351" t="s">
        <v>5497</v>
      </c>
      <c r="B351" t="s">
        <v>5498</v>
      </c>
      <c r="C351" t="s">
        <v>5341</v>
      </c>
      <c r="D351">
        <v>58.4</v>
      </c>
      <c r="E351" s="208">
        <v>45748</v>
      </c>
      <c r="G351" t="s">
        <v>5446</v>
      </c>
    </row>
    <row r="352" spans="1:7">
      <c r="A352" t="s">
        <v>5499</v>
      </c>
      <c r="B352" t="s">
        <v>5500</v>
      </c>
      <c r="C352" t="s">
        <v>5445</v>
      </c>
      <c r="D352">
        <v>149.85</v>
      </c>
      <c r="E352" s="208">
        <v>45748</v>
      </c>
      <c r="G352" t="s">
        <v>5446</v>
      </c>
    </row>
    <row r="353" spans="1:7">
      <c r="A353" t="s">
        <v>5501</v>
      </c>
      <c r="B353" t="s">
        <v>5502</v>
      </c>
      <c r="C353" t="s">
        <v>5445</v>
      </c>
      <c r="D353">
        <v>90.25</v>
      </c>
      <c r="E353" s="208">
        <v>45748</v>
      </c>
      <c r="G353" t="s">
        <v>5446</v>
      </c>
    </row>
    <row r="354" spans="1:7">
      <c r="A354" t="s">
        <v>5503</v>
      </c>
      <c r="B354" t="s">
        <v>5504</v>
      </c>
      <c r="C354" t="s">
        <v>5445</v>
      </c>
      <c r="D354">
        <v>215.7</v>
      </c>
      <c r="E354" s="208">
        <v>45748</v>
      </c>
      <c r="G354" t="s">
        <v>5446</v>
      </c>
    </row>
    <row r="355" spans="1:7">
      <c r="A355" t="s">
        <v>5505</v>
      </c>
      <c r="B355" t="s">
        <v>5506</v>
      </c>
      <c r="C355" t="s">
        <v>5445</v>
      </c>
      <c r="D355">
        <v>242.6</v>
      </c>
      <c r="E355" s="208">
        <v>45748</v>
      </c>
      <c r="G355" t="s">
        <v>5446</v>
      </c>
    </row>
    <row r="356" spans="1:7">
      <c r="A356" t="s">
        <v>5507</v>
      </c>
      <c r="B356" t="s">
        <v>5508</v>
      </c>
      <c r="C356" t="s">
        <v>5445</v>
      </c>
      <c r="D356">
        <v>514.85</v>
      </c>
      <c r="E356" s="208">
        <v>45748</v>
      </c>
      <c r="G356" t="s">
        <v>5446</v>
      </c>
    </row>
    <row r="357" spans="1:7">
      <c r="A357" t="s">
        <v>5509</v>
      </c>
      <c r="B357" t="s">
        <v>5510</v>
      </c>
      <c r="C357" t="s">
        <v>5445</v>
      </c>
      <c r="D357">
        <v>73.650000000000006</v>
      </c>
      <c r="E357" s="208">
        <v>45748</v>
      </c>
      <c r="G357" t="s">
        <v>5446</v>
      </c>
    </row>
    <row r="358" spans="1:7">
      <c r="A358" t="s">
        <v>5511</v>
      </c>
      <c r="B358" t="s">
        <v>5512</v>
      </c>
      <c r="C358" t="s">
        <v>5445</v>
      </c>
      <c r="D358">
        <v>67.7</v>
      </c>
      <c r="E358" s="208">
        <v>45748</v>
      </c>
      <c r="G358" t="s">
        <v>5446</v>
      </c>
    </row>
    <row r="359" spans="1:7">
      <c r="A359" t="s">
        <v>4622</v>
      </c>
      <c r="B359" t="s">
        <v>5513</v>
      </c>
      <c r="C359" t="s">
        <v>5341</v>
      </c>
      <c r="D359">
        <v>21.95</v>
      </c>
      <c r="E359" s="208">
        <v>45748</v>
      </c>
      <c r="G359" t="s">
        <v>5446</v>
      </c>
    </row>
    <row r="360" spans="1:7">
      <c r="A360" t="s">
        <v>4566</v>
      </c>
      <c r="B360" t="s">
        <v>5514</v>
      </c>
      <c r="C360" t="s">
        <v>5341</v>
      </c>
      <c r="D360">
        <v>53.25</v>
      </c>
      <c r="E360" s="208">
        <v>45748</v>
      </c>
      <c r="G360" t="s">
        <v>5446</v>
      </c>
    </row>
    <row r="361" spans="1:7">
      <c r="A361" t="s">
        <v>4604</v>
      </c>
      <c r="B361" t="s">
        <v>5515</v>
      </c>
      <c r="C361" t="s">
        <v>5341</v>
      </c>
      <c r="D361">
        <v>63.55</v>
      </c>
      <c r="E361" s="208">
        <v>45748</v>
      </c>
      <c r="G361" t="s">
        <v>5446</v>
      </c>
    </row>
    <row r="362" spans="1:7">
      <c r="A362" t="s">
        <v>4546</v>
      </c>
      <c r="B362" t="s">
        <v>5516</v>
      </c>
      <c r="C362" t="s">
        <v>5341</v>
      </c>
      <c r="D362">
        <v>53.25</v>
      </c>
      <c r="E362" s="208">
        <v>45748</v>
      </c>
      <c r="G362" t="s">
        <v>5446</v>
      </c>
    </row>
    <row r="363" spans="1:7">
      <c r="A363" t="s">
        <v>5517</v>
      </c>
      <c r="B363" t="s">
        <v>5518</v>
      </c>
      <c r="C363" t="s">
        <v>5341</v>
      </c>
      <c r="D363">
        <v>63.55</v>
      </c>
      <c r="E363" s="208">
        <v>45748</v>
      </c>
      <c r="G363" t="s">
        <v>5446</v>
      </c>
    </row>
    <row r="364" spans="1:7">
      <c r="A364" t="s">
        <v>5519</v>
      </c>
      <c r="B364" t="s">
        <v>5520</v>
      </c>
      <c r="C364" t="s">
        <v>5341</v>
      </c>
      <c r="D364">
        <v>33.5</v>
      </c>
      <c r="E364" s="208">
        <v>45748</v>
      </c>
      <c r="G364" t="s">
        <v>5446</v>
      </c>
    </row>
    <row r="365" spans="1:7">
      <c r="A365" t="s">
        <v>5521</v>
      </c>
      <c r="B365" t="s">
        <v>5522</v>
      </c>
      <c r="C365" t="s">
        <v>5451</v>
      </c>
      <c r="D365">
        <v>50.85</v>
      </c>
      <c r="E365" s="208">
        <v>45748</v>
      </c>
      <c r="G365" t="s">
        <v>5446</v>
      </c>
    </row>
    <row r="366" spans="1:7">
      <c r="A366" t="s">
        <v>5523</v>
      </c>
      <c r="B366" t="s">
        <v>5524</v>
      </c>
      <c r="C366" t="s">
        <v>5341</v>
      </c>
      <c r="D366">
        <v>29.4</v>
      </c>
      <c r="E366" s="208">
        <v>45748</v>
      </c>
      <c r="G366" t="s">
        <v>5446</v>
      </c>
    </row>
    <row r="367" spans="1:7">
      <c r="A367" t="s">
        <v>5525</v>
      </c>
      <c r="B367" t="s">
        <v>5526</v>
      </c>
      <c r="C367" t="s">
        <v>5341</v>
      </c>
      <c r="D367">
        <v>9.65</v>
      </c>
      <c r="E367" s="208">
        <v>45748</v>
      </c>
      <c r="G367" t="s">
        <v>5446</v>
      </c>
    </row>
    <row r="368" spans="1:7">
      <c r="A368" t="s">
        <v>4515</v>
      </c>
      <c r="B368" t="s">
        <v>5527</v>
      </c>
      <c r="C368" t="s">
        <v>5341</v>
      </c>
      <c r="D368">
        <v>29</v>
      </c>
      <c r="E368" s="208">
        <v>45748</v>
      </c>
      <c r="G368" t="s">
        <v>5528</v>
      </c>
    </row>
    <row r="369" spans="1:7">
      <c r="A369" t="s">
        <v>4490</v>
      </c>
      <c r="B369" t="s">
        <v>5529</v>
      </c>
      <c r="C369" t="s">
        <v>5341</v>
      </c>
      <c r="D369">
        <v>29.75</v>
      </c>
      <c r="E369" s="208">
        <v>45748</v>
      </c>
      <c r="G369" t="s">
        <v>5528</v>
      </c>
    </row>
    <row r="370" spans="1:7">
      <c r="A370" t="s">
        <v>4542</v>
      </c>
      <c r="B370" t="s">
        <v>5530</v>
      </c>
      <c r="C370" t="s">
        <v>5341</v>
      </c>
      <c r="D370">
        <v>31</v>
      </c>
      <c r="E370" s="208">
        <v>45748</v>
      </c>
      <c r="G370" t="s">
        <v>5528</v>
      </c>
    </row>
    <row r="371" spans="1:7">
      <c r="A371" t="s">
        <v>4564</v>
      </c>
      <c r="B371" t="s">
        <v>5531</v>
      </c>
      <c r="C371" t="s">
        <v>5341</v>
      </c>
      <c r="D371">
        <v>34</v>
      </c>
      <c r="E371" s="208">
        <v>45748</v>
      </c>
      <c r="G371" t="s">
        <v>5528</v>
      </c>
    </row>
    <row r="372" spans="1:7">
      <c r="A372" t="s">
        <v>4517</v>
      </c>
      <c r="B372" t="s">
        <v>5532</v>
      </c>
      <c r="C372" t="s">
        <v>5341</v>
      </c>
      <c r="D372">
        <v>29</v>
      </c>
      <c r="E372" s="208">
        <v>45748</v>
      </c>
      <c r="G372" t="s">
        <v>5528</v>
      </c>
    </row>
    <row r="373" spans="1:7">
      <c r="A373" t="s">
        <v>4491</v>
      </c>
      <c r="B373" t="s">
        <v>5533</v>
      </c>
      <c r="C373" t="s">
        <v>5341</v>
      </c>
      <c r="D373">
        <v>34.200000000000003</v>
      </c>
      <c r="E373" s="208">
        <v>45748</v>
      </c>
      <c r="G373" t="s">
        <v>5528</v>
      </c>
    </row>
    <row r="374" spans="1:7">
      <c r="A374" t="s">
        <v>4544</v>
      </c>
      <c r="B374" t="s">
        <v>5534</v>
      </c>
      <c r="C374" t="s">
        <v>5341</v>
      </c>
      <c r="D374">
        <v>37.4</v>
      </c>
      <c r="E374" s="208">
        <v>45748</v>
      </c>
      <c r="G374" t="s">
        <v>5528</v>
      </c>
    </row>
    <row r="375" spans="1:7">
      <c r="A375" t="s">
        <v>5535</v>
      </c>
      <c r="B375" t="s">
        <v>5536</v>
      </c>
      <c r="C375" t="s">
        <v>4771</v>
      </c>
      <c r="D375">
        <v>15.45</v>
      </c>
      <c r="E375" s="208">
        <v>45748</v>
      </c>
      <c r="G375" t="s">
        <v>5528</v>
      </c>
    </row>
    <row r="376" spans="1:7">
      <c r="A376" t="s">
        <v>5537</v>
      </c>
      <c r="B376" t="s">
        <v>5538</v>
      </c>
      <c r="C376" t="s">
        <v>5539</v>
      </c>
      <c r="D376">
        <v>790</v>
      </c>
      <c r="E376" s="208">
        <v>45748</v>
      </c>
      <c r="G376" t="s">
        <v>5528</v>
      </c>
    </row>
    <row r="377" spans="1:7">
      <c r="A377" t="s">
        <v>5540</v>
      </c>
      <c r="B377" t="s">
        <v>5541</v>
      </c>
      <c r="C377" t="s">
        <v>5341</v>
      </c>
      <c r="D377">
        <v>22.08</v>
      </c>
      <c r="E377" s="208">
        <v>45748</v>
      </c>
      <c r="G377" t="s">
        <v>5528</v>
      </c>
    </row>
    <row r="378" spans="1:7">
      <c r="A378" t="s">
        <v>5542</v>
      </c>
      <c r="B378" t="s">
        <v>5543</v>
      </c>
      <c r="C378" t="s">
        <v>4771</v>
      </c>
      <c r="D378">
        <v>268.45</v>
      </c>
      <c r="E378" s="208">
        <v>45748</v>
      </c>
      <c r="G378" t="s">
        <v>5528</v>
      </c>
    </row>
    <row r="379" spans="1:7">
      <c r="A379" t="s">
        <v>5544</v>
      </c>
      <c r="B379" t="s">
        <v>5545</v>
      </c>
      <c r="C379" t="s">
        <v>5341</v>
      </c>
      <c r="D379">
        <v>24.96</v>
      </c>
      <c r="E379" s="208">
        <v>45748</v>
      </c>
      <c r="G379" t="s">
        <v>5528</v>
      </c>
    </row>
    <row r="380" spans="1:7">
      <c r="A380" t="s">
        <v>5546</v>
      </c>
      <c r="B380" t="s">
        <v>5547</v>
      </c>
      <c r="C380" t="s">
        <v>4771</v>
      </c>
      <c r="D380">
        <v>398.7</v>
      </c>
      <c r="E380" s="208">
        <v>45748</v>
      </c>
      <c r="G380" t="s">
        <v>5528</v>
      </c>
    </row>
    <row r="381" spans="1:7">
      <c r="A381" t="s">
        <v>4520</v>
      </c>
      <c r="B381" t="s">
        <v>5548</v>
      </c>
      <c r="C381" t="s">
        <v>4775</v>
      </c>
      <c r="D381">
        <v>64</v>
      </c>
      <c r="E381" s="208">
        <v>45748</v>
      </c>
      <c r="G381" t="s">
        <v>5528</v>
      </c>
    </row>
    <row r="382" spans="1:7">
      <c r="A382" t="s">
        <v>5549</v>
      </c>
      <c r="B382" t="s">
        <v>5550</v>
      </c>
      <c r="C382" t="s">
        <v>5551</v>
      </c>
      <c r="D382">
        <v>90.8</v>
      </c>
      <c r="E382" s="208">
        <v>45748</v>
      </c>
      <c r="G382" t="s">
        <v>5528</v>
      </c>
    </row>
    <row r="383" spans="1:7">
      <c r="A383" t="s">
        <v>5552</v>
      </c>
      <c r="B383" t="s">
        <v>5553</v>
      </c>
      <c r="C383" t="s">
        <v>5341</v>
      </c>
      <c r="D383">
        <v>18.399999999999999</v>
      </c>
      <c r="E383" s="208">
        <v>45748</v>
      </c>
      <c r="G383" t="s">
        <v>5528</v>
      </c>
    </row>
    <row r="384" spans="1:7">
      <c r="A384" t="s">
        <v>4567</v>
      </c>
      <c r="B384" t="s">
        <v>5554</v>
      </c>
      <c r="C384" t="s">
        <v>5341</v>
      </c>
      <c r="D384">
        <v>8.9499999999999993</v>
      </c>
      <c r="E384" s="208">
        <v>45748</v>
      </c>
      <c r="G384" t="s">
        <v>5528</v>
      </c>
    </row>
    <row r="385" spans="1:7">
      <c r="A385" t="s">
        <v>4495</v>
      </c>
      <c r="B385" t="s">
        <v>5555</v>
      </c>
      <c r="C385" t="s">
        <v>5341</v>
      </c>
      <c r="D385">
        <v>18.399999999999999</v>
      </c>
      <c r="E385" s="208">
        <v>45748</v>
      </c>
      <c r="G385" t="s">
        <v>5528</v>
      </c>
    </row>
    <row r="386" spans="1:7">
      <c r="A386" t="s">
        <v>4548</v>
      </c>
      <c r="B386" t="s">
        <v>5556</v>
      </c>
      <c r="C386" t="s">
        <v>4775</v>
      </c>
      <c r="D386">
        <v>76.5</v>
      </c>
      <c r="E386" s="208">
        <v>45748</v>
      </c>
      <c r="G386" t="s">
        <v>5528</v>
      </c>
    </row>
    <row r="387" spans="1:7">
      <c r="A387" t="s">
        <v>5557</v>
      </c>
      <c r="B387" t="s">
        <v>5558</v>
      </c>
      <c r="C387" t="s">
        <v>4838</v>
      </c>
      <c r="D387">
        <v>9.8000000000000007</v>
      </c>
      <c r="E387" s="208">
        <v>45748</v>
      </c>
      <c r="G387" t="s">
        <v>5528</v>
      </c>
    </row>
    <row r="388" spans="1:7">
      <c r="A388" t="s">
        <v>5559</v>
      </c>
      <c r="B388" t="s">
        <v>5560</v>
      </c>
      <c r="C388" t="s">
        <v>5341</v>
      </c>
      <c r="D388">
        <v>14.45</v>
      </c>
      <c r="E388" s="208">
        <v>45748</v>
      </c>
      <c r="G388" t="s">
        <v>5528</v>
      </c>
    </row>
    <row r="389" spans="1:7">
      <c r="A389" t="s">
        <v>5561</v>
      </c>
      <c r="B389" t="s">
        <v>5562</v>
      </c>
      <c r="C389" t="s">
        <v>5341</v>
      </c>
      <c r="D389">
        <v>19.600000000000001</v>
      </c>
      <c r="E389" s="208">
        <v>45748</v>
      </c>
      <c r="G389" t="s">
        <v>5528</v>
      </c>
    </row>
    <row r="390" spans="1:7">
      <c r="A390" t="s">
        <v>4522</v>
      </c>
      <c r="B390" t="s">
        <v>5563</v>
      </c>
      <c r="C390" t="s">
        <v>5341</v>
      </c>
      <c r="D390">
        <v>20.7</v>
      </c>
      <c r="E390" s="208">
        <v>45748</v>
      </c>
      <c r="G390" t="s">
        <v>5528</v>
      </c>
    </row>
    <row r="391" spans="1:7">
      <c r="A391" t="s">
        <v>5564</v>
      </c>
      <c r="B391" t="s">
        <v>5565</v>
      </c>
      <c r="C391" t="s">
        <v>5341</v>
      </c>
      <c r="D391">
        <v>40.700000000000003</v>
      </c>
      <c r="E391" s="208">
        <v>45748</v>
      </c>
      <c r="G391" t="s">
        <v>5528</v>
      </c>
    </row>
    <row r="392" spans="1:7">
      <c r="A392" t="s">
        <v>5566</v>
      </c>
      <c r="B392" t="s">
        <v>5567</v>
      </c>
      <c r="C392" t="s">
        <v>4771</v>
      </c>
      <c r="D392">
        <v>26.5</v>
      </c>
      <c r="E392" s="208">
        <v>45748</v>
      </c>
      <c r="G392" t="s">
        <v>5528</v>
      </c>
    </row>
    <row r="393" spans="1:7">
      <c r="A393" t="s">
        <v>5568</v>
      </c>
      <c r="B393" t="s">
        <v>5569</v>
      </c>
      <c r="C393" t="s">
        <v>4771</v>
      </c>
      <c r="D393">
        <v>38.5</v>
      </c>
      <c r="E393" s="208">
        <v>45748</v>
      </c>
      <c r="G393" t="s">
        <v>5528</v>
      </c>
    </row>
    <row r="394" spans="1:7">
      <c r="A394" t="s">
        <v>4550</v>
      </c>
      <c r="B394" t="s">
        <v>5570</v>
      </c>
      <c r="C394" t="s">
        <v>5341</v>
      </c>
      <c r="D394">
        <v>54.5</v>
      </c>
      <c r="E394" s="208">
        <v>45748</v>
      </c>
      <c r="G394" t="s">
        <v>5528</v>
      </c>
    </row>
    <row r="395" spans="1:7">
      <c r="A395" t="s">
        <v>5571</v>
      </c>
      <c r="B395" t="s">
        <v>5572</v>
      </c>
      <c r="C395" t="s">
        <v>4845</v>
      </c>
      <c r="D395">
        <v>3.8</v>
      </c>
      <c r="E395" s="208">
        <v>45748</v>
      </c>
      <c r="G395" t="s">
        <v>5528</v>
      </c>
    </row>
    <row r="396" spans="1:7">
      <c r="A396" t="s">
        <v>5573</v>
      </c>
      <c r="B396" t="s">
        <v>5574</v>
      </c>
      <c r="C396" t="s">
        <v>4845</v>
      </c>
      <c r="D396">
        <v>4.0999999999999996</v>
      </c>
      <c r="E396" s="208">
        <v>45748</v>
      </c>
      <c r="G396" t="s">
        <v>5528</v>
      </c>
    </row>
    <row r="397" spans="1:7">
      <c r="A397" t="s">
        <v>5575</v>
      </c>
      <c r="B397" t="s">
        <v>5576</v>
      </c>
      <c r="C397" t="s">
        <v>4845</v>
      </c>
      <c r="D397">
        <v>4.3</v>
      </c>
      <c r="E397" s="208">
        <v>45748</v>
      </c>
      <c r="G397" t="s">
        <v>5528</v>
      </c>
    </row>
    <row r="398" spans="1:7">
      <c r="A398" t="s">
        <v>5577</v>
      </c>
      <c r="B398" t="s">
        <v>5578</v>
      </c>
      <c r="C398" t="s">
        <v>4845</v>
      </c>
      <c r="D398">
        <v>4.5999999999999996</v>
      </c>
      <c r="E398" s="208">
        <v>45748</v>
      </c>
      <c r="G398" t="s">
        <v>5528</v>
      </c>
    </row>
    <row r="399" spans="1:7">
      <c r="A399" t="s">
        <v>5579</v>
      </c>
      <c r="B399" t="s">
        <v>5580</v>
      </c>
      <c r="C399" t="s">
        <v>4845</v>
      </c>
      <c r="D399">
        <v>4.8</v>
      </c>
      <c r="E399" s="208">
        <v>45748</v>
      </c>
      <c r="G399" t="s">
        <v>5528</v>
      </c>
    </row>
    <row r="400" spans="1:7">
      <c r="A400" t="s">
        <v>5581</v>
      </c>
      <c r="B400" t="s">
        <v>5582</v>
      </c>
      <c r="C400" t="s">
        <v>4845</v>
      </c>
      <c r="D400">
        <v>5.0999999999999996</v>
      </c>
      <c r="E400" s="208">
        <v>45748</v>
      </c>
      <c r="G400" t="s">
        <v>5528</v>
      </c>
    </row>
    <row r="401" spans="1:7">
      <c r="A401" t="s">
        <v>5583</v>
      </c>
      <c r="B401" t="s">
        <v>5584</v>
      </c>
      <c r="C401" t="s">
        <v>4845</v>
      </c>
      <c r="D401">
        <v>6.9</v>
      </c>
      <c r="E401" s="208">
        <v>45748</v>
      </c>
      <c r="G401" t="s">
        <v>5528</v>
      </c>
    </row>
    <row r="402" spans="1:7">
      <c r="A402" t="s">
        <v>5585</v>
      </c>
      <c r="B402" t="s">
        <v>5586</v>
      </c>
      <c r="C402" t="s">
        <v>4845</v>
      </c>
      <c r="D402">
        <v>6.9</v>
      </c>
      <c r="E402" s="208">
        <v>45748</v>
      </c>
      <c r="G402" t="s">
        <v>5528</v>
      </c>
    </row>
    <row r="403" spans="1:7">
      <c r="A403" t="s">
        <v>5587</v>
      </c>
      <c r="B403" t="s">
        <v>5588</v>
      </c>
      <c r="C403" t="s">
        <v>4845</v>
      </c>
      <c r="D403">
        <v>7.5</v>
      </c>
      <c r="E403" s="208">
        <v>45748</v>
      </c>
      <c r="G403" t="s">
        <v>5528</v>
      </c>
    </row>
    <row r="404" spans="1:7">
      <c r="A404" t="s">
        <v>5589</v>
      </c>
      <c r="B404" t="s">
        <v>5590</v>
      </c>
      <c r="C404" t="s">
        <v>4845</v>
      </c>
      <c r="D404">
        <v>7.5</v>
      </c>
      <c r="E404" s="208">
        <v>45748</v>
      </c>
      <c r="G404" t="s">
        <v>5528</v>
      </c>
    </row>
    <row r="405" spans="1:7">
      <c r="A405" t="s">
        <v>5591</v>
      </c>
      <c r="B405" t="s">
        <v>5592</v>
      </c>
      <c r="C405" t="s">
        <v>4845</v>
      </c>
      <c r="D405">
        <v>8.1999999999999993</v>
      </c>
      <c r="E405" s="208">
        <v>45748</v>
      </c>
      <c r="G405" t="s">
        <v>5528</v>
      </c>
    </row>
    <row r="406" spans="1:7">
      <c r="A406" t="s">
        <v>5593</v>
      </c>
      <c r="B406" t="s">
        <v>5594</v>
      </c>
      <c r="C406" t="s">
        <v>4845</v>
      </c>
      <c r="D406">
        <v>8.1999999999999993</v>
      </c>
      <c r="E406" s="208">
        <v>45748</v>
      </c>
      <c r="G406" t="s">
        <v>5528</v>
      </c>
    </row>
    <row r="407" spans="1:7">
      <c r="A407" t="s">
        <v>5595</v>
      </c>
      <c r="B407" t="s">
        <v>5596</v>
      </c>
      <c r="C407" t="s">
        <v>4845</v>
      </c>
      <c r="D407">
        <v>8.9</v>
      </c>
      <c r="E407" s="208">
        <v>45748</v>
      </c>
      <c r="G407" t="s">
        <v>5528</v>
      </c>
    </row>
    <row r="408" spans="1:7">
      <c r="A408" t="s">
        <v>5597</v>
      </c>
      <c r="B408" t="s">
        <v>5598</v>
      </c>
      <c r="C408" t="s">
        <v>4845</v>
      </c>
      <c r="D408">
        <v>8.9</v>
      </c>
      <c r="E408" s="208">
        <v>45748</v>
      </c>
      <c r="G408" t="s">
        <v>5528</v>
      </c>
    </row>
    <row r="409" spans="1:7">
      <c r="A409" t="s">
        <v>5599</v>
      </c>
      <c r="B409" t="s">
        <v>5600</v>
      </c>
      <c r="C409" t="s">
        <v>4845</v>
      </c>
      <c r="D409">
        <v>10.1</v>
      </c>
      <c r="E409" s="208">
        <v>45748</v>
      </c>
      <c r="G409" t="s">
        <v>5528</v>
      </c>
    </row>
    <row r="410" spans="1:7">
      <c r="A410" t="s">
        <v>5601</v>
      </c>
      <c r="B410" t="s">
        <v>5602</v>
      </c>
      <c r="C410" t="s">
        <v>4845</v>
      </c>
      <c r="D410">
        <v>10.1</v>
      </c>
      <c r="E410" s="208">
        <v>45748</v>
      </c>
      <c r="G410" t="s">
        <v>5528</v>
      </c>
    </row>
    <row r="411" spans="1:7">
      <c r="A411" t="s">
        <v>5603</v>
      </c>
      <c r="B411" t="s">
        <v>5604</v>
      </c>
      <c r="C411" t="s">
        <v>4845</v>
      </c>
      <c r="D411">
        <v>12</v>
      </c>
      <c r="E411" s="208">
        <v>45748</v>
      </c>
      <c r="G411" t="s">
        <v>5528</v>
      </c>
    </row>
    <row r="412" spans="1:7">
      <c r="A412" t="s">
        <v>5605</v>
      </c>
      <c r="B412" t="s">
        <v>5606</v>
      </c>
      <c r="C412" t="s">
        <v>4845</v>
      </c>
      <c r="D412">
        <v>12</v>
      </c>
      <c r="E412" s="208">
        <v>45748</v>
      </c>
      <c r="G412" t="s">
        <v>5528</v>
      </c>
    </row>
    <row r="413" spans="1:7">
      <c r="A413" t="s">
        <v>5607</v>
      </c>
      <c r="B413" t="s">
        <v>5608</v>
      </c>
      <c r="C413" t="s">
        <v>4845</v>
      </c>
      <c r="D413">
        <v>5.0999999999999996</v>
      </c>
      <c r="E413" s="208">
        <v>45748</v>
      </c>
      <c r="G413" t="s">
        <v>5528</v>
      </c>
    </row>
    <row r="414" spans="1:7">
      <c r="A414" t="s">
        <v>5609</v>
      </c>
      <c r="B414" t="s">
        <v>5610</v>
      </c>
      <c r="C414" t="s">
        <v>4845</v>
      </c>
      <c r="D414">
        <v>0.9</v>
      </c>
      <c r="E414" s="208">
        <v>45748</v>
      </c>
      <c r="G414" t="s">
        <v>5528</v>
      </c>
    </row>
    <row r="415" spans="1:7">
      <c r="A415" t="s">
        <v>5611</v>
      </c>
      <c r="B415" t="s">
        <v>5612</v>
      </c>
      <c r="C415" t="s">
        <v>4845</v>
      </c>
      <c r="D415">
        <v>0.9</v>
      </c>
      <c r="E415" s="208">
        <v>45748</v>
      </c>
      <c r="G415" t="s">
        <v>5528</v>
      </c>
    </row>
    <row r="416" spans="1:7">
      <c r="A416" t="s">
        <v>5613</v>
      </c>
      <c r="B416" t="s">
        <v>5614</v>
      </c>
      <c r="C416" t="s">
        <v>4845</v>
      </c>
      <c r="D416">
        <v>0.9</v>
      </c>
      <c r="E416" s="208">
        <v>45748</v>
      </c>
      <c r="G416" t="s">
        <v>5528</v>
      </c>
    </row>
    <row r="417" spans="1:7">
      <c r="A417" t="s">
        <v>5615</v>
      </c>
      <c r="B417" t="s">
        <v>5616</v>
      </c>
      <c r="C417" t="s">
        <v>4771</v>
      </c>
      <c r="D417">
        <v>250</v>
      </c>
      <c r="E417" s="208">
        <v>45748</v>
      </c>
      <c r="G417" t="s">
        <v>5528</v>
      </c>
    </row>
    <row r="418" spans="1:7">
      <c r="A418" t="s">
        <v>5617</v>
      </c>
      <c r="B418" t="s">
        <v>5618</v>
      </c>
      <c r="C418" t="s">
        <v>4771</v>
      </c>
      <c r="D418">
        <v>144</v>
      </c>
      <c r="E418" s="208">
        <v>45748</v>
      </c>
      <c r="G418" t="s">
        <v>5528</v>
      </c>
    </row>
    <row r="419" spans="1:7">
      <c r="A419" t="s">
        <v>5619</v>
      </c>
      <c r="B419" t="s">
        <v>5620</v>
      </c>
      <c r="C419" t="s">
        <v>4771</v>
      </c>
      <c r="D419">
        <v>230.7</v>
      </c>
      <c r="E419" s="208">
        <v>45748</v>
      </c>
      <c r="G419" t="s">
        <v>5528</v>
      </c>
    </row>
    <row r="420" spans="1:7">
      <c r="A420" t="s">
        <v>5621</v>
      </c>
      <c r="B420" t="s">
        <v>5622</v>
      </c>
      <c r="C420" t="s">
        <v>4771</v>
      </c>
      <c r="D420">
        <v>374</v>
      </c>
      <c r="E420" s="208">
        <v>45748</v>
      </c>
      <c r="G420" t="s">
        <v>5528</v>
      </c>
    </row>
    <row r="421" spans="1:7">
      <c r="A421" t="s">
        <v>5623</v>
      </c>
      <c r="B421" t="s">
        <v>5624</v>
      </c>
      <c r="C421" t="s">
        <v>4771</v>
      </c>
      <c r="D421">
        <v>124</v>
      </c>
      <c r="E421" s="208">
        <v>45748</v>
      </c>
      <c r="G421" t="s">
        <v>5528</v>
      </c>
    </row>
    <row r="422" spans="1:7">
      <c r="A422" t="s">
        <v>5625</v>
      </c>
      <c r="B422" t="s">
        <v>5626</v>
      </c>
      <c r="C422" t="s">
        <v>4771</v>
      </c>
      <c r="D422">
        <v>548</v>
      </c>
      <c r="E422" s="208">
        <v>45748</v>
      </c>
      <c r="G422" t="s">
        <v>5528</v>
      </c>
    </row>
    <row r="423" spans="1:7">
      <c r="A423" t="s">
        <v>4645</v>
      </c>
      <c r="B423" t="s">
        <v>5627</v>
      </c>
      <c r="C423" t="s">
        <v>4771</v>
      </c>
      <c r="D423">
        <v>114.65</v>
      </c>
      <c r="E423" s="208">
        <v>45748</v>
      </c>
      <c r="G423" t="s">
        <v>5528</v>
      </c>
    </row>
    <row r="424" spans="1:7">
      <c r="A424" t="s">
        <v>5628</v>
      </c>
      <c r="B424" t="s">
        <v>5629</v>
      </c>
      <c r="C424" t="s">
        <v>4771</v>
      </c>
      <c r="D424">
        <v>265</v>
      </c>
      <c r="E424" s="208">
        <v>45748</v>
      </c>
      <c r="G424" t="s">
        <v>5528</v>
      </c>
    </row>
    <row r="425" spans="1:7">
      <c r="A425" t="s">
        <v>5630</v>
      </c>
      <c r="B425" t="s">
        <v>5631</v>
      </c>
      <c r="C425" t="s">
        <v>4895</v>
      </c>
      <c r="D425">
        <v>288.60000000000002</v>
      </c>
      <c r="E425" s="208">
        <v>45748</v>
      </c>
      <c r="G425" t="s">
        <v>5528</v>
      </c>
    </row>
    <row r="426" spans="1:7">
      <c r="A426" t="s">
        <v>5632</v>
      </c>
      <c r="B426" t="s">
        <v>5633</v>
      </c>
      <c r="C426" t="s">
        <v>4845</v>
      </c>
      <c r="D426">
        <v>950</v>
      </c>
      <c r="E426" s="208">
        <v>45748</v>
      </c>
      <c r="G426" t="s">
        <v>5528</v>
      </c>
    </row>
    <row r="427" spans="1:7">
      <c r="A427" t="s">
        <v>5634</v>
      </c>
      <c r="B427" t="s">
        <v>5635</v>
      </c>
      <c r="C427" t="s">
        <v>4845</v>
      </c>
      <c r="D427">
        <v>384</v>
      </c>
      <c r="E427" s="208">
        <v>45748</v>
      </c>
      <c r="G427" t="s">
        <v>5528</v>
      </c>
    </row>
    <row r="428" spans="1:7">
      <c r="A428" t="s">
        <v>5636</v>
      </c>
      <c r="B428" t="s">
        <v>5637</v>
      </c>
      <c r="C428" t="s">
        <v>4771</v>
      </c>
      <c r="D428">
        <v>212</v>
      </c>
      <c r="E428" s="208">
        <v>45748</v>
      </c>
      <c r="G428" t="s">
        <v>5528</v>
      </c>
    </row>
    <row r="429" spans="1:7">
      <c r="A429" t="s">
        <v>5638</v>
      </c>
      <c r="B429" t="s">
        <v>5639</v>
      </c>
      <c r="C429" t="s">
        <v>5640</v>
      </c>
      <c r="D429">
        <v>0.74</v>
      </c>
      <c r="E429" s="208">
        <v>45748</v>
      </c>
      <c r="G429" t="s">
        <v>5528</v>
      </c>
    </row>
    <row r="430" spans="1:7">
      <c r="A430" t="s">
        <v>5641</v>
      </c>
      <c r="B430" t="s">
        <v>5642</v>
      </c>
      <c r="C430" t="s">
        <v>4771</v>
      </c>
      <c r="D430">
        <v>222</v>
      </c>
      <c r="E430" s="208">
        <v>45748</v>
      </c>
      <c r="G430" t="s">
        <v>5528</v>
      </c>
    </row>
    <row r="431" spans="1:7">
      <c r="A431" t="s">
        <v>5643</v>
      </c>
      <c r="B431" t="s">
        <v>5644</v>
      </c>
      <c r="C431" t="s">
        <v>4771</v>
      </c>
      <c r="D431">
        <v>138.5</v>
      </c>
      <c r="E431" s="208">
        <v>45748</v>
      </c>
      <c r="G431" t="s">
        <v>5528</v>
      </c>
    </row>
    <row r="432" spans="1:7">
      <c r="A432" t="s">
        <v>5645</v>
      </c>
      <c r="B432" t="s">
        <v>5646</v>
      </c>
      <c r="C432" t="s">
        <v>4771</v>
      </c>
      <c r="D432">
        <v>290.60000000000002</v>
      </c>
      <c r="E432" s="208">
        <v>45748</v>
      </c>
      <c r="G432" t="s">
        <v>5528</v>
      </c>
    </row>
    <row r="433" spans="1:7">
      <c r="A433" t="s">
        <v>5647</v>
      </c>
      <c r="B433" t="s">
        <v>5648</v>
      </c>
      <c r="C433" t="s">
        <v>4771</v>
      </c>
      <c r="D433">
        <v>418.2</v>
      </c>
      <c r="E433" s="208">
        <v>45748</v>
      </c>
      <c r="G433" t="s">
        <v>5528</v>
      </c>
    </row>
    <row r="434" spans="1:7">
      <c r="A434" t="s">
        <v>5649</v>
      </c>
      <c r="B434" t="s">
        <v>5650</v>
      </c>
      <c r="C434" t="s">
        <v>4771</v>
      </c>
      <c r="D434">
        <v>292</v>
      </c>
      <c r="E434" s="208">
        <v>45748</v>
      </c>
      <c r="G434" t="s">
        <v>5528</v>
      </c>
    </row>
    <row r="435" spans="1:7">
      <c r="A435" t="s">
        <v>5651</v>
      </c>
      <c r="B435" t="s">
        <v>5652</v>
      </c>
      <c r="C435" t="s">
        <v>4771</v>
      </c>
      <c r="D435">
        <v>312</v>
      </c>
      <c r="E435" s="208">
        <v>45748</v>
      </c>
      <c r="G435" t="s">
        <v>5528</v>
      </c>
    </row>
    <row r="436" spans="1:7">
      <c r="A436" t="s">
        <v>5653</v>
      </c>
      <c r="B436" t="s">
        <v>5654</v>
      </c>
      <c r="C436" t="s">
        <v>4771</v>
      </c>
      <c r="D436">
        <v>312</v>
      </c>
      <c r="E436" s="208">
        <v>45748</v>
      </c>
      <c r="G436" t="s">
        <v>5528</v>
      </c>
    </row>
    <row r="437" spans="1:7">
      <c r="A437" t="s">
        <v>5655</v>
      </c>
      <c r="B437" t="s">
        <v>5656</v>
      </c>
      <c r="C437" t="s">
        <v>4771</v>
      </c>
      <c r="D437">
        <v>324</v>
      </c>
      <c r="E437" s="208">
        <v>45748</v>
      </c>
      <c r="G437" t="s">
        <v>5528</v>
      </c>
    </row>
    <row r="438" spans="1:7">
      <c r="A438" t="s">
        <v>5657</v>
      </c>
      <c r="B438" t="s">
        <v>5658</v>
      </c>
      <c r="C438" t="s">
        <v>4771</v>
      </c>
      <c r="D438">
        <v>545</v>
      </c>
      <c r="E438" s="208">
        <v>45748</v>
      </c>
      <c r="G438" t="s">
        <v>5528</v>
      </c>
    </row>
    <row r="439" spans="1:7">
      <c r="A439" t="s">
        <v>5659</v>
      </c>
      <c r="B439" t="s">
        <v>5660</v>
      </c>
      <c r="C439" t="s">
        <v>4771</v>
      </c>
      <c r="D439">
        <v>194.65</v>
      </c>
      <c r="E439" s="208">
        <v>45748</v>
      </c>
      <c r="G439" t="s">
        <v>5528</v>
      </c>
    </row>
    <row r="440" spans="1:7">
      <c r="A440" t="s">
        <v>5661</v>
      </c>
      <c r="B440" t="s">
        <v>5662</v>
      </c>
      <c r="C440" t="s">
        <v>4895</v>
      </c>
      <c r="D440">
        <v>178</v>
      </c>
      <c r="E440" s="208">
        <v>45748</v>
      </c>
      <c r="G440" t="s">
        <v>5528</v>
      </c>
    </row>
    <row r="441" spans="1:7">
      <c r="A441" t="s">
        <v>5663</v>
      </c>
      <c r="B441" t="s">
        <v>5664</v>
      </c>
      <c r="C441" t="s">
        <v>5665</v>
      </c>
      <c r="D441">
        <v>658.55</v>
      </c>
      <c r="E441" s="208">
        <v>45748</v>
      </c>
      <c r="G441" t="s">
        <v>5528</v>
      </c>
    </row>
    <row r="442" spans="1:7">
      <c r="A442" t="s">
        <v>5666</v>
      </c>
      <c r="B442" t="s">
        <v>5667</v>
      </c>
      <c r="C442" t="s">
        <v>4895</v>
      </c>
      <c r="D442">
        <v>188</v>
      </c>
      <c r="E442" s="208">
        <v>45748</v>
      </c>
      <c r="G442" t="s">
        <v>5528</v>
      </c>
    </row>
    <row r="443" spans="1:7">
      <c r="A443" t="s">
        <v>5668</v>
      </c>
      <c r="B443" t="s">
        <v>5669</v>
      </c>
      <c r="C443" t="s">
        <v>4895</v>
      </c>
      <c r="D443">
        <v>117.2</v>
      </c>
      <c r="E443" s="208">
        <v>45748</v>
      </c>
      <c r="G443" t="s">
        <v>5528</v>
      </c>
    </row>
    <row r="444" spans="1:7">
      <c r="A444" t="s">
        <v>5670</v>
      </c>
      <c r="B444" t="s">
        <v>5671</v>
      </c>
      <c r="C444" t="s">
        <v>4895</v>
      </c>
      <c r="D444">
        <v>184</v>
      </c>
      <c r="E444" s="208">
        <v>45748</v>
      </c>
      <c r="G444" t="s">
        <v>5528</v>
      </c>
    </row>
    <row r="445" spans="1:7">
      <c r="A445" t="s">
        <v>5672</v>
      </c>
      <c r="B445" t="s">
        <v>5673</v>
      </c>
      <c r="C445" t="s">
        <v>4871</v>
      </c>
      <c r="D445">
        <v>62</v>
      </c>
      <c r="E445" s="208">
        <v>45748</v>
      </c>
      <c r="G445" t="s">
        <v>5528</v>
      </c>
    </row>
    <row r="446" spans="1:7">
      <c r="A446" t="s">
        <v>4532</v>
      </c>
      <c r="B446" t="s">
        <v>5674</v>
      </c>
      <c r="C446" t="s">
        <v>4895</v>
      </c>
      <c r="D446">
        <v>158</v>
      </c>
      <c r="E446" s="208">
        <v>45748</v>
      </c>
      <c r="G446" t="s">
        <v>5528</v>
      </c>
    </row>
    <row r="447" spans="1:7">
      <c r="A447" t="s">
        <v>5675</v>
      </c>
      <c r="B447" t="s">
        <v>5676</v>
      </c>
      <c r="C447" t="s">
        <v>4871</v>
      </c>
      <c r="D447">
        <v>158</v>
      </c>
      <c r="E447" s="208">
        <v>45748</v>
      </c>
      <c r="G447" t="s">
        <v>5528</v>
      </c>
    </row>
    <row r="448" spans="1:7">
      <c r="A448" t="s">
        <v>5677</v>
      </c>
      <c r="B448" t="s">
        <v>5678</v>
      </c>
      <c r="C448" t="s">
        <v>4895</v>
      </c>
      <c r="D448">
        <v>85.5</v>
      </c>
      <c r="E448" s="208">
        <v>45748</v>
      </c>
      <c r="G448" t="s">
        <v>5528</v>
      </c>
    </row>
    <row r="449" spans="1:7">
      <c r="A449" t="s">
        <v>5679</v>
      </c>
      <c r="B449" t="s">
        <v>5680</v>
      </c>
      <c r="C449" t="s">
        <v>4895</v>
      </c>
      <c r="D449">
        <v>319.60000000000002</v>
      </c>
      <c r="E449" s="208">
        <v>45748</v>
      </c>
      <c r="G449" t="s">
        <v>5528</v>
      </c>
    </row>
    <row r="450" spans="1:7">
      <c r="A450" t="s">
        <v>5681</v>
      </c>
      <c r="B450" t="s">
        <v>5682</v>
      </c>
      <c r="C450" t="s">
        <v>4895</v>
      </c>
      <c r="D450">
        <v>379.3</v>
      </c>
      <c r="E450" s="208">
        <v>45748</v>
      </c>
      <c r="G450" t="s">
        <v>5528</v>
      </c>
    </row>
    <row r="451" spans="1:7">
      <c r="A451" t="s">
        <v>5683</v>
      </c>
      <c r="B451" t="s">
        <v>5684</v>
      </c>
      <c r="C451" t="s">
        <v>4895</v>
      </c>
      <c r="D451">
        <v>307.8</v>
      </c>
      <c r="E451" s="208">
        <v>45748</v>
      </c>
      <c r="G451" t="s">
        <v>5528</v>
      </c>
    </row>
    <row r="452" spans="1:7">
      <c r="A452" t="s">
        <v>5685</v>
      </c>
      <c r="B452" t="s">
        <v>5686</v>
      </c>
      <c r="C452" t="s">
        <v>4895</v>
      </c>
      <c r="D452">
        <v>273.39999999999998</v>
      </c>
      <c r="E452" s="208">
        <v>45748</v>
      </c>
      <c r="G452" t="s">
        <v>5528</v>
      </c>
    </row>
    <row r="453" spans="1:7">
      <c r="A453" t="s">
        <v>5687</v>
      </c>
      <c r="B453" t="s">
        <v>5688</v>
      </c>
      <c r="C453" t="s">
        <v>5689</v>
      </c>
      <c r="D453">
        <v>8.3000000000000007</v>
      </c>
      <c r="E453" s="208">
        <v>45748</v>
      </c>
      <c r="G453" t="s">
        <v>5528</v>
      </c>
    </row>
    <row r="454" spans="1:7">
      <c r="A454" t="s">
        <v>5690</v>
      </c>
      <c r="B454" t="s">
        <v>5691</v>
      </c>
      <c r="C454" t="s">
        <v>4895</v>
      </c>
      <c r="D454">
        <v>758.6</v>
      </c>
      <c r="E454" s="208">
        <v>45748</v>
      </c>
      <c r="G454" t="s">
        <v>5528</v>
      </c>
    </row>
    <row r="455" spans="1:7">
      <c r="A455" t="s">
        <v>5692</v>
      </c>
      <c r="B455" t="s">
        <v>5693</v>
      </c>
      <c r="C455" t="s">
        <v>4771</v>
      </c>
      <c r="D455">
        <v>206.7</v>
      </c>
      <c r="E455" s="208">
        <v>45748</v>
      </c>
      <c r="G455" t="s">
        <v>5528</v>
      </c>
    </row>
    <row r="456" spans="1:7">
      <c r="A456" t="s">
        <v>5694</v>
      </c>
      <c r="B456" t="s">
        <v>5695</v>
      </c>
      <c r="C456" t="s">
        <v>4771</v>
      </c>
      <c r="D456">
        <v>109.3</v>
      </c>
      <c r="E456" s="208">
        <v>45748</v>
      </c>
      <c r="G456" t="s">
        <v>5528</v>
      </c>
    </row>
    <row r="457" spans="1:7">
      <c r="A457" t="s">
        <v>5696</v>
      </c>
      <c r="B457" t="s">
        <v>5697</v>
      </c>
      <c r="C457" t="s">
        <v>4895</v>
      </c>
      <c r="D457">
        <v>98.5</v>
      </c>
      <c r="E457" s="208">
        <v>45748</v>
      </c>
      <c r="G457" t="s">
        <v>5528</v>
      </c>
    </row>
    <row r="458" spans="1:7">
      <c r="A458" t="s">
        <v>5698</v>
      </c>
      <c r="B458" t="s">
        <v>5699</v>
      </c>
      <c r="C458" t="s">
        <v>4871</v>
      </c>
      <c r="D458">
        <v>32.1</v>
      </c>
      <c r="E458" s="208">
        <v>45748</v>
      </c>
      <c r="G458" t="s">
        <v>5528</v>
      </c>
    </row>
    <row r="459" spans="1:7">
      <c r="A459" t="s">
        <v>5700</v>
      </c>
      <c r="B459" t="s">
        <v>5701</v>
      </c>
      <c r="C459" t="s">
        <v>4895</v>
      </c>
      <c r="D459">
        <v>138.6</v>
      </c>
      <c r="E459" s="208">
        <v>45748</v>
      </c>
      <c r="G459" t="s">
        <v>5528</v>
      </c>
    </row>
    <row r="460" spans="1:7">
      <c r="A460" t="s">
        <v>5702</v>
      </c>
      <c r="B460" t="s">
        <v>5703</v>
      </c>
      <c r="C460" t="s">
        <v>4771</v>
      </c>
      <c r="D460">
        <v>7.4</v>
      </c>
      <c r="E460" s="208">
        <v>45748</v>
      </c>
      <c r="G460" t="s">
        <v>5528</v>
      </c>
    </row>
    <row r="461" spans="1:7">
      <c r="A461" t="s">
        <v>4561</v>
      </c>
      <c r="B461" t="s">
        <v>5704</v>
      </c>
      <c r="C461" t="s">
        <v>4771</v>
      </c>
      <c r="D461">
        <v>48.6</v>
      </c>
      <c r="E461" s="208">
        <v>45748</v>
      </c>
      <c r="G461" t="s">
        <v>5528</v>
      </c>
    </row>
    <row r="462" spans="1:7">
      <c r="A462" t="s">
        <v>5705</v>
      </c>
      <c r="B462" t="s">
        <v>5706</v>
      </c>
      <c r="C462" t="s">
        <v>4845</v>
      </c>
      <c r="D462">
        <v>49</v>
      </c>
      <c r="E462" s="208">
        <v>45748</v>
      </c>
      <c r="G462" t="s">
        <v>5528</v>
      </c>
    </row>
    <row r="463" spans="1:7">
      <c r="A463" t="s">
        <v>5707</v>
      </c>
      <c r="B463" t="s">
        <v>5708</v>
      </c>
      <c r="C463" t="s">
        <v>5341</v>
      </c>
      <c r="D463">
        <v>42.6</v>
      </c>
      <c r="E463" s="208">
        <v>45748</v>
      </c>
      <c r="G463" t="s">
        <v>5528</v>
      </c>
    </row>
    <row r="464" spans="1:7">
      <c r="A464" t="s">
        <v>5709</v>
      </c>
      <c r="B464" t="s">
        <v>5565</v>
      </c>
      <c r="C464" t="s">
        <v>5341</v>
      </c>
      <c r="D464">
        <v>40.25</v>
      </c>
      <c r="E464" s="208">
        <v>45748</v>
      </c>
      <c r="G464" t="s">
        <v>5528</v>
      </c>
    </row>
    <row r="465" spans="1:7">
      <c r="A465" t="s">
        <v>5710</v>
      </c>
      <c r="B465" t="s">
        <v>5711</v>
      </c>
      <c r="C465" t="s">
        <v>5344</v>
      </c>
      <c r="D465">
        <v>36.35</v>
      </c>
      <c r="E465" s="208">
        <v>45748</v>
      </c>
      <c r="G465" t="s">
        <v>5528</v>
      </c>
    </row>
    <row r="466" spans="1:7">
      <c r="A466" t="s">
        <v>5712</v>
      </c>
      <c r="B466" t="s">
        <v>5713</v>
      </c>
      <c r="C466" t="s">
        <v>5344</v>
      </c>
      <c r="D466">
        <v>38.65</v>
      </c>
      <c r="E466" s="208">
        <v>45748</v>
      </c>
      <c r="G466" t="s">
        <v>5528</v>
      </c>
    </row>
    <row r="467" spans="1:7">
      <c r="A467" t="s">
        <v>5714</v>
      </c>
      <c r="B467" t="s">
        <v>5715</v>
      </c>
      <c r="C467" t="s">
        <v>4845</v>
      </c>
      <c r="D467">
        <v>39.799999999999997</v>
      </c>
      <c r="E467" s="208">
        <v>45748</v>
      </c>
      <c r="G467" t="s">
        <v>5528</v>
      </c>
    </row>
    <row r="468" spans="1:7">
      <c r="A468" t="s">
        <v>5716</v>
      </c>
      <c r="B468" t="s">
        <v>5717</v>
      </c>
      <c r="C468" t="s">
        <v>4845</v>
      </c>
      <c r="D468">
        <v>41.5</v>
      </c>
      <c r="E468" s="208">
        <v>45748</v>
      </c>
      <c r="G468" t="s">
        <v>5528</v>
      </c>
    </row>
    <row r="469" spans="1:7">
      <c r="A469" t="s">
        <v>5718</v>
      </c>
      <c r="B469" t="s">
        <v>5719</v>
      </c>
      <c r="C469" t="s">
        <v>4845</v>
      </c>
      <c r="D469">
        <v>44.2</v>
      </c>
      <c r="E469" s="208">
        <v>45748</v>
      </c>
      <c r="G469" t="s">
        <v>5528</v>
      </c>
    </row>
    <row r="470" spans="1:7">
      <c r="A470" t="s">
        <v>5720</v>
      </c>
      <c r="B470" t="s">
        <v>5721</v>
      </c>
      <c r="C470" t="s">
        <v>5344</v>
      </c>
      <c r="D470">
        <v>61.25</v>
      </c>
      <c r="E470" s="208">
        <v>45748</v>
      </c>
      <c r="G470" t="s">
        <v>5528</v>
      </c>
    </row>
    <row r="471" spans="1:7">
      <c r="A471" t="s">
        <v>5722</v>
      </c>
      <c r="B471" t="s">
        <v>5723</v>
      </c>
      <c r="C471" t="s">
        <v>4845</v>
      </c>
      <c r="D471">
        <v>3.7</v>
      </c>
      <c r="E471" s="208">
        <v>45748</v>
      </c>
      <c r="G471" t="s">
        <v>5528</v>
      </c>
    </row>
    <row r="472" spans="1:7">
      <c r="A472" t="s">
        <v>5724</v>
      </c>
      <c r="B472" t="s">
        <v>5725</v>
      </c>
      <c r="C472" t="s">
        <v>5344</v>
      </c>
      <c r="D472">
        <v>4.2</v>
      </c>
      <c r="E472" s="208">
        <v>45748</v>
      </c>
      <c r="G472" t="s">
        <v>5528</v>
      </c>
    </row>
    <row r="473" spans="1:7">
      <c r="A473" t="s">
        <v>5726</v>
      </c>
      <c r="B473" t="s">
        <v>5727</v>
      </c>
      <c r="C473" t="s">
        <v>5344</v>
      </c>
      <c r="D473">
        <v>4.5999999999999996</v>
      </c>
      <c r="E473" s="208">
        <v>45748</v>
      </c>
      <c r="G473" t="s">
        <v>5528</v>
      </c>
    </row>
    <row r="474" spans="1:7">
      <c r="A474" t="s">
        <v>5728</v>
      </c>
      <c r="B474" t="s">
        <v>5729</v>
      </c>
      <c r="C474" t="s">
        <v>5344</v>
      </c>
      <c r="D474">
        <v>5.45</v>
      </c>
      <c r="E474" s="208">
        <v>45748</v>
      </c>
      <c r="G474" t="s">
        <v>5528</v>
      </c>
    </row>
    <row r="475" spans="1:7">
      <c r="A475" t="s">
        <v>5730</v>
      </c>
      <c r="B475" t="s">
        <v>5731</v>
      </c>
      <c r="C475" t="s">
        <v>4845</v>
      </c>
      <c r="D475">
        <v>5.75</v>
      </c>
      <c r="E475" s="208">
        <v>45748</v>
      </c>
      <c r="G475" t="s">
        <v>5528</v>
      </c>
    </row>
    <row r="476" spans="1:7">
      <c r="A476" t="s">
        <v>5732</v>
      </c>
      <c r="B476" t="s">
        <v>5733</v>
      </c>
      <c r="C476" t="s">
        <v>5344</v>
      </c>
      <c r="D476">
        <v>9.35</v>
      </c>
      <c r="E476" s="208">
        <v>45748</v>
      </c>
      <c r="G476" t="s">
        <v>5528</v>
      </c>
    </row>
    <row r="477" spans="1:7">
      <c r="A477" t="s">
        <v>5734</v>
      </c>
      <c r="B477" t="s">
        <v>5735</v>
      </c>
      <c r="C477" t="s">
        <v>4845</v>
      </c>
      <c r="D477">
        <v>45.9</v>
      </c>
      <c r="E477" s="208">
        <v>45748</v>
      </c>
      <c r="G477" t="s">
        <v>5528</v>
      </c>
    </row>
    <row r="478" spans="1:7">
      <c r="A478" t="s">
        <v>5736</v>
      </c>
      <c r="B478" t="s">
        <v>5737</v>
      </c>
      <c r="C478" t="s">
        <v>4845</v>
      </c>
      <c r="D478">
        <v>55.6</v>
      </c>
      <c r="E478" s="208">
        <v>45748</v>
      </c>
      <c r="G478" t="s">
        <v>5528</v>
      </c>
    </row>
    <row r="479" spans="1:7">
      <c r="A479" t="s">
        <v>5738</v>
      </c>
      <c r="B479" t="s">
        <v>5739</v>
      </c>
      <c r="C479" t="s">
        <v>4845</v>
      </c>
      <c r="D479">
        <v>22</v>
      </c>
      <c r="E479" s="208">
        <v>45748</v>
      </c>
      <c r="G479" t="s">
        <v>5528</v>
      </c>
    </row>
    <row r="480" spans="1:7">
      <c r="A480" t="s">
        <v>5740</v>
      </c>
      <c r="B480" t="s">
        <v>5741</v>
      </c>
      <c r="C480" t="s">
        <v>4845</v>
      </c>
      <c r="D480">
        <v>39.75</v>
      </c>
      <c r="E480" s="208">
        <v>45748</v>
      </c>
      <c r="G480" t="s">
        <v>5528</v>
      </c>
    </row>
    <row r="481" spans="1:7">
      <c r="A481" t="s">
        <v>5742</v>
      </c>
      <c r="B481" t="s">
        <v>5743</v>
      </c>
      <c r="C481" t="s">
        <v>4845</v>
      </c>
      <c r="D481">
        <v>141.55000000000001</v>
      </c>
      <c r="E481" s="208">
        <v>45748</v>
      </c>
      <c r="G481" t="s">
        <v>5528</v>
      </c>
    </row>
    <row r="482" spans="1:7">
      <c r="A482" t="s">
        <v>5744</v>
      </c>
      <c r="B482" t="s">
        <v>5745</v>
      </c>
      <c r="C482" t="s">
        <v>4845</v>
      </c>
      <c r="D482">
        <v>156.65</v>
      </c>
      <c r="E482" s="208">
        <v>45748</v>
      </c>
      <c r="G482" t="s">
        <v>5528</v>
      </c>
    </row>
    <row r="483" spans="1:7">
      <c r="A483" t="s">
        <v>5746</v>
      </c>
      <c r="B483" t="s">
        <v>5747</v>
      </c>
      <c r="C483" t="s">
        <v>4845</v>
      </c>
      <c r="D483">
        <v>191.95</v>
      </c>
      <c r="E483" s="208">
        <v>45748</v>
      </c>
      <c r="G483" t="s">
        <v>5528</v>
      </c>
    </row>
    <row r="484" spans="1:7">
      <c r="A484" t="s">
        <v>5748</v>
      </c>
      <c r="B484" t="s">
        <v>5749</v>
      </c>
      <c r="C484" t="s">
        <v>5344</v>
      </c>
      <c r="D484">
        <v>277.5</v>
      </c>
      <c r="E484" s="208">
        <v>45748</v>
      </c>
      <c r="G484" t="s">
        <v>5528</v>
      </c>
    </row>
    <row r="485" spans="1:7">
      <c r="A485" t="s">
        <v>5750</v>
      </c>
      <c r="B485" t="s">
        <v>5751</v>
      </c>
      <c r="C485" t="s">
        <v>5344</v>
      </c>
      <c r="D485">
        <v>301.10000000000002</v>
      </c>
      <c r="E485" s="208">
        <v>45748</v>
      </c>
      <c r="G485" t="s">
        <v>5528</v>
      </c>
    </row>
    <row r="486" spans="1:7">
      <c r="A486" t="s">
        <v>5752</v>
      </c>
      <c r="B486" t="s">
        <v>5753</v>
      </c>
      <c r="C486" t="s">
        <v>4845</v>
      </c>
      <c r="D486">
        <v>44.5</v>
      </c>
      <c r="E486" s="208">
        <v>45748</v>
      </c>
      <c r="G486" t="s">
        <v>5528</v>
      </c>
    </row>
    <row r="487" spans="1:7">
      <c r="A487" t="s">
        <v>5754</v>
      </c>
      <c r="B487" t="s">
        <v>5755</v>
      </c>
      <c r="C487" t="s">
        <v>4845</v>
      </c>
      <c r="D487">
        <v>47.45</v>
      </c>
      <c r="E487" s="208">
        <v>45748</v>
      </c>
      <c r="G487" t="s">
        <v>5528</v>
      </c>
    </row>
    <row r="488" spans="1:7">
      <c r="A488" t="s">
        <v>5756</v>
      </c>
      <c r="B488" t="s">
        <v>5757</v>
      </c>
      <c r="C488" t="s">
        <v>5344</v>
      </c>
      <c r="D488">
        <v>96.7</v>
      </c>
      <c r="E488" s="208">
        <v>45748</v>
      </c>
      <c r="G488" t="s">
        <v>5528</v>
      </c>
    </row>
    <row r="489" spans="1:7">
      <c r="A489" t="s">
        <v>5758</v>
      </c>
      <c r="B489" t="s">
        <v>5759</v>
      </c>
      <c r="C489" t="s">
        <v>5344</v>
      </c>
      <c r="D489">
        <v>96.7</v>
      </c>
      <c r="E489" s="208">
        <v>45748</v>
      </c>
      <c r="G489" t="s">
        <v>5528</v>
      </c>
    </row>
    <row r="490" spans="1:7">
      <c r="A490" t="s">
        <v>5760</v>
      </c>
      <c r="B490" t="s">
        <v>5761</v>
      </c>
      <c r="C490" t="s">
        <v>4845</v>
      </c>
      <c r="D490">
        <v>128.9</v>
      </c>
      <c r="E490" s="208">
        <v>45748</v>
      </c>
      <c r="G490" t="s">
        <v>5528</v>
      </c>
    </row>
    <row r="491" spans="1:7">
      <c r="A491" t="s">
        <v>5762</v>
      </c>
      <c r="B491" t="s">
        <v>5763</v>
      </c>
      <c r="C491" t="s">
        <v>4845</v>
      </c>
      <c r="D491">
        <v>27.65</v>
      </c>
      <c r="E491" s="208">
        <v>45748</v>
      </c>
      <c r="G491" t="s">
        <v>5528</v>
      </c>
    </row>
    <row r="492" spans="1:7">
      <c r="A492" t="s">
        <v>5764</v>
      </c>
      <c r="B492" t="s">
        <v>5765</v>
      </c>
      <c r="C492" t="s">
        <v>4845</v>
      </c>
      <c r="D492">
        <v>17.95</v>
      </c>
      <c r="E492" s="208">
        <v>45748</v>
      </c>
      <c r="G492" t="s">
        <v>5528</v>
      </c>
    </row>
    <row r="493" spans="1:7">
      <c r="A493" t="s">
        <v>5766</v>
      </c>
      <c r="B493" t="s">
        <v>5767</v>
      </c>
      <c r="C493" t="s">
        <v>4845</v>
      </c>
      <c r="D493">
        <v>19.5</v>
      </c>
      <c r="E493" s="208">
        <v>45748</v>
      </c>
      <c r="G493" t="s">
        <v>5528</v>
      </c>
    </row>
    <row r="494" spans="1:7">
      <c r="A494" t="s">
        <v>5768</v>
      </c>
      <c r="B494" t="s">
        <v>5769</v>
      </c>
      <c r="C494" t="s">
        <v>4845</v>
      </c>
      <c r="D494">
        <v>20.9</v>
      </c>
      <c r="E494" s="208">
        <v>45748</v>
      </c>
      <c r="G494" t="s">
        <v>5528</v>
      </c>
    </row>
    <row r="495" spans="1:7">
      <c r="A495" t="s">
        <v>5770</v>
      </c>
      <c r="B495" t="s">
        <v>5771</v>
      </c>
      <c r="C495" t="s">
        <v>4845</v>
      </c>
      <c r="D495">
        <v>24.65</v>
      </c>
      <c r="E495" s="208">
        <v>45748</v>
      </c>
      <c r="G495" t="s">
        <v>5528</v>
      </c>
    </row>
    <row r="496" spans="1:7">
      <c r="A496" t="s">
        <v>5772</v>
      </c>
      <c r="B496" t="s">
        <v>5773</v>
      </c>
      <c r="C496" t="s">
        <v>5344</v>
      </c>
      <c r="D496">
        <v>30.9</v>
      </c>
      <c r="E496" s="208">
        <v>45748</v>
      </c>
      <c r="G496" t="s">
        <v>5528</v>
      </c>
    </row>
    <row r="497" spans="1:7">
      <c r="A497" t="s">
        <v>5774</v>
      </c>
      <c r="B497" t="s">
        <v>5775</v>
      </c>
      <c r="C497" t="s">
        <v>5344</v>
      </c>
      <c r="D497">
        <v>23.8</v>
      </c>
      <c r="E497" s="208">
        <v>45748</v>
      </c>
      <c r="G497" t="s">
        <v>5528</v>
      </c>
    </row>
    <row r="498" spans="1:7">
      <c r="A498" t="s">
        <v>5776</v>
      </c>
      <c r="B498" t="s">
        <v>5777</v>
      </c>
      <c r="C498" t="s">
        <v>5344</v>
      </c>
      <c r="D498">
        <v>23.8</v>
      </c>
      <c r="E498" s="208">
        <v>45748</v>
      </c>
      <c r="G498" t="s">
        <v>5528</v>
      </c>
    </row>
    <row r="499" spans="1:7">
      <c r="A499" t="s">
        <v>5778</v>
      </c>
      <c r="B499" t="s">
        <v>5779</v>
      </c>
      <c r="C499" t="s">
        <v>5344</v>
      </c>
      <c r="D499">
        <v>25.9</v>
      </c>
      <c r="E499" s="208">
        <v>45748</v>
      </c>
      <c r="G499" t="s">
        <v>5528</v>
      </c>
    </row>
    <row r="500" spans="1:7">
      <c r="A500" t="s">
        <v>5780</v>
      </c>
      <c r="B500" t="s">
        <v>5781</v>
      </c>
      <c r="C500" t="s">
        <v>5344</v>
      </c>
      <c r="D500">
        <v>27.5</v>
      </c>
      <c r="E500" s="208">
        <v>45748</v>
      </c>
      <c r="G500" t="s">
        <v>5528</v>
      </c>
    </row>
    <row r="501" spans="1:7">
      <c r="A501" t="s">
        <v>5782</v>
      </c>
      <c r="B501" t="s">
        <v>5783</v>
      </c>
      <c r="C501" t="s">
        <v>5344</v>
      </c>
      <c r="D501">
        <v>32.6</v>
      </c>
      <c r="E501" s="208">
        <v>45748</v>
      </c>
      <c r="G501" t="s">
        <v>5528</v>
      </c>
    </row>
    <row r="502" spans="1:7">
      <c r="A502" t="s">
        <v>5784</v>
      </c>
      <c r="B502" t="s">
        <v>5785</v>
      </c>
      <c r="C502" t="s">
        <v>5786</v>
      </c>
      <c r="D502">
        <v>67.650000000000006</v>
      </c>
      <c r="E502" s="208">
        <v>45748</v>
      </c>
      <c r="G502" t="s">
        <v>5528</v>
      </c>
    </row>
    <row r="503" spans="1:7">
      <c r="A503" t="s">
        <v>5787</v>
      </c>
      <c r="B503" t="s">
        <v>5788</v>
      </c>
      <c r="C503" t="s">
        <v>5786</v>
      </c>
      <c r="D503">
        <v>67.650000000000006</v>
      </c>
      <c r="E503" s="208">
        <v>45748</v>
      </c>
      <c r="G503" t="s">
        <v>5528</v>
      </c>
    </row>
    <row r="504" spans="1:7">
      <c r="A504" t="s">
        <v>5789</v>
      </c>
      <c r="B504" t="s">
        <v>5790</v>
      </c>
      <c r="C504" t="s">
        <v>4895</v>
      </c>
      <c r="D504">
        <v>268.45</v>
      </c>
      <c r="E504" s="208">
        <v>45748</v>
      </c>
      <c r="G504" t="s">
        <v>5528</v>
      </c>
    </row>
    <row r="505" spans="1:7">
      <c r="A505" t="s">
        <v>5791</v>
      </c>
      <c r="B505" t="s">
        <v>5792</v>
      </c>
      <c r="C505" t="s">
        <v>4895</v>
      </c>
      <c r="D505">
        <v>371.9</v>
      </c>
      <c r="E505" s="208">
        <v>45748</v>
      </c>
      <c r="G505" t="s">
        <v>5528</v>
      </c>
    </row>
    <row r="506" spans="1:7">
      <c r="A506" t="s">
        <v>5793</v>
      </c>
      <c r="B506" t="s">
        <v>5794</v>
      </c>
      <c r="C506" t="s">
        <v>4895</v>
      </c>
      <c r="D506">
        <v>252.55</v>
      </c>
      <c r="E506" s="208">
        <v>45748</v>
      </c>
      <c r="G506" t="s">
        <v>5528</v>
      </c>
    </row>
    <row r="507" spans="1:7">
      <c r="A507" t="s">
        <v>5795</v>
      </c>
      <c r="B507" t="s">
        <v>5796</v>
      </c>
      <c r="C507" t="s">
        <v>4895</v>
      </c>
      <c r="D507">
        <v>242.1</v>
      </c>
      <c r="E507" s="208">
        <v>45748</v>
      </c>
      <c r="G507" t="s">
        <v>5528</v>
      </c>
    </row>
    <row r="508" spans="1:7">
      <c r="A508" t="s">
        <v>5797</v>
      </c>
      <c r="B508" t="s">
        <v>5798</v>
      </c>
      <c r="C508" t="s">
        <v>4895</v>
      </c>
      <c r="D508">
        <v>113.5</v>
      </c>
      <c r="E508" s="208">
        <v>45748</v>
      </c>
      <c r="G508" t="s">
        <v>5528</v>
      </c>
    </row>
    <row r="509" spans="1:7">
      <c r="A509" t="s">
        <v>5799</v>
      </c>
      <c r="B509" t="s">
        <v>5800</v>
      </c>
      <c r="C509" t="s">
        <v>4895</v>
      </c>
      <c r="D509">
        <v>127.15</v>
      </c>
      <c r="E509" s="208">
        <v>45748</v>
      </c>
      <c r="G509" t="s">
        <v>5528</v>
      </c>
    </row>
    <row r="510" spans="1:7">
      <c r="A510" t="s">
        <v>5801</v>
      </c>
      <c r="B510" t="s">
        <v>5802</v>
      </c>
      <c r="C510" t="s">
        <v>4895</v>
      </c>
      <c r="D510">
        <v>143.25</v>
      </c>
      <c r="E510" s="208">
        <v>45748</v>
      </c>
      <c r="G510" t="s">
        <v>5528</v>
      </c>
    </row>
    <row r="511" spans="1:7">
      <c r="A511" t="s">
        <v>5803</v>
      </c>
      <c r="B511" t="s">
        <v>5804</v>
      </c>
      <c r="C511" t="s">
        <v>4895</v>
      </c>
      <c r="D511">
        <v>176</v>
      </c>
      <c r="E511" s="208">
        <v>45748</v>
      </c>
      <c r="G511" t="s">
        <v>5528</v>
      </c>
    </row>
    <row r="512" spans="1:7">
      <c r="A512" t="s">
        <v>5805</v>
      </c>
      <c r="B512" t="s">
        <v>5806</v>
      </c>
      <c r="C512" t="s">
        <v>4895</v>
      </c>
      <c r="D512">
        <v>250.8</v>
      </c>
      <c r="E512" s="208">
        <v>45748</v>
      </c>
      <c r="G512" t="s">
        <v>5528</v>
      </c>
    </row>
    <row r="513" spans="1:7">
      <c r="A513" t="s">
        <v>5807</v>
      </c>
      <c r="B513" t="s">
        <v>5808</v>
      </c>
      <c r="C513" t="s">
        <v>4895</v>
      </c>
      <c r="D513">
        <v>346.85</v>
      </c>
      <c r="E513" s="208">
        <v>45748</v>
      </c>
      <c r="G513" t="s">
        <v>5528</v>
      </c>
    </row>
    <row r="514" spans="1:7">
      <c r="A514" t="s">
        <v>5809</v>
      </c>
      <c r="B514" t="s">
        <v>5810</v>
      </c>
      <c r="C514" t="s">
        <v>4895</v>
      </c>
      <c r="D514">
        <v>419.2</v>
      </c>
      <c r="E514" s="208">
        <v>45748</v>
      </c>
      <c r="G514" t="s">
        <v>5528</v>
      </c>
    </row>
    <row r="515" spans="1:7">
      <c r="A515" t="s">
        <v>5811</v>
      </c>
      <c r="B515" t="s">
        <v>5812</v>
      </c>
      <c r="C515" t="s">
        <v>4895</v>
      </c>
      <c r="D515">
        <v>288.39999999999998</v>
      </c>
      <c r="E515" s="208">
        <v>45748</v>
      </c>
      <c r="G515" t="s">
        <v>5528</v>
      </c>
    </row>
    <row r="516" spans="1:7">
      <c r="A516" t="s">
        <v>5813</v>
      </c>
      <c r="B516" t="s">
        <v>5814</v>
      </c>
      <c r="C516" t="s">
        <v>4895</v>
      </c>
      <c r="D516">
        <v>323.75</v>
      </c>
      <c r="E516" s="208">
        <v>45748</v>
      </c>
      <c r="G516" t="s">
        <v>5528</v>
      </c>
    </row>
    <row r="517" spans="1:7">
      <c r="A517" t="s">
        <v>5815</v>
      </c>
      <c r="B517" t="s">
        <v>5816</v>
      </c>
      <c r="C517" t="s">
        <v>4895</v>
      </c>
      <c r="D517">
        <v>218.85</v>
      </c>
      <c r="E517" s="208">
        <v>45748</v>
      </c>
      <c r="G517" t="s">
        <v>5528</v>
      </c>
    </row>
    <row r="518" spans="1:7">
      <c r="A518" t="s">
        <v>5817</v>
      </c>
      <c r="B518" t="s">
        <v>5818</v>
      </c>
      <c r="C518" t="s">
        <v>4895</v>
      </c>
      <c r="D518">
        <v>245.65</v>
      </c>
      <c r="E518" s="208">
        <v>45748</v>
      </c>
      <c r="G518" t="s">
        <v>5528</v>
      </c>
    </row>
    <row r="519" spans="1:7">
      <c r="A519" t="s">
        <v>5819</v>
      </c>
      <c r="B519" t="s">
        <v>5820</v>
      </c>
      <c r="C519" t="s">
        <v>4895</v>
      </c>
      <c r="D519">
        <v>343.6</v>
      </c>
      <c r="E519" s="208">
        <v>45748</v>
      </c>
      <c r="G519" t="s">
        <v>5528</v>
      </c>
    </row>
    <row r="520" spans="1:7">
      <c r="A520" t="s">
        <v>5821</v>
      </c>
      <c r="B520" t="s">
        <v>5822</v>
      </c>
      <c r="C520" t="s">
        <v>4895</v>
      </c>
      <c r="D520">
        <v>364.35</v>
      </c>
      <c r="E520" s="208">
        <v>45748</v>
      </c>
      <c r="G520" t="s">
        <v>5528</v>
      </c>
    </row>
    <row r="521" spans="1:7">
      <c r="A521" t="s">
        <v>5823</v>
      </c>
      <c r="B521" t="s">
        <v>5824</v>
      </c>
      <c r="C521" t="s">
        <v>4895</v>
      </c>
      <c r="D521">
        <v>330.45</v>
      </c>
      <c r="E521" s="208">
        <v>45748</v>
      </c>
      <c r="G521" t="s">
        <v>5528</v>
      </c>
    </row>
    <row r="522" spans="1:7">
      <c r="A522" t="s">
        <v>5825</v>
      </c>
      <c r="B522" t="s">
        <v>5826</v>
      </c>
      <c r="C522" t="s">
        <v>4895</v>
      </c>
      <c r="D522">
        <v>345.3</v>
      </c>
      <c r="E522" s="208">
        <v>45748</v>
      </c>
      <c r="G522" t="s">
        <v>5528</v>
      </c>
    </row>
    <row r="523" spans="1:7">
      <c r="A523" t="s">
        <v>5827</v>
      </c>
      <c r="B523" t="s">
        <v>5828</v>
      </c>
      <c r="C523" t="s">
        <v>4895</v>
      </c>
      <c r="D523">
        <v>584.25</v>
      </c>
      <c r="E523" s="208">
        <v>45748</v>
      </c>
      <c r="G523" t="s">
        <v>5528</v>
      </c>
    </row>
    <row r="524" spans="1:7">
      <c r="A524" t="s">
        <v>5829</v>
      </c>
      <c r="B524" t="s">
        <v>5830</v>
      </c>
      <c r="C524" t="s">
        <v>4895</v>
      </c>
      <c r="D524">
        <v>603.75</v>
      </c>
      <c r="E524" s="208">
        <v>45748</v>
      </c>
      <c r="G524" t="s">
        <v>5528</v>
      </c>
    </row>
    <row r="525" spans="1:7">
      <c r="A525" t="s">
        <v>5831</v>
      </c>
      <c r="B525" t="s">
        <v>5832</v>
      </c>
      <c r="C525" t="s">
        <v>4895</v>
      </c>
      <c r="D525">
        <v>677.85</v>
      </c>
      <c r="E525" s="208">
        <v>45748</v>
      </c>
      <c r="G525" t="s">
        <v>5528</v>
      </c>
    </row>
    <row r="526" spans="1:7">
      <c r="A526" t="s">
        <v>5833</v>
      </c>
      <c r="B526" t="s">
        <v>5834</v>
      </c>
      <c r="C526" t="s">
        <v>5551</v>
      </c>
      <c r="D526">
        <v>314.39999999999998</v>
      </c>
      <c r="E526" s="208">
        <v>45748</v>
      </c>
      <c r="G526" t="s">
        <v>5528</v>
      </c>
    </row>
    <row r="527" spans="1:7">
      <c r="A527" t="s">
        <v>5835</v>
      </c>
      <c r="B527" t="s">
        <v>5836</v>
      </c>
      <c r="C527" t="s">
        <v>4895</v>
      </c>
      <c r="D527">
        <v>142.6</v>
      </c>
      <c r="E527" s="208">
        <v>45748</v>
      </c>
      <c r="G527" t="s">
        <v>5528</v>
      </c>
    </row>
    <row r="528" spans="1:7">
      <c r="A528" t="s">
        <v>5837</v>
      </c>
      <c r="B528" t="s">
        <v>5838</v>
      </c>
      <c r="C528" t="s">
        <v>4895</v>
      </c>
      <c r="D528">
        <v>198.1</v>
      </c>
      <c r="E528" s="208">
        <v>45748</v>
      </c>
      <c r="G528" t="s">
        <v>5528</v>
      </c>
    </row>
    <row r="529" spans="1:7">
      <c r="A529" t="s">
        <v>5839</v>
      </c>
      <c r="B529" t="s">
        <v>5840</v>
      </c>
      <c r="C529" t="s">
        <v>4895</v>
      </c>
      <c r="D529">
        <v>277.8</v>
      </c>
      <c r="E529" s="208">
        <v>45748</v>
      </c>
      <c r="G529" t="s">
        <v>5528</v>
      </c>
    </row>
    <row r="530" spans="1:7">
      <c r="A530" t="s">
        <v>5841</v>
      </c>
      <c r="B530" t="s">
        <v>5842</v>
      </c>
      <c r="C530" t="s">
        <v>4895</v>
      </c>
      <c r="D530">
        <v>350.65</v>
      </c>
      <c r="E530" s="208">
        <v>45748</v>
      </c>
      <c r="G530" t="s">
        <v>5528</v>
      </c>
    </row>
    <row r="531" spans="1:7">
      <c r="A531" t="s">
        <v>5843</v>
      </c>
      <c r="B531" t="s">
        <v>5844</v>
      </c>
      <c r="C531" t="s">
        <v>4895</v>
      </c>
      <c r="D531">
        <v>473.25</v>
      </c>
      <c r="E531" s="208">
        <v>45748</v>
      </c>
      <c r="G531" t="s">
        <v>5528</v>
      </c>
    </row>
    <row r="532" spans="1:7">
      <c r="A532" t="s">
        <v>5845</v>
      </c>
      <c r="B532" t="s">
        <v>5846</v>
      </c>
      <c r="C532" t="s">
        <v>4895</v>
      </c>
      <c r="D532">
        <v>617.25</v>
      </c>
      <c r="E532" s="208">
        <v>45748</v>
      </c>
      <c r="G532" t="s">
        <v>5528</v>
      </c>
    </row>
    <row r="533" spans="1:7">
      <c r="A533" t="s">
        <v>5847</v>
      </c>
      <c r="B533" t="s">
        <v>5848</v>
      </c>
      <c r="C533" t="s">
        <v>4895</v>
      </c>
      <c r="D533">
        <v>437.15</v>
      </c>
      <c r="E533" s="208">
        <v>45748</v>
      </c>
      <c r="G533" t="s">
        <v>5528</v>
      </c>
    </row>
    <row r="534" spans="1:7">
      <c r="A534" t="s">
        <v>5849</v>
      </c>
      <c r="B534" t="s">
        <v>5850</v>
      </c>
      <c r="C534" t="s">
        <v>4895</v>
      </c>
      <c r="D534">
        <v>518.65</v>
      </c>
      <c r="E534" s="208">
        <v>45748</v>
      </c>
      <c r="G534" t="s">
        <v>5528</v>
      </c>
    </row>
    <row r="535" spans="1:7">
      <c r="A535" t="s">
        <v>5851</v>
      </c>
      <c r="B535" t="s">
        <v>5852</v>
      </c>
      <c r="C535" t="s">
        <v>4895</v>
      </c>
      <c r="D535">
        <v>655.9</v>
      </c>
      <c r="E535" s="208">
        <v>45748</v>
      </c>
      <c r="G535" t="s">
        <v>5528</v>
      </c>
    </row>
    <row r="536" spans="1:7">
      <c r="A536" t="s">
        <v>5853</v>
      </c>
      <c r="B536" t="s">
        <v>5854</v>
      </c>
      <c r="C536" t="s">
        <v>4895</v>
      </c>
      <c r="D536">
        <v>764.7</v>
      </c>
      <c r="E536" s="208">
        <v>45748</v>
      </c>
      <c r="G536" t="s">
        <v>5528</v>
      </c>
    </row>
    <row r="537" spans="1:7">
      <c r="A537" t="s">
        <v>5855</v>
      </c>
      <c r="B537" t="s">
        <v>5856</v>
      </c>
      <c r="C537" t="s">
        <v>4895</v>
      </c>
      <c r="D537">
        <v>907.85</v>
      </c>
      <c r="E537" s="208">
        <v>45748</v>
      </c>
      <c r="G537" t="s">
        <v>5528</v>
      </c>
    </row>
    <row r="538" spans="1:7">
      <c r="A538" t="s">
        <v>5857</v>
      </c>
      <c r="B538" t="s">
        <v>5858</v>
      </c>
      <c r="C538" t="s">
        <v>4895</v>
      </c>
      <c r="D538">
        <v>957</v>
      </c>
      <c r="E538" s="208">
        <v>45748</v>
      </c>
      <c r="G538" t="s">
        <v>5528</v>
      </c>
    </row>
    <row r="539" spans="1:7">
      <c r="A539" t="s">
        <v>5859</v>
      </c>
      <c r="B539" t="s">
        <v>5860</v>
      </c>
      <c r="C539" t="s">
        <v>4895</v>
      </c>
      <c r="D539">
        <v>494.7</v>
      </c>
      <c r="E539" s="208">
        <v>45748</v>
      </c>
      <c r="G539" t="s">
        <v>5528</v>
      </c>
    </row>
    <row r="540" spans="1:7">
      <c r="A540" t="s">
        <v>5861</v>
      </c>
      <c r="B540" t="s">
        <v>5862</v>
      </c>
      <c r="C540" t="s">
        <v>4895</v>
      </c>
      <c r="D540">
        <v>524.95000000000005</v>
      </c>
      <c r="E540" s="208">
        <v>45748</v>
      </c>
      <c r="G540" t="s">
        <v>5528</v>
      </c>
    </row>
    <row r="541" spans="1:7">
      <c r="A541" t="s">
        <v>5863</v>
      </c>
      <c r="B541" t="s">
        <v>5864</v>
      </c>
      <c r="C541" t="s">
        <v>4895</v>
      </c>
      <c r="D541">
        <v>600.35</v>
      </c>
      <c r="E541" s="208">
        <v>45748</v>
      </c>
      <c r="G541" t="s">
        <v>5528</v>
      </c>
    </row>
    <row r="542" spans="1:7">
      <c r="A542" t="s">
        <v>5865</v>
      </c>
      <c r="B542" t="s">
        <v>5866</v>
      </c>
      <c r="C542" t="s">
        <v>4895</v>
      </c>
      <c r="D542">
        <v>217.95</v>
      </c>
      <c r="E542" s="208">
        <v>45748</v>
      </c>
      <c r="G542" t="s">
        <v>5528</v>
      </c>
    </row>
    <row r="543" spans="1:7">
      <c r="A543" t="s">
        <v>5867</v>
      </c>
      <c r="B543" t="s">
        <v>5868</v>
      </c>
      <c r="C543" t="s">
        <v>4895</v>
      </c>
      <c r="D543">
        <v>302.10000000000002</v>
      </c>
      <c r="E543" s="208">
        <v>45748</v>
      </c>
      <c r="G543" t="s">
        <v>5528</v>
      </c>
    </row>
    <row r="544" spans="1:7">
      <c r="A544" t="s">
        <v>5869</v>
      </c>
      <c r="B544" t="s">
        <v>5870</v>
      </c>
      <c r="C544" t="s">
        <v>4895</v>
      </c>
      <c r="D544">
        <v>378.2</v>
      </c>
      <c r="E544" s="208">
        <v>45748</v>
      </c>
      <c r="G544" t="s">
        <v>5528</v>
      </c>
    </row>
    <row r="545" spans="1:7">
      <c r="A545" t="s">
        <v>5871</v>
      </c>
      <c r="B545" t="s">
        <v>5872</v>
      </c>
      <c r="C545" t="s">
        <v>4895</v>
      </c>
      <c r="D545">
        <v>254.6</v>
      </c>
      <c r="E545" s="208">
        <v>45748</v>
      </c>
      <c r="G545" t="s">
        <v>5528</v>
      </c>
    </row>
    <row r="546" spans="1:7">
      <c r="A546" t="s">
        <v>5873</v>
      </c>
      <c r="B546" t="s">
        <v>5874</v>
      </c>
      <c r="C546" t="s">
        <v>4895</v>
      </c>
      <c r="D546">
        <v>336.25</v>
      </c>
      <c r="E546" s="208">
        <v>45748</v>
      </c>
      <c r="G546" t="s">
        <v>5528</v>
      </c>
    </row>
    <row r="547" spans="1:7">
      <c r="A547" t="s">
        <v>5875</v>
      </c>
      <c r="B547" t="s">
        <v>5876</v>
      </c>
      <c r="C547" t="s">
        <v>4895</v>
      </c>
      <c r="D547">
        <v>497.1</v>
      </c>
      <c r="E547" s="208">
        <v>45748</v>
      </c>
      <c r="G547" t="s">
        <v>5528</v>
      </c>
    </row>
    <row r="548" spans="1:7">
      <c r="A548" t="s">
        <v>5877</v>
      </c>
      <c r="B548" t="s">
        <v>5878</v>
      </c>
      <c r="C548" t="s">
        <v>4895</v>
      </c>
      <c r="D548">
        <v>589.85</v>
      </c>
      <c r="E548" s="208">
        <v>45748</v>
      </c>
      <c r="G548" t="s">
        <v>5528</v>
      </c>
    </row>
    <row r="549" spans="1:7">
      <c r="A549" t="s">
        <v>5879</v>
      </c>
      <c r="B549" t="s">
        <v>5880</v>
      </c>
      <c r="C549" t="s">
        <v>4895</v>
      </c>
      <c r="D549">
        <v>701.9</v>
      </c>
      <c r="E549" s="208">
        <v>45748</v>
      </c>
      <c r="G549" t="s">
        <v>5528</v>
      </c>
    </row>
    <row r="550" spans="1:7">
      <c r="A550" t="s">
        <v>5881</v>
      </c>
      <c r="B550" t="s">
        <v>5882</v>
      </c>
      <c r="C550" t="s">
        <v>4895</v>
      </c>
      <c r="D550">
        <v>806.8</v>
      </c>
      <c r="E550" s="208">
        <v>45748</v>
      </c>
      <c r="G550" t="s">
        <v>5528</v>
      </c>
    </row>
    <row r="551" spans="1:7">
      <c r="A551" t="s">
        <v>5883</v>
      </c>
      <c r="B551" t="s">
        <v>5884</v>
      </c>
      <c r="C551" t="s">
        <v>4895</v>
      </c>
      <c r="D551">
        <v>1053.45</v>
      </c>
      <c r="E551" s="208">
        <v>45748</v>
      </c>
      <c r="G551" t="s">
        <v>5528</v>
      </c>
    </row>
    <row r="552" spans="1:7">
      <c r="A552" t="s">
        <v>5885</v>
      </c>
      <c r="B552" t="s">
        <v>5886</v>
      </c>
      <c r="C552" t="s">
        <v>4895</v>
      </c>
      <c r="D552">
        <v>643.5</v>
      </c>
      <c r="E552" s="208">
        <v>45748</v>
      </c>
      <c r="G552" t="s">
        <v>5528</v>
      </c>
    </row>
    <row r="553" spans="1:7">
      <c r="A553" t="s">
        <v>5887</v>
      </c>
      <c r="B553" t="s">
        <v>5888</v>
      </c>
      <c r="C553" t="s">
        <v>4895</v>
      </c>
      <c r="D553">
        <v>752.55</v>
      </c>
      <c r="E553" s="208">
        <v>45748</v>
      </c>
      <c r="G553" t="s">
        <v>5528</v>
      </c>
    </row>
    <row r="554" spans="1:7">
      <c r="A554" t="s">
        <v>5889</v>
      </c>
      <c r="B554" t="s">
        <v>5890</v>
      </c>
      <c r="C554" t="s">
        <v>4895</v>
      </c>
      <c r="D554">
        <v>1206.2</v>
      </c>
      <c r="E554" s="208">
        <v>45748</v>
      </c>
      <c r="G554" t="s">
        <v>5528</v>
      </c>
    </row>
    <row r="555" spans="1:7">
      <c r="A555" t="s">
        <v>5891</v>
      </c>
      <c r="B555" t="s">
        <v>5892</v>
      </c>
      <c r="C555" t="s">
        <v>4895</v>
      </c>
      <c r="D555">
        <v>1648.2</v>
      </c>
      <c r="E555" s="208">
        <v>45748</v>
      </c>
      <c r="G555" t="s">
        <v>5528</v>
      </c>
    </row>
    <row r="556" spans="1:7">
      <c r="A556" t="s">
        <v>5893</v>
      </c>
      <c r="B556" t="s">
        <v>5894</v>
      </c>
      <c r="C556" t="s">
        <v>4895</v>
      </c>
      <c r="D556">
        <v>119.05</v>
      </c>
      <c r="E556" s="208">
        <v>45748</v>
      </c>
      <c r="G556" t="s">
        <v>5528</v>
      </c>
    </row>
    <row r="557" spans="1:7">
      <c r="A557" t="s">
        <v>5895</v>
      </c>
      <c r="B557" t="s">
        <v>5896</v>
      </c>
      <c r="C557" t="s">
        <v>4895</v>
      </c>
      <c r="D557">
        <v>138.05000000000001</v>
      </c>
      <c r="E557" s="208">
        <v>45748</v>
      </c>
      <c r="G557" t="s">
        <v>5528</v>
      </c>
    </row>
    <row r="558" spans="1:7">
      <c r="A558" t="s">
        <v>5897</v>
      </c>
      <c r="B558" t="s">
        <v>5898</v>
      </c>
      <c r="C558" t="s">
        <v>4895</v>
      </c>
      <c r="D558">
        <v>161.1</v>
      </c>
      <c r="E558" s="208">
        <v>45748</v>
      </c>
      <c r="G558" t="s">
        <v>5528</v>
      </c>
    </row>
    <row r="559" spans="1:7">
      <c r="A559" t="s">
        <v>5899</v>
      </c>
      <c r="B559" t="s">
        <v>5900</v>
      </c>
      <c r="C559" t="s">
        <v>4895</v>
      </c>
      <c r="D559">
        <v>217.5</v>
      </c>
      <c r="E559" s="208">
        <v>45748</v>
      </c>
      <c r="G559" t="s">
        <v>5528</v>
      </c>
    </row>
    <row r="560" spans="1:7">
      <c r="A560" t="s">
        <v>5901</v>
      </c>
      <c r="B560" t="s">
        <v>5902</v>
      </c>
      <c r="C560" t="s">
        <v>4895</v>
      </c>
      <c r="D560">
        <v>250.13</v>
      </c>
      <c r="E560" s="208">
        <v>45748</v>
      </c>
      <c r="G560" t="s">
        <v>5528</v>
      </c>
    </row>
    <row r="561" spans="1:7">
      <c r="A561" t="s">
        <v>5903</v>
      </c>
      <c r="B561" t="s">
        <v>5904</v>
      </c>
      <c r="C561" t="s">
        <v>4895</v>
      </c>
      <c r="D561">
        <v>178.37</v>
      </c>
      <c r="E561" s="208">
        <v>45748</v>
      </c>
      <c r="G561" t="s">
        <v>5528</v>
      </c>
    </row>
    <row r="562" spans="1:7">
      <c r="A562" t="s">
        <v>5905</v>
      </c>
      <c r="B562" t="s">
        <v>5906</v>
      </c>
      <c r="C562" t="s">
        <v>4895</v>
      </c>
      <c r="D562">
        <v>215.74</v>
      </c>
      <c r="E562" s="208">
        <v>45748</v>
      </c>
      <c r="G562" t="s">
        <v>5528</v>
      </c>
    </row>
    <row r="563" spans="1:7">
      <c r="A563" t="s">
        <v>5907</v>
      </c>
      <c r="B563" t="s">
        <v>5908</v>
      </c>
      <c r="C563" t="s">
        <v>4895</v>
      </c>
      <c r="D563">
        <v>296.31</v>
      </c>
      <c r="E563" s="208">
        <v>45748</v>
      </c>
      <c r="G563" t="s">
        <v>5528</v>
      </c>
    </row>
    <row r="564" spans="1:7">
      <c r="A564" t="s">
        <v>5909</v>
      </c>
      <c r="B564" t="s">
        <v>5910</v>
      </c>
      <c r="C564" t="s">
        <v>4895</v>
      </c>
      <c r="D564">
        <v>390.28</v>
      </c>
      <c r="E564" s="208">
        <v>45748</v>
      </c>
      <c r="G564" t="s">
        <v>5528</v>
      </c>
    </row>
    <row r="565" spans="1:7">
      <c r="A565" t="s">
        <v>5911</v>
      </c>
      <c r="B565" t="s">
        <v>5912</v>
      </c>
      <c r="C565" t="s">
        <v>4895</v>
      </c>
      <c r="D565">
        <v>649.19000000000005</v>
      </c>
      <c r="E565" s="208">
        <v>45748</v>
      </c>
      <c r="G565" t="s">
        <v>5528</v>
      </c>
    </row>
    <row r="566" spans="1:7">
      <c r="A566" t="s">
        <v>5913</v>
      </c>
      <c r="B566" t="s">
        <v>5914</v>
      </c>
      <c r="C566" t="s">
        <v>4895</v>
      </c>
      <c r="D566">
        <v>719.1</v>
      </c>
      <c r="E566" s="208">
        <v>45748</v>
      </c>
      <c r="G566" t="s">
        <v>5528</v>
      </c>
    </row>
    <row r="567" spans="1:7">
      <c r="A567" t="s">
        <v>5915</v>
      </c>
      <c r="B567" t="s">
        <v>5916</v>
      </c>
      <c r="C567" t="s">
        <v>4895</v>
      </c>
      <c r="D567">
        <v>769.01</v>
      </c>
      <c r="E567" s="208">
        <v>45748</v>
      </c>
      <c r="G567" t="s">
        <v>5528</v>
      </c>
    </row>
    <row r="568" spans="1:7">
      <c r="A568" t="s">
        <v>5917</v>
      </c>
      <c r="B568" t="s">
        <v>5918</v>
      </c>
      <c r="C568" t="s">
        <v>4895</v>
      </c>
      <c r="D568">
        <v>419.37</v>
      </c>
      <c r="E568" s="208">
        <v>45748</v>
      </c>
      <c r="G568" t="s">
        <v>5528</v>
      </c>
    </row>
    <row r="569" spans="1:7">
      <c r="A569" t="s">
        <v>5919</v>
      </c>
      <c r="B569" t="s">
        <v>5920</v>
      </c>
      <c r="C569" t="s">
        <v>4895</v>
      </c>
      <c r="D569">
        <v>488.26</v>
      </c>
      <c r="E569" s="208">
        <v>45748</v>
      </c>
      <c r="G569" t="s">
        <v>5528</v>
      </c>
    </row>
    <row r="570" spans="1:7">
      <c r="A570" t="s">
        <v>5921</v>
      </c>
      <c r="B570" t="s">
        <v>5922</v>
      </c>
      <c r="C570" t="s">
        <v>4895</v>
      </c>
      <c r="D570">
        <v>611.25</v>
      </c>
      <c r="E570" s="208">
        <v>45748</v>
      </c>
      <c r="G570" t="s">
        <v>5528</v>
      </c>
    </row>
    <row r="571" spans="1:7">
      <c r="A571" t="s">
        <v>5923</v>
      </c>
      <c r="B571" t="s">
        <v>5924</v>
      </c>
      <c r="C571" t="s">
        <v>4845</v>
      </c>
      <c r="D571">
        <v>4</v>
      </c>
      <c r="E571" s="208">
        <v>45748</v>
      </c>
      <c r="G571" t="s">
        <v>5528</v>
      </c>
    </row>
    <row r="572" spans="1:7">
      <c r="A572" t="s">
        <v>5925</v>
      </c>
      <c r="B572" t="s">
        <v>5926</v>
      </c>
      <c r="C572" t="s">
        <v>5344</v>
      </c>
      <c r="D572">
        <v>15.15</v>
      </c>
      <c r="E572" s="208">
        <v>45748</v>
      </c>
      <c r="G572" t="s">
        <v>5528</v>
      </c>
    </row>
    <row r="573" spans="1:7">
      <c r="A573" t="s">
        <v>5927</v>
      </c>
      <c r="B573" t="s">
        <v>5928</v>
      </c>
      <c r="C573" t="s">
        <v>5344</v>
      </c>
      <c r="D573">
        <v>16.100000000000001</v>
      </c>
      <c r="E573" s="208">
        <v>45748</v>
      </c>
      <c r="G573" t="s">
        <v>5528</v>
      </c>
    </row>
    <row r="574" spans="1:7">
      <c r="A574" t="s">
        <v>5929</v>
      </c>
      <c r="B574" t="s">
        <v>5930</v>
      </c>
      <c r="C574" t="s">
        <v>5344</v>
      </c>
      <c r="D574">
        <v>19.05</v>
      </c>
      <c r="E574" s="208">
        <v>45748</v>
      </c>
      <c r="G574" t="s">
        <v>5528</v>
      </c>
    </row>
    <row r="575" spans="1:7">
      <c r="A575" t="s">
        <v>5931</v>
      </c>
      <c r="B575" t="s">
        <v>5932</v>
      </c>
      <c r="C575" t="s">
        <v>4845</v>
      </c>
      <c r="D575">
        <v>2.65</v>
      </c>
      <c r="E575" s="208">
        <v>45748</v>
      </c>
      <c r="G575" t="s">
        <v>5528</v>
      </c>
    </row>
    <row r="576" spans="1:7">
      <c r="A576" t="s">
        <v>5933</v>
      </c>
      <c r="B576" t="s">
        <v>5934</v>
      </c>
      <c r="C576" t="s">
        <v>4845</v>
      </c>
      <c r="D576">
        <v>14.25</v>
      </c>
      <c r="E576" s="208">
        <v>45748</v>
      </c>
      <c r="G576" t="s">
        <v>5528</v>
      </c>
    </row>
    <row r="577" spans="1:7">
      <c r="A577" t="s">
        <v>5935</v>
      </c>
      <c r="B577" t="s">
        <v>5936</v>
      </c>
      <c r="C577" t="s">
        <v>4845</v>
      </c>
      <c r="D577">
        <v>14.25</v>
      </c>
      <c r="E577" s="208">
        <v>45748</v>
      </c>
      <c r="G577" t="s">
        <v>5528</v>
      </c>
    </row>
    <row r="578" spans="1:7">
      <c r="A578" t="s">
        <v>5937</v>
      </c>
      <c r="B578" t="s">
        <v>5938</v>
      </c>
      <c r="C578" t="s">
        <v>4845</v>
      </c>
      <c r="D578">
        <v>14.25</v>
      </c>
      <c r="E578" s="208">
        <v>45748</v>
      </c>
      <c r="G578" t="s">
        <v>5528</v>
      </c>
    </row>
    <row r="579" spans="1:7">
      <c r="A579" t="s">
        <v>5939</v>
      </c>
      <c r="B579" t="s">
        <v>5940</v>
      </c>
      <c r="C579" t="s">
        <v>4845</v>
      </c>
      <c r="D579">
        <v>16.25</v>
      </c>
      <c r="E579" s="208">
        <v>45748</v>
      </c>
      <c r="G579" t="s">
        <v>5528</v>
      </c>
    </row>
    <row r="580" spans="1:7">
      <c r="A580" t="s">
        <v>5941</v>
      </c>
      <c r="B580" t="s">
        <v>5942</v>
      </c>
      <c r="C580" t="s">
        <v>5344</v>
      </c>
      <c r="D580">
        <v>9.9499999999999993</v>
      </c>
      <c r="E580" s="208">
        <v>45748</v>
      </c>
      <c r="G580" t="s">
        <v>5528</v>
      </c>
    </row>
    <row r="581" spans="1:7">
      <c r="A581" t="s">
        <v>5943</v>
      </c>
      <c r="B581" t="s">
        <v>5944</v>
      </c>
      <c r="C581" t="s">
        <v>4845</v>
      </c>
      <c r="D581">
        <v>4</v>
      </c>
      <c r="E581" s="208">
        <v>45748</v>
      </c>
      <c r="G581" t="s">
        <v>5528</v>
      </c>
    </row>
    <row r="582" spans="1:7">
      <c r="A582" t="s">
        <v>5945</v>
      </c>
      <c r="B582" t="s">
        <v>5946</v>
      </c>
      <c r="C582" t="s">
        <v>4845</v>
      </c>
      <c r="D582">
        <v>4</v>
      </c>
      <c r="E582" s="208">
        <v>45748</v>
      </c>
      <c r="G582" t="s">
        <v>5528</v>
      </c>
    </row>
    <row r="583" spans="1:7">
      <c r="A583" t="s">
        <v>5947</v>
      </c>
      <c r="B583" t="s">
        <v>5948</v>
      </c>
      <c r="C583" t="s">
        <v>4845</v>
      </c>
      <c r="D583">
        <v>2.95</v>
      </c>
      <c r="E583" s="208">
        <v>45748</v>
      </c>
      <c r="G583" t="s">
        <v>5528</v>
      </c>
    </row>
    <row r="584" spans="1:7">
      <c r="A584" t="s">
        <v>5949</v>
      </c>
      <c r="B584" t="s">
        <v>5950</v>
      </c>
      <c r="C584" t="s">
        <v>4845</v>
      </c>
      <c r="D584">
        <v>2.65</v>
      </c>
      <c r="E584" s="208">
        <v>45748</v>
      </c>
      <c r="G584" t="s">
        <v>5528</v>
      </c>
    </row>
    <row r="585" spans="1:7">
      <c r="A585" t="s">
        <v>5951</v>
      </c>
      <c r="B585" t="s">
        <v>5952</v>
      </c>
      <c r="C585" t="s">
        <v>4845</v>
      </c>
      <c r="D585">
        <v>1.7</v>
      </c>
      <c r="E585" s="208">
        <v>45748</v>
      </c>
      <c r="G585" t="s">
        <v>5528</v>
      </c>
    </row>
    <row r="586" spans="1:7">
      <c r="A586" t="s">
        <v>5953</v>
      </c>
      <c r="B586" t="s">
        <v>5954</v>
      </c>
      <c r="C586" t="s">
        <v>4845</v>
      </c>
      <c r="D586">
        <v>5.4</v>
      </c>
      <c r="E586" s="208">
        <v>45748</v>
      </c>
      <c r="G586" t="s">
        <v>5528</v>
      </c>
    </row>
    <row r="587" spans="1:7">
      <c r="A587" t="s">
        <v>5955</v>
      </c>
      <c r="B587" t="s">
        <v>5956</v>
      </c>
      <c r="C587" t="s">
        <v>4845</v>
      </c>
      <c r="D587">
        <v>1.95</v>
      </c>
      <c r="E587" s="208">
        <v>45748</v>
      </c>
      <c r="G587" t="s">
        <v>5528</v>
      </c>
    </row>
    <row r="588" spans="1:7">
      <c r="A588" t="s">
        <v>5957</v>
      </c>
      <c r="B588" t="s">
        <v>5958</v>
      </c>
      <c r="C588" t="s">
        <v>4845</v>
      </c>
      <c r="D588">
        <v>1.95</v>
      </c>
      <c r="E588" s="208">
        <v>45748</v>
      </c>
      <c r="G588" t="s">
        <v>5528</v>
      </c>
    </row>
    <row r="589" spans="1:7">
      <c r="A589" t="s">
        <v>5959</v>
      </c>
      <c r="B589" t="s">
        <v>5960</v>
      </c>
      <c r="C589" t="s">
        <v>4845</v>
      </c>
      <c r="D589">
        <v>3.45</v>
      </c>
      <c r="E589" s="208">
        <v>45748</v>
      </c>
      <c r="G589" t="s">
        <v>5528</v>
      </c>
    </row>
    <row r="590" spans="1:7">
      <c r="A590" t="s">
        <v>5961</v>
      </c>
      <c r="B590" t="s">
        <v>5962</v>
      </c>
      <c r="C590" t="s">
        <v>4845</v>
      </c>
      <c r="D590">
        <v>3.45</v>
      </c>
      <c r="E590" s="208">
        <v>45748</v>
      </c>
      <c r="G590" t="s">
        <v>5528</v>
      </c>
    </row>
    <row r="591" spans="1:7">
      <c r="A591" t="s">
        <v>5963</v>
      </c>
      <c r="B591" t="s">
        <v>5964</v>
      </c>
      <c r="C591" t="s">
        <v>4845</v>
      </c>
      <c r="D591">
        <v>574</v>
      </c>
      <c r="E591" s="208">
        <v>45748</v>
      </c>
      <c r="G591" t="s">
        <v>5528</v>
      </c>
    </row>
    <row r="592" spans="1:7">
      <c r="A592" t="s">
        <v>5965</v>
      </c>
      <c r="B592" t="s">
        <v>5966</v>
      </c>
      <c r="C592" t="s">
        <v>4845</v>
      </c>
      <c r="D592">
        <v>155.69999999999999</v>
      </c>
      <c r="E592" s="208">
        <v>45748</v>
      </c>
      <c r="G592" t="s">
        <v>5528</v>
      </c>
    </row>
    <row r="593" spans="1:7">
      <c r="A593" t="s">
        <v>5967</v>
      </c>
      <c r="B593" t="s">
        <v>5968</v>
      </c>
      <c r="C593" t="s">
        <v>4771</v>
      </c>
      <c r="D593">
        <v>182.2</v>
      </c>
      <c r="E593" s="208">
        <v>45748</v>
      </c>
      <c r="G593" t="s">
        <v>5528</v>
      </c>
    </row>
    <row r="594" spans="1:7">
      <c r="A594" t="s">
        <v>5969</v>
      </c>
      <c r="B594" t="s">
        <v>5970</v>
      </c>
      <c r="C594" t="s">
        <v>4771</v>
      </c>
      <c r="D594">
        <v>210</v>
      </c>
      <c r="E594" s="208">
        <v>45748</v>
      </c>
      <c r="G594" t="s">
        <v>5528</v>
      </c>
    </row>
    <row r="595" spans="1:7">
      <c r="A595" t="s">
        <v>5971</v>
      </c>
      <c r="B595" t="s">
        <v>5972</v>
      </c>
      <c r="C595" t="s">
        <v>4771</v>
      </c>
      <c r="D595">
        <v>69.099999999999994</v>
      </c>
      <c r="E595" s="208">
        <v>45748</v>
      </c>
      <c r="G595" t="s">
        <v>5528</v>
      </c>
    </row>
    <row r="596" spans="1:7">
      <c r="A596" t="s">
        <v>5973</v>
      </c>
      <c r="B596" t="s">
        <v>5974</v>
      </c>
      <c r="C596" t="s">
        <v>4771</v>
      </c>
      <c r="D596">
        <v>88</v>
      </c>
      <c r="E596" s="208">
        <v>45748</v>
      </c>
      <c r="G596" t="s">
        <v>5528</v>
      </c>
    </row>
    <row r="597" spans="1:7">
      <c r="A597" t="s">
        <v>5975</v>
      </c>
      <c r="B597" t="s">
        <v>5976</v>
      </c>
      <c r="C597" t="s">
        <v>4771</v>
      </c>
      <c r="D597">
        <v>100.8</v>
      </c>
      <c r="E597" s="208">
        <v>45748</v>
      </c>
      <c r="G597" t="s">
        <v>5528</v>
      </c>
    </row>
    <row r="598" spans="1:7">
      <c r="A598" t="s">
        <v>5977</v>
      </c>
      <c r="B598" t="s">
        <v>5978</v>
      </c>
      <c r="C598" t="s">
        <v>4771</v>
      </c>
      <c r="D598">
        <v>111</v>
      </c>
      <c r="E598" s="208">
        <v>45748</v>
      </c>
      <c r="G598" t="s">
        <v>5528</v>
      </c>
    </row>
    <row r="599" spans="1:7">
      <c r="A599" t="s">
        <v>5979</v>
      </c>
      <c r="B599" t="s">
        <v>5980</v>
      </c>
      <c r="C599" t="s">
        <v>4771</v>
      </c>
      <c r="D599">
        <v>71.05</v>
      </c>
      <c r="E599" s="208">
        <v>45748</v>
      </c>
      <c r="G599" t="s">
        <v>5528</v>
      </c>
    </row>
    <row r="600" spans="1:7">
      <c r="A600" t="s">
        <v>5981</v>
      </c>
      <c r="B600" t="s">
        <v>5982</v>
      </c>
      <c r="C600" t="s">
        <v>4771</v>
      </c>
      <c r="D600">
        <v>126</v>
      </c>
      <c r="E600" s="208">
        <v>45748</v>
      </c>
      <c r="G600" t="s">
        <v>5528</v>
      </c>
    </row>
    <row r="601" spans="1:7">
      <c r="A601" t="s">
        <v>5983</v>
      </c>
      <c r="B601" t="s">
        <v>5984</v>
      </c>
      <c r="C601" t="s">
        <v>4771</v>
      </c>
      <c r="D601">
        <v>134.25</v>
      </c>
      <c r="E601" s="208">
        <v>45748</v>
      </c>
      <c r="G601" t="s">
        <v>5528</v>
      </c>
    </row>
    <row r="602" spans="1:7">
      <c r="A602" t="s">
        <v>4651</v>
      </c>
      <c r="B602" t="s">
        <v>5985</v>
      </c>
      <c r="C602" t="s">
        <v>4771</v>
      </c>
      <c r="D602">
        <v>185.5</v>
      </c>
      <c r="E602" s="208">
        <v>45748</v>
      </c>
      <c r="G602" t="s">
        <v>5528</v>
      </c>
    </row>
    <row r="603" spans="1:7">
      <c r="A603" t="s">
        <v>5986</v>
      </c>
      <c r="B603" t="s">
        <v>5987</v>
      </c>
      <c r="C603" t="s">
        <v>4771</v>
      </c>
      <c r="D603">
        <v>111.5</v>
      </c>
      <c r="E603" s="208">
        <v>45748</v>
      </c>
      <c r="G603" t="s">
        <v>5528</v>
      </c>
    </row>
    <row r="604" spans="1:7">
      <c r="A604" t="s">
        <v>5988</v>
      </c>
      <c r="B604" t="s">
        <v>5989</v>
      </c>
      <c r="C604" t="s">
        <v>4771</v>
      </c>
      <c r="D604">
        <v>136.35</v>
      </c>
      <c r="E604" s="208">
        <v>45748</v>
      </c>
      <c r="G604" t="s">
        <v>5528</v>
      </c>
    </row>
    <row r="605" spans="1:7">
      <c r="A605" t="s">
        <v>5990</v>
      </c>
      <c r="B605" t="s">
        <v>5991</v>
      </c>
      <c r="C605" t="s">
        <v>4895</v>
      </c>
      <c r="D605">
        <v>72.84</v>
      </c>
      <c r="E605" s="208">
        <v>45748</v>
      </c>
      <c r="G605" t="s">
        <v>5528</v>
      </c>
    </row>
    <row r="606" spans="1:7">
      <c r="A606" t="s">
        <v>5992</v>
      </c>
      <c r="B606" t="s">
        <v>5993</v>
      </c>
      <c r="C606" t="s">
        <v>4895</v>
      </c>
      <c r="D606">
        <v>38.5</v>
      </c>
      <c r="E606" s="208">
        <v>45748</v>
      </c>
      <c r="G606" t="s">
        <v>5528</v>
      </c>
    </row>
    <row r="607" spans="1:7">
      <c r="A607" t="s">
        <v>4649</v>
      </c>
      <c r="B607" t="s">
        <v>5994</v>
      </c>
      <c r="C607" t="s">
        <v>4845</v>
      </c>
      <c r="D607">
        <v>91.5</v>
      </c>
      <c r="E607" s="208">
        <v>45748</v>
      </c>
      <c r="G607" t="s">
        <v>5528</v>
      </c>
    </row>
    <row r="608" spans="1:7">
      <c r="A608" t="s">
        <v>4667</v>
      </c>
      <c r="B608" t="s">
        <v>5995</v>
      </c>
      <c r="C608" t="s">
        <v>4845</v>
      </c>
      <c r="D608">
        <v>118.8</v>
      </c>
      <c r="E608" s="208">
        <v>45748</v>
      </c>
      <c r="G608" t="s">
        <v>5528</v>
      </c>
    </row>
    <row r="609" spans="1:7">
      <c r="A609" t="s">
        <v>5996</v>
      </c>
      <c r="B609" t="s">
        <v>5997</v>
      </c>
      <c r="C609" t="s">
        <v>4845</v>
      </c>
      <c r="D609">
        <v>116.8</v>
      </c>
      <c r="E609" s="208">
        <v>45748</v>
      </c>
      <c r="G609" t="s">
        <v>5528</v>
      </c>
    </row>
    <row r="610" spans="1:7">
      <c r="A610" t="s">
        <v>5998</v>
      </c>
      <c r="B610" t="s">
        <v>5999</v>
      </c>
      <c r="C610" t="s">
        <v>4845</v>
      </c>
      <c r="D610">
        <v>175.1</v>
      </c>
      <c r="E610" s="208">
        <v>45748</v>
      </c>
      <c r="G610" t="s">
        <v>5528</v>
      </c>
    </row>
    <row r="611" spans="1:7">
      <c r="A611" t="s">
        <v>6000</v>
      </c>
      <c r="B611" t="s">
        <v>6001</v>
      </c>
      <c r="C611" t="s">
        <v>4845</v>
      </c>
      <c r="D611">
        <v>108.25</v>
      </c>
      <c r="E611" s="208">
        <v>45748</v>
      </c>
      <c r="G611" t="s">
        <v>5528</v>
      </c>
    </row>
    <row r="612" spans="1:7">
      <c r="A612" t="s">
        <v>6002</v>
      </c>
      <c r="B612" t="s">
        <v>6003</v>
      </c>
      <c r="C612" t="s">
        <v>4845</v>
      </c>
      <c r="D612">
        <v>96.1</v>
      </c>
      <c r="E612" s="208">
        <v>45748</v>
      </c>
      <c r="G612" t="s">
        <v>5528</v>
      </c>
    </row>
    <row r="613" spans="1:7">
      <c r="A613" t="s">
        <v>6004</v>
      </c>
      <c r="B613" t="s">
        <v>6005</v>
      </c>
      <c r="C613" t="s">
        <v>4845</v>
      </c>
      <c r="D613">
        <v>107.55</v>
      </c>
      <c r="E613" s="208">
        <v>45748</v>
      </c>
      <c r="G613" t="s">
        <v>5528</v>
      </c>
    </row>
    <row r="614" spans="1:7">
      <c r="A614" t="s">
        <v>4658</v>
      </c>
      <c r="B614" t="s">
        <v>6006</v>
      </c>
      <c r="C614" t="s">
        <v>4845</v>
      </c>
      <c r="D614">
        <v>166.65</v>
      </c>
      <c r="E614" s="208">
        <v>45748</v>
      </c>
      <c r="G614" t="s">
        <v>5528</v>
      </c>
    </row>
    <row r="615" spans="1:7">
      <c r="A615" t="s">
        <v>6007</v>
      </c>
      <c r="B615" t="s">
        <v>6008</v>
      </c>
      <c r="C615" t="s">
        <v>4845</v>
      </c>
      <c r="D615">
        <v>175.9</v>
      </c>
      <c r="E615" s="208">
        <v>45748</v>
      </c>
      <c r="G615" t="s">
        <v>5528</v>
      </c>
    </row>
    <row r="616" spans="1:7">
      <c r="A616" t="s">
        <v>6009</v>
      </c>
      <c r="B616" t="s">
        <v>6010</v>
      </c>
      <c r="C616" t="s">
        <v>4845</v>
      </c>
      <c r="D616">
        <v>131.5</v>
      </c>
      <c r="E616" s="208">
        <v>45748</v>
      </c>
      <c r="G616" t="s">
        <v>5528</v>
      </c>
    </row>
    <row r="617" spans="1:7">
      <c r="A617" t="s">
        <v>6011</v>
      </c>
      <c r="B617" t="s">
        <v>6012</v>
      </c>
      <c r="C617" t="s">
        <v>4845</v>
      </c>
      <c r="D617">
        <v>130</v>
      </c>
      <c r="E617" s="208">
        <v>45748</v>
      </c>
      <c r="G617" t="s">
        <v>5528</v>
      </c>
    </row>
    <row r="618" spans="1:7">
      <c r="A618" t="s">
        <v>6013</v>
      </c>
      <c r="B618" t="s">
        <v>6014</v>
      </c>
      <c r="C618" t="s">
        <v>4845</v>
      </c>
      <c r="D618">
        <v>93.25</v>
      </c>
      <c r="E618" s="208">
        <v>45748</v>
      </c>
      <c r="G618" t="s">
        <v>5528</v>
      </c>
    </row>
    <row r="619" spans="1:7">
      <c r="A619" t="s">
        <v>6015</v>
      </c>
      <c r="B619" t="s">
        <v>6016</v>
      </c>
      <c r="C619" t="s">
        <v>4845</v>
      </c>
      <c r="D619">
        <v>91</v>
      </c>
      <c r="E619" s="208">
        <v>45748</v>
      </c>
      <c r="G619" t="s">
        <v>5528</v>
      </c>
    </row>
    <row r="620" spans="1:7">
      <c r="A620" t="s">
        <v>6017</v>
      </c>
      <c r="B620" t="s">
        <v>6018</v>
      </c>
      <c r="C620" t="s">
        <v>4845</v>
      </c>
      <c r="D620">
        <v>131.5</v>
      </c>
      <c r="E620" s="208">
        <v>45748</v>
      </c>
      <c r="G620" t="s">
        <v>5528</v>
      </c>
    </row>
    <row r="621" spans="1:7">
      <c r="A621" t="s">
        <v>6019</v>
      </c>
      <c r="B621" t="s">
        <v>6020</v>
      </c>
      <c r="C621" t="s">
        <v>4845</v>
      </c>
      <c r="D621">
        <v>119.5</v>
      </c>
      <c r="E621" s="208">
        <v>45748</v>
      </c>
      <c r="G621" t="s">
        <v>5528</v>
      </c>
    </row>
    <row r="622" spans="1:7">
      <c r="A622" t="s">
        <v>4616</v>
      </c>
      <c r="B622" t="s">
        <v>6021</v>
      </c>
      <c r="C622" t="s">
        <v>4845</v>
      </c>
      <c r="D622">
        <v>148.69999999999999</v>
      </c>
      <c r="E622" s="208">
        <v>45748</v>
      </c>
      <c r="G622" t="s">
        <v>5528</v>
      </c>
    </row>
    <row r="623" spans="1:7">
      <c r="A623" t="s">
        <v>4596</v>
      </c>
      <c r="B623" t="s">
        <v>6022</v>
      </c>
      <c r="C623" t="s">
        <v>4845</v>
      </c>
      <c r="D623">
        <v>126</v>
      </c>
      <c r="E623" s="208">
        <v>45748</v>
      </c>
      <c r="G623" t="s">
        <v>5528</v>
      </c>
    </row>
    <row r="624" spans="1:7">
      <c r="A624" t="s">
        <v>6023</v>
      </c>
      <c r="B624" t="s">
        <v>6024</v>
      </c>
      <c r="C624" t="s">
        <v>4845</v>
      </c>
      <c r="D624">
        <v>125.55</v>
      </c>
      <c r="E624" s="208">
        <v>45748</v>
      </c>
      <c r="G624" t="s">
        <v>5528</v>
      </c>
    </row>
    <row r="625" spans="1:7">
      <c r="A625" t="s">
        <v>6025</v>
      </c>
      <c r="B625" t="s">
        <v>6026</v>
      </c>
      <c r="C625" t="s">
        <v>4845</v>
      </c>
      <c r="D625">
        <v>266.75</v>
      </c>
      <c r="E625" s="208">
        <v>45748</v>
      </c>
      <c r="G625" t="s">
        <v>5528</v>
      </c>
    </row>
    <row r="626" spans="1:7">
      <c r="A626" t="s">
        <v>6027</v>
      </c>
      <c r="B626" t="s">
        <v>6028</v>
      </c>
      <c r="C626" t="s">
        <v>4845</v>
      </c>
      <c r="D626">
        <v>32.15</v>
      </c>
      <c r="E626" s="208">
        <v>45748</v>
      </c>
      <c r="G626" t="s">
        <v>5528</v>
      </c>
    </row>
    <row r="627" spans="1:7">
      <c r="A627" t="s">
        <v>6029</v>
      </c>
      <c r="B627" t="s">
        <v>6030</v>
      </c>
      <c r="C627" t="s">
        <v>4845</v>
      </c>
      <c r="D627">
        <v>27.95</v>
      </c>
      <c r="E627" s="208">
        <v>45748</v>
      </c>
      <c r="G627" t="s">
        <v>5528</v>
      </c>
    </row>
    <row r="628" spans="1:7">
      <c r="A628" t="s">
        <v>6031</v>
      </c>
      <c r="B628" t="s">
        <v>6032</v>
      </c>
      <c r="C628" t="s">
        <v>4845</v>
      </c>
      <c r="D628">
        <v>31.5</v>
      </c>
      <c r="E628" s="208">
        <v>45748</v>
      </c>
      <c r="G628" t="s">
        <v>5528</v>
      </c>
    </row>
    <row r="629" spans="1:7">
      <c r="A629" t="s">
        <v>6033</v>
      </c>
      <c r="B629" t="s">
        <v>6034</v>
      </c>
      <c r="C629" t="s">
        <v>4845</v>
      </c>
      <c r="D629">
        <v>337.45</v>
      </c>
      <c r="E629" s="208">
        <v>45748</v>
      </c>
      <c r="G629" t="s">
        <v>5528</v>
      </c>
    </row>
    <row r="630" spans="1:7">
      <c r="A630" t="s">
        <v>6035</v>
      </c>
      <c r="B630" t="s">
        <v>6036</v>
      </c>
      <c r="C630" t="s">
        <v>4845</v>
      </c>
      <c r="D630">
        <v>212.7</v>
      </c>
      <c r="E630" s="208">
        <v>45748</v>
      </c>
      <c r="G630" t="s">
        <v>5528</v>
      </c>
    </row>
    <row r="631" spans="1:7">
      <c r="A631" t="s">
        <v>6037</v>
      </c>
      <c r="B631" t="s">
        <v>6038</v>
      </c>
      <c r="C631" t="s">
        <v>4845</v>
      </c>
      <c r="D631">
        <v>406.2</v>
      </c>
      <c r="E631" s="208">
        <v>45748</v>
      </c>
      <c r="G631" t="s">
        <v>5528</v>
      </c>
    </row>
    <row r="632" spans="1:7">
      <c r="A632" t="s">
        <v>6039</v>
      </c>
      <c r="B632" t="s">
        <v>6040</v>
      </c>
      <c r="C632" t="s">
        <v>4845</v>
      </c>
      <c r="D632">
        <v>49.9</v>
      </c>
      <c r="E632" s="208">
        <v>45748</v>
      </c>
      <c r="G632" t="s">
        <v>5528</v>
      </c>
    </row>
    <row r="633" spans="1:7">
      <c r="A633" t="s">
        <v>6041</v>
      </c>
      <c r="B633" t="s">
        <v>6042</v>
      </c>
      <c r="C633" t="s">
        <v>4845</v>
      </c>
      <c r="D633">
        <v>314.5</v>
      </c>
      <c r="E633" s="208">
        <v>45748</v>
      </c>
      <c r="G633" t="s">
        <v>5528</v>
      </c>
    </row>
    <row r="634" spans="1:7">
      <c r="A634" t="s">
        <v>6043</v>
      </c>
      <c r="B634" t="s">
        <v>6044</v>
      </c>
      <c r="C634" t="s">
        <v>4845</v>
      </c>
      <c r="D634">
        <v>314.5</v>
      </c>
      <c r="E634" s="208">
        <v>45748</v>
      </c>
      <c r="G634" t="s">
        <v>5528</v>
      </c>
    </row>
    <row r="635" spans="1:7">
      <c r="A635" t="s">
        <v>6045</v>
      </c>
      <c r="B635" t="s">
        <v>6046</v>
      </c>
      <c r="C635" t="s">
        <v>4845</v>
      </c>
      <c r="D635">
        <v>586</v>
      </c>
      <c r="E635" s="208">
        <v>45748</v>
      </c>
      <c r="G635" t="s">
        <v>5528</v>
      </c>
    </row>
    <row r="636" spans="1:7">
      <c r="A636" t="s">
        <v>6047</v>
      </c>
      <c r="B636" t="s">
        <v>6048</v>
      </c>
      <c r="C636" t="s">
        <v>4845</v>
      </c>
      <c r="D636">
        <v>496.95</v>
      </c>
      <c r="E636" s="208">
        <v>45748</v>
      </c>
      <c r="G636" t="s">
        <v>5528</v>
      </c>
    </row>
    <row r="637" spans="1:7">
      <c r="A637" t="s">
        <v>6049</v>
      </c>
      <c r="B637" t="s">
        <v>6050</v>
      </c>
      <c r="C637" t="s">
        <v>4845</v>
      </c>
      <c r="D637">
        <v>477.6</v>
      </c>
      <c r="E637" s="208">
        <v>45748</v>
      </c>
      <c r="G637" t="s">
        <v>5528</v>
      </c>
    </row>
    <row r="638" spans="1:7">
      <c r="A638" t="s">
        <v>6051</v>
      </c>
      <c r="B638" t="s">
        <v>6052</v>
      </c>
      <c r="C638" t="s">
        <v>4845</v>
      </c>
      <c r="D638">
        <v>116.5</v>
      </c>
      <c r="E638" s="208">
        <v>45748</v>
      </c>
      <c r="G638" t="s">
        <v>5528</v>
      </c>
    </row>
    <row r="639" spans="1:7">
      <c r="A639" t="s">
        <v>6053</v>
      </c>
      <c r="B639" t="s">
        <v>6054</v>
      </c>
      <c r="C639" t="s">
        <v>4845</v>
      </c>
      <c r="D639">
        <v>79.849999999999994</v>
      </c>
      <c r="E639" s="208">
        <v>45748</v>
      </c>
      <c r="G639" t="s">
        <v>5528</v>
      </c>
    </row>
    <row r="640" spans="1:7">
      <c r="A640" t="s">
        <v>6055</v>
      </c>
      <c r="B640" t="s">
        <v>6056</v>
      </c>
      <c r="C640" t="s">
        <v>4845</v>
      </c>
      <c r="D640">
        <v>209.2</v>
      </c>
      <c r="E640" s="208">
        <v>45748</v>
      </c>
      <c r="G640" t="s">
        <v>5528</v>
      </c>
    </row>
    <row r="641" spans="1:7">
      <c r="A641" t="s">
        <v>6057</v>
      </c>
      <c r="B641" t="s">
        <v>6058</v>
      </c>
      <c r="C641" t="s">
        <v>4845</v>
      </c>
      <c r="D641">
        <v>343.65</v>
      </c>
      <c r="E641" s="208">
        <v>45748</v>
      </c>
      <c r="G641" t="s">
        <v>5528</v>
      </c>
    </row>
    <row r="642" spans="1:7">
      <c r="A642" t="s">
        <v>6059</v>
      </c>
      <c r="B642" t="s">
        <v>6060</v>
      </c>
      <c r="C642" t="s">
        <v>4845</v>
      </c>
      <c r="D642">
        <v>435.6</v>
      </c>
      <c r="E642" s="208">
        <v>45748</v>
      </c>
      <c r="G642" t="s">
        <v>5528</v>
      </c>
    </row>
    <row r="643" spans="1:7">
      <c r="A643" t="s">
        <v>6061</v>
      </c>
      <c r="B643" t="s">
        <v>6062</v>
      </c>
      <c r="C643" t="s">
        <v>4845</v>
      </c>
      <c r="D643">
        <v>259.60000000000002</v>
      </c>
      <c r="E643" s="208">
        <v>45748</v>
      </c>
      <c r="G643" t="s">
        <v>5528</v>
      </c>
    </row>
    <row r="644" spans="1:7">
      <c r="A644" t="s">
        <v>6063</v>
      </c>
      <c r="B644" t="s">
        <v>6064</v>
      </c>
      <c r="C644" t="s">
        <v>4845</v>
      </c>
      <c r="D644">
        <v>236.95</v>
      </c>
      <c r="E644" s="208">
        <v>45748</v>
      </c>
      <c r="G644" t="s">
        <v>5528</v>
      </c>
    </row>
    <row r="645" spans="1:7">
      <c r="A645" t="s">
        <v>6065</v>
      </c>
      <c r="B645" t="s">
        <v>6066</v>
      </c>
      <c r="C645" t="s">
        <v>4845</v>
      </c>
      <c r="D645">
        <v>4.8899999999999997</v>
      </c>
      <c r="E645" s="208">
        <v>45748</v>
      </c>
      <c r="G645" t="s">
        <v>5528</v>
      </c>
    </row>
    <row r="646" spans="1:7">
      <c r="A646" t="s">
        <v>6067</v>
      </c>
      <c r="B646" t="s">
        <v>6068</v>
      </c>
      <c r="C646" t="s">
        <v>4845</v>
      </c>
      <c r="D646">
        <v>314.5</v>
      </c>
      <c r="E646" s="208">
        <v>45748</v>
      </c>
      <c r="G646" t="s">
        <v>5528</v>
      </c>
    </row>
    <row r="647" spans="1:7">
      <c r="A647" t="s">
        <v>6069</v>
      </c>
      <c r="B647" t="s">
        <v>6070</v>
      </c>
      <c r="C647" t="s">
        <v>4845</v>
      </c>
      <c r="D647">
        <v>58</v>
      </c>
      <c r="E647" s="208">
        <v>45748</v>
      </c>
      <c r="G647" t="s">
        <v>5528</v>
      </c>
    </row>
    <row r="648" spans="1:7">
      <c r="A648" t="s">
        <v>6071</v>
      </c>
      <c r="B648" t="s">
        <v>6072</v>
      </c>
      <c r="C648" t="s">
        <v>4845</v>
      </c>
      <c r="D648">
        <v>318.25</v>
      </c>
      <c r="E648" s="208">
        <v>45748</v>
      </c>
      <c r="G648" t="s">
        <v>5528</v>
      </c>
    </row>
    <row r="649" spans="1:7">
      <c r="A649" t="s">
        <v>6073</v>
      </c>
      <c r="B649" t="s">
        <v>6074</v>
      </c>
      <c r="C649" t="s">
        <v>4845</v>
      </c>
      <c r="D649">
        <v>168.4</v>
      </c>
      <c r="E649" s="208">
        <v>45748</v>
      </c>
      <c r="G649" t="s">
        <v>5528</v>
      </c>
    </row>
    <row r="650" spans="1:7">
      <c r="A650" t="s">
        <v>6075</v>
      </c>
      <c r="B650" t="s">
        <v>6076</v>
      </c>
      <c r="C650" t="s">
        <v>4771</v>
      </c>
      <c r="D650">
        <v>515</v>
      </c>
      <c r="E650" s="208">
        <v>45748</v>
      </c>
      <c r="G650" t="s">
        <v>5528</v>
      </c>
    </row>
    <row r="651" spans="1:7">
      <c r="A651" t="s">
        <v>6075</v>
      </c>
      <c r="B651" t="s">
        <v>6077</v>
      </c>
      <c r="C651" t="s">
        <v>4771</v>
      </c>
      <c r="D651">
        <v>515</v>
      </c>
      <c r="E651" s="208">
        <v>45748</v>
      </c>
      <c r="G651" t="s">
        <v>5528</v>
      </c>
    </row>
    <row r="652" spans="1:7">
      <c r="A652" t="s">
        <v>6078</v>
      </c>
      <c r="B652" t="s">
        <v>6079</v>
      </c>
      <c r="C652" t="s">
        <v>4845</v>
      </c>
      <c r="D652">
        <v>359</v>
      </c>
      <c r="E652" s="208">
        <v>45748</v>
      </c>
      <c r="G652" t="s">
        <v>5528</v>
      </c>
    </row>
    <row r="653" spans="1:7">
      <c r="A653" t="s">
        <v>6080</v>
      </c>
      <c r="B653" t="s">
        <v>6081</v>
      </c>
      <c r="C653" t="s">
        <v>4845</v>
      </c>
      <c r="D653">
        <v>272</v>
      </c>
      <c r="E653" s="208">
        <v>45748</v>
      </c>
      <c r="G653" t="s">
        <v>5528</v>
      </c>
    </row>
    <row r="654" spans="1:7">
      <c r="A654" t="s">
        <v>6082</v>
      </c>
      <c r="B654" t="s">
        <v>6083</v>
      </c>
      <c r="C654" t="s">
        <v>4771</v>
      </c>
      <c r="D654">
        <v>62</v>
      </c>
      <c r="E654" s="208">
        <v>45748</v>
      </c>
      <c r="G654" t="s">
        <v>5528</v>
      </c>
    </row>
    <row r="655" spans="1:7">
      <c r="A655" t="s">
        <v>4755</v>
      </c>
      <c r="B655" t="s">
        <v>6084</v>
      </c>
      <c r="C655" t="s">
        <v>6085</v>
      </c>
      <c r="D655">
        <v>0.98</v>
      </c>
      <c r="E655" s="208">
        <v>45748</v>
      </c>
      <c r="G655" t="s">
        <v>5528</v>
      </c>
    </row>
    <row r="656" spans="1:7">
      <c r="A656" t="s">
        <v>6086</v>
      </c>
      <c r="B656" t="s">
        <v>6087</v>
      </c>
      <c r="C656" t="s">
        <v>6085</v>
      </c>
      <c r="D656">
        <v>2.4900000000000002</v>
      </c>
      <c r="E656" s="208">
        <v>45748</v>
      </c>
      <c r="G656" t="s">
        <v>5528</v>
      </c>
    </row>
    <row r="657" spans="1:7">
      <c r="A657" t="s">
        <v>4757</v>
      </c>
      <c r="B657" t="s">
        <v>6088</v>
      </c>
      <c r="C657" t="s">
        <v>6085</v>
      </c>
      <c r="D657">
        <v>1.84</v>
      </c>
      <c r="E657" s="208">
        <v>45748</v>
      </c>
      <c r="G657" t="s">
        <v>5528</v>
      </c>
    </row>
    <row r="658" spans="1:7">
      <c r="A658" t="s">
        <v>6089</v>
      </c>
      <c r="B658" t="s">
        <v>6090</v>
      </c>
      <c r="C658" t="s">
        <v>4771</v>
      </c>
      <c r="D658">
        <v>422.35</v>
      </c>
      <c r="E658" s="208">
        <v>45748</v>
      </c>
      <c r="G658" t="s">
        <v>5528</v>
      </c>
    </row>
    <row r="659" spans="1:7">
      <c r="A659" t="s">
        <v>4724</v>
      </c>
      <c r="B659" t="s">
        <v>6091</v>
      </c>
      <c r="C659" t="s">
        <v>6085</v>
      </c>
      <c r="D659">
        <v>1.1200000000000001</v>
      </c>
      <c r="E659" s="208">
        <v>45748</v>
      </c>
      <c r="G659" t="s">
        <v>5528</v>
      </c>
    </row>
    <row r="660" spans="1:7">
      <c r="A660" t="s">
        <v>4739</v>
      </c>
      <c r="B660" t="s">
        <v>6092</v>
      </c>
      <c r="C660" t="s">
        <v>6085</v>
      </c>
      <c r="D660">
        <v>1.02</v>
      </c>
      <c r="E660" s="208">
        <v>45748</v>
      </c>
      <c r="G660" t="s">
        <v>5528</v>
      </c>
    </row>
    <row r="661" spans="1:7">
      <c r="A661" t="s">
        <v>6093</v>
      </c>
      <c r="B661" t="s">
        <v>6094</v>
      </c>
      <c r="C661" t="s">
        <v>6085</v>
      </c>
      <c r="D661">
        <v>2.0099999999999998</v>
      </c>
      <c r="E661" s="208">
        <v>45748</v>
      </c>
      <c r="G661" t="s">
        <v>5528</v>
      </c>
    </row>
    <row r="662" spans="1:7">
      <c r="A662" t="s">
        <v>6095</v>
      </c>
      <c r="B662" t="s">
        <v>6096</v>
      </c>
      <c r="C662" t="s">
        <v>5341</v>
      </c>
      <c r="D662">
        <v>443.45</v>
      </c>
      <c r="E662" s="208">
        <v>45748</v>
      </c>
      <c r="G662" t="s">
        <v>5528</v>
      </c>
    </row>
    <row r="663" spans="1:7">
      <c r="A663" t="s">
        <v>6097</v>
      </c>
      <c r="B663" t="s">
        <v>6098</v>
      </c>
      <c r="C663" t="s">
        <v>4771</v>
      </c>
      <c r="D663">
        <v>247.2</v>
      </c>
      <c r="E663" s="208">
        <v>45748</v>
      </c>
      <c r="G663" t="s">
        <v>5528</v>
      </c>
    </row>
    <row r="664" spans="1:7">
      <c r="A664" t="s">
        <v>6099</v>
      </c>
      <c r="B664" t="s">
        <v>6100</v>
      </c>
      <c r="C664" t="s">
        <v>4771</v>
      </c>
      <c r="D664">
        <v>494</v>
      </c>
      <c r="E664" s="208">
        <v>45748</v>
      </c>
      <c r="G664" t="s">
        <v>5528</v>
      </c>
    </row>
    <row r="665" spans="1:7">
      <c r="A665" t="s">
        <v>6101</v>
      </c>
      <c r="B665" t="s">
        <v>6102</v>
      </c>
      <c r="C665" t="s">
        <v>4845</v>
      </c>
      <c r="D665">
        <v>12.99</v>
      </c>
      <c r="E665" s="208">
        <v>45748</v>
      </c>
      <c r="G665" t="s">
        <v>5528</v>
      </c>
    </row>
    <row r="666" spans="1:7">
      <c r="A666" t="s">
        <v>6103</v>
      </c>
      <c r="B666" t="s">
        <v>6104</v>
      </c>
      <c r="C666" t="s">
        <v>4845</v>
      </c>
      <c r="D666">
        <v>54.1</v>
      </c>
      <c r="E666" s="208">
        <v>45748</v>
      </c>
      <c r="G666" t="s">
        <v>5528</v>
      </c>
    </row>
    <row r="667" spans="1:7">
      <c r="A667" t="s">
        <v>6105</v>
      </c>
      <c r="B667" t="s">
        <v>6106</v>
      </c>
      <c r="C667" t="s">
        <v>4845</v>
      </c>
      <c r="D667">
        <v>55.95</v>
      </c>
      <c r="E667" s="208">
        <v>45748</v>
      </c>
      <c r="G667" t="s">
        <v>5528</v>
      </c>
    </row>
    <row r="668" spans="1:7">
      <c r="A668" t="s">
        <v>6107</v>
      </c>
      <c r="B668" t="s">
        <v>6108</v>
      </c>
      <c r="C668" t="s">
        <v>4845</v>
      </c>
      <c r="D668">
        <v>12.99</v>
      </c>
      <c r="E668" s="208">
        <v>45748</v>
      </c>
      <c r="G668" t="s">
        <v>5528</v>
      </c>
    </row>
    <row r="669" spans="1:7">
      <c r="A669" t="s">
        <v>6109</v>
      </c>
      <c r="B669" t="s">
        <v>6110</v>
      </c>
      <c r="C669" t="s">
        <v>4845</v>
      </c>
      <c r="D669">
        <v>1.29</v>
      </c>
      <c r="E669" s="208">
        <v>45748</v>
      </c>
      <c r="G669" t="s">
        <v>5528</v>
      </c>
    </row>
    <row r="670" spans="1:7">
      <c r="A670" t="s">
        <v>6111</v>
      </c>
      <c r="B670" t="s">
        <v>6112</v>
      </c>
      <c r="C670" t="s">
        <v>4771</v>
      </c>
      <c r="D670">
        <v>829.5</v>
      </c>
      <c r="E670" s="208">
        <v>45748</v>
      </c>
      <c r="G670" t="s">
        <v>5528</v>
      </c>
    </row>
    <row r="671" spans="1:7">
      <c r="A671" t="s">
        <v>6113</v>
      </c>
      <c r="B671" t="s">
        <v>6114</v>
      </c>
      <c r="C671" t="s">
        <v>6085</v>
      </c>
      <c r="D671">
        <v>2.5</v>
      </c>
      <c r="E671" s="208">
        <v>45748</v>
      </c>
      <c r="G671" t="s">
        <v>5528</v>
      </c>
    </row>
    <row r="672" spans="1:7">
      <c r="A672" t="s">
        <v>6115</v>
      </c>
      <c r="B672" t="s">
        <v>6116</v>
      </c>
      <c r="C672" t="s">
        <v>4895</v>
      </c>
      <c r="D672">
        <v>48.3</v>
      </c>
      <c r="E672" s="208">
        <v>45748</v>
      </c>
      <c r="G672" t="s">
        <v>5528</v>
      </c>
    </row>
    <row r="673" spans="1:7">
      <c r="A673" t="s">
        <v>6117</v>
      </c>
      <c r="B673" t="s">
        <v>6118</v>
      </c>
      <c r="C673" t="s">
        <v>4895</v>
      </c>
      <c r="D673">
        <v>198.95</v>
      </c>
      <c r="E673" s="208">
        <v>45748</v>
      </c>
      <c r="G673" t="s">
        <v>5528</v>
      </c>
    </row>
    <row r="674" spans="1:7">
      <c r="A674" t="s">
        <v>6119</v>
      </c>
      <c r="B674" t="s">
        <v>6120</v>
      </c>
      <c r="C674" t="s">
        <v>4895</v>
      </c>
      <c r="D674">
        <v>88.4</v>
      </c>
      <c r="E674" s="208">
        <v>45748</v>
      </c>
      <c r="G674" t="s">
        <v>5528</v>
      </c>
    </row>
    <row r="675" spans="1:7">
      <c r="A675" t="s">
        <v>6121</v>
      </c>
      <c r="B675" t="s">
        <v>6122</v>
      </c>
      <c r="C675" t="s">
        <v>4871</v>
      </c>
      <c r="D675">
        <v>12.5</v>
      </c>
      <c r="E675" s="208">
        <v>45748</v>
      </c>
      <c r="G675" t="s">
        <v>5528</v>
      </c>
    </row>
    <row r="676" spans="1:7">
      <c r="A676" t="s">
        <v>6123</v>
      </c>
      <c r="B676" t="s">
        <v>6124</v>
      </c>
      <c r="C676" t="s">
        <v>4771</v>
      </c>
      <c r="D676">
        <v>432.75</v>
      </c>
      <c r="E676" s="208">
        <v>45748</v>
      </c>
      <c r="G676" t="s">
        <v>5528</v>
      </c>
    </row>
    <row r="677" spans="1:7">
      <c r="A677" t="s">
        <v>6125</v>
      </c>
      <c r="B677" t="s">
        <v>6126</v>
      </c>
      <c r="C677" t="s">
        <v>4771</v>
      </c>
      <c r="D677">
        <v>324.60000000000002</v>
      </c>
      <c r="E677" s="208">
        <v>45748</v>
      </c>
      <c r="G677" t="s">
        <v>5528</v>
      </c>
    </row>
    <row r="678" spans="1:7">
      <c r="A678" t="s">
        <v>6127</v>
      </c>
      <c r="B678" t="s">
        <v>6128</v>
      </c>
      <c r="C678" t="s">
        <v>4771</v>
      </c>
      <c r="D678">
        <v>432.75</v>
      </c>
      <c r="E678" s="208">
        <v>45748</v>
      </c>
      <c r="G678" t="s">
        <v>5528</v>
      </c>
    </row>
    <row r="679" spans="1:7">
      <c r="A679" t="s">
        <v>6129</v>
      </c>
      <c r="B679" t="s">
        <v>6130</v>
      </c>
      <c r="C679" t="s">
        <v>4771</v>
      </c>
      <c r="D679">
        <v>293.8</v>
      </c>
      <c r="E679" s="208">
        <v>45748</v>
      </c>
      <c r="G679" t="s">
        <v>5528</v>
      </c>
    </row>
    <row r="680" spans="1:7">
      <c r="A680" t="s">
        <v>6131</v>
      </c>
      <c r="B680" t="s">
        <v>6132</v>
      </c>
      <c r="C680" t="s">
        <v>4771</v>
      </c>
      <c r="D680">
        <v>99.6</v>
      </c>
      <c r="E680" s="208">
        <v>45748</v>
      </c>
      <c r="G680" t="s">
        <v>5528</v>
      </c>
    </row>
    <row r="681" spans="1:7">
      <c r="A681" t="s">
        <v>6133</v>
      </c>
      <c r="B681" t="s">
        <v>6134</v>
      </c>
      <c r="C681" t="s">
        <v>4771</v>
      </c>
      <c r="D681">
        <v>172.15</v>
      </c>
      <c r="E681" s="208">
        <v>45748</v>
      </c>
      <c r="G681" t="s">
        <v>5528</v>
      </c>
    </row>
    <row r="682" spans="1:7">
      <c r="A682" t="s">
        <v>6135</v>
      </c>
      <c r="B682" t="s">
        <v>6136</v>
      </c>
      <c r="C682" t="s">
        <v>4845</v>
      </c>
      <c r="D682">
        <v>545.04999999999995</v>
      </c>
      <c r="E682" s="208">
        <v>45748</v>
      </c>
      <c r="G682" t="s">
        <v>5528</v>
      </c>
    </row>
    <row r="683" spans="1:7">
      <c r="A683" t="s">
        <v>6137</v>
      </c>
      <c r="B683" t="s">
        <v>6138</v>
      </c>
      <c r="C683" t="s">
        <v>4845</v>
      </c>
      <c r="D683">
        <v>39.9</v>
      </c>
      <c r="E683" s="208">
        <v>45748</v>
      </c>
      <c r="G683" t="s">
        <v>5528</v>
      </c>
    </row>
    <row r="684" spans="1:7">
      <c r="A684" t="s">
        <v>6139</v>
      </c>
      <c r="B684" t="s">
        <v>6140</v>
      </c>
      <c r="C684" t="s">
        <v>4845</v>
      </c>
      <c r="D684">
        <v>50.85</v>
      </c>
      <c r="E684" s="208">
        <v>45748</v>
      </c>
      <c r="G684" t="s">
        <v>5528</v>
      </c>
    </row>
    <row r="685" spans="1:7">
      <c r="A685" t="s">
        <v>6141</v>
      </c>
      <c r="B685" t="s">
        <v>6142</v>
      </c>
      <c r="C685" t="s">
        <v>4845</v>
      </c>
      <c r="D685">
        <v>64.25</v>
      </c>
      <c r="E685" s="208">
        <v>45748</v>
      </c>
      <c r="G685" t="s">
        <v>5528</v>
      </c>
    </row>
    <row r="686" spans="1:7">
      <c r="A686" t="s">
        <v>6143</v>
      </c>
      <c r="B686" t="s">
        <v>6144</v>
      </c>
      <c r="C686" t="s">
        <v>4845</v>
      </c>
      <c r="D686">
        <v>51.5</v>
      </c>
      <c r="E686" s="208">
        <v>45748</v>
      </c>
      <c r="G686" t="s">
        <v>5528</v>
      </c>
    </row>
    <row r="687" spans="1:7">
      <c r="A687" t="s">
        <v>6145</v>
      </c>
      <c r="B687" t="s">
        <v>6146</v>
      </c>
      <c r="C687" t="s">
        <v>4845</v>
      </c>
      <c r="D687">
        <v>68.900000000000006</v>
      </c>
      <c r="E687" s="208">
        <v>45748</v>
      </c>
      <c r="G687" t="s">
        <v>5528</v>
      </c>
    </row>
    <row r="688" spans="1:7">
      <c r="A688" t="s">
        <v>6147</v>
      </c>
      <c r="B688" t="s">
        <v>6148</v>
      </c>
      <c r="C688" t="s">
        <v>4845</v>
      </c>
      <c r="D688">
        <v>7.25</v>
      </c>
      <c r="E688" s="208">
        <v>45748</v>
      </c>
      <c r="G688" t="s">
        <v>5528</v>
      </c>
    </row>
    <row r="689" spans="1:7">
      <c r="A689" t="s">
        <v>6149</v>
      </c>
      <c r="B689" t="s">
        <v>6150</v>
      </c>
      <c r="C689" t="s">
        <v>4845</v>
      </c>
      <c r="D689">
        <v>10.9</v>
      </c>
      <c r="E689" s="208">
        <v>45748</v>
      </c>
      <c r="G689" t="s">
        <v>5528</v>
      </c>
    </row>
    <row r="690" spans="1:7">
      <c r="A690" t="s">
        <v>6151</v>
      </c>
      <c r="B690" t="s">
        <v>6152</v>
      </c>
      <c r="C690" t="s">
        <v>4845</v>
      </c>
      <c r="D690">
        <v>53.55</v>
      </c>
      <c r="E690" s="208">
        <v>45748</v>
      </c>
      <c r="G690" t="s">
        <v>5528</v>
      </c>
    </row>
    <row r="691" spans="1:7">
      <c r="A691" t="s">
        <v>6153</v>
      </c>
      <c r="B691" t="s">
        <v>6154</v>
      </c>
      <c r="C691" t="s">
        <v>4845</v>
      </c>
      <c r="D691">
        <v>11.6</v>
      </c>
      <c r="E691" s="208">
        <v>45748</v>
      </c>
      <c r="G691" t="s">
        <v>5528</v>
      </c>
    </row>
    <row r="692" spans="1:7">
      <c r="A692" t="s">
        <v>6155</v>
      </c>
      <c r="B692" t="s">
        <v>6156</v>
      </c>
      <c r="C692" t="s">
        <v>4845</v>
      </c>
      <c r="D692">
        <v>93.25</v>
      </c>
      <c r="E692" s="208">
        <v>45748</v>
      </c>
      <c r="G692" t="s">
        <v>5528</v>
      </c>
    </row>
    <row r="693" spans="1:7">
      <c r="A693" t="s">
        <v>6157</v>
      </c>
      <c r="B693" t="s">
        <v>6158</v>
      </c>
      <c r="C693" t="s">
        <v>4845</v>
      </c>
      <c r="D693">
        <v>16.75</v>
      </c>
      <c r="E693" s="208">
        <v>45748</v>
      </c>
      <c r="G693" t="s">
        <v>5528</v>
      </c>
    </row>
    <row r="694" spans="1:7">
      <c r="A694" t="s">
        <v>6159</v>
      </c>
      <c r="B694" t="s">
        <v>6160</v>
      </c>
      <c r="C694" t="s">
        <v>4895</v>
      </c>
      <c r="D694">
        <v>205.6</v>
      </c>
      <c r="E694" s="208">
        <v>45748</v>
      </c>
      <c r="G694" t="s">
        <v>5528</v>
      </c>
    </row>
    <row r="695" spans="1:7">
      <c r="A695" t="s">
        <v>6161</v>
      </c>
      <c r="B695" t="s">
        <v>6162</v>
      </c>
      <c r="C695" t="s">
        <v>4895</v>
      </c>
      <c r="D695">
        <v>63.5</v>
      </c>
      <c r="E695" s="208">
        <v>45748</v>
      </c>
      <c r="G695" t="s">
        <v>5528</v>
      </c>
    </row>
    <row r="696" spans="1:7">
      <c r="A696" t="s">
        <v>6163</v>
      </c>
      <c r="B696" t="s">
        <v>6164</v>
      </c>
      <c r="C696" t="s">
        <v>4845</v>
      </c>
      <c r="D696">
        <v>97.6</v>
      </c>
      <c r="E696" s="208">
        <v>45748</v>
      </c>
      <c r="G696" t="s">
        <v>5528</v>
      </c>
    </row>
    <row r="697" spans="1:7">
      <c r="A697" t="s">
        <v>6165</v>
      </c>
      <c r="B697" t="s">
        <v>6166</v>
      </c>
      <c r="C697" t="s">
        <v>4871</v>
      </c>
      <c r="D697">
        <v>27.2</v>
      </c>
      <c r="E697" s="208">
        <v>45748</v>
      </c>
      <c r="G697" t="s">
        <v>5528</v>
      </c>
    </row>
    <row r="698" spans="1:7">
      <c r="A698" t="s">
        <v>6167</v>
      </c>
      <c r="B698" t="s">
        <v>6168</v>
      </c>
      <c r="C698" t="s">
        <v>4771</v>
      </c>
      <c r="D698">
        <v>453.25</v>
      </c>
      <c r="E698" s="208">
        <v>45748</v>
      </c>
      <c r="G698" t="s">
        <v>5528</v>
      </c>
    </row>
    <row r="699" spans="1:7">
      <c r="A699" t="s">
        <v>6169</v>
      </c>
      <c r="B699" t="s">
        <v>6170</v>
      </c>
      <c r="C699" t="s">
        <v>4771</v>
      </c>
      <c r="D699">
        <v>280.5</v>
      </c>
      <c r="E699" s="208">
        <v>45748</v>
      </c>
      <c r="G699" t="s">
        <v>5528</v>
      </c>
    </row>
    <row r="700" spans="1:7">
      <c r="A700" t="s">
        <v>6171</v>
      </c>
      <c r="B700" t="s">
        <v>6172</v>
      </c>
      <c r="C700" t="s">
        <v>4771</v>
      </c>
      <c r="D700">
        <v>451.36</v>
      </c>
      <c r="E700" s="208">
        <v>45748</v>
      </c>
      <c r="G700" t="s">
        <v>5528</v>
      </c>
    </row>
    <row r="701" spans="1:7">
      <c r="A701" t="s">
        <v>6173</v>
      </c>
      <c r="B701" t="s">
        <v>6174</v>
      </c>
      <c r="C701" t="s">
        <v>4845</v>
      </c>
      <c r="D701">
        <v>8.9</v>
      </c>
      <c r="E701" s="208">
        <v>45748</v>
      </c>
      <c r="G701" t="s">
        <v>5528</v>
      </c>
    </row>
    <row r="702" spans="1:7">
      <c r="A702" t="s">
        <v>6175</v>
      </c>
      <c r="B702" t="s">
        <v>6176</v>
      </c>
      <c r="C702" t="s">
        <v>4845</v>
      </c>
      <c r="D702">
        <v>8.9</v>
      </c>
      <c r="E702" s="208">
        <v>45748</v>
      </c>
      <c r="G702" t="s">
        <v>5528</v>
      </c>
    </row>
    <row r="703" spans="1:7">
      <c r="A703" t="s">
        <v>6177</v>
      </c>
      <c r="B703" t="s">
        <v>6178</v>
      </c>
      <c r="C703" t="s">
        <v>4845</v>
      </c>
      <c r="D703">
        <v>1.5</v>
      </c>
      <c r="E703" s="208">
        <v>45748</v>
      </c>
      <c r="G703" t="s">
        <v>5528</v>
      </c>
    </row>
    <row r="704" spans="1:7">
      <c r="A704" t="s">
        <v>6179</v>
      </c>
      <c r="B704" t="s">
        <v>6180</v>
      </c>
      <c r="C704" t="s">
        <v>4845</v>
      </c>
      <c r="D704">
        <v>56.65</v>
      </c>
      <c r="E704" s="208">
        <v>45748</v>
      </c>
      <c r="G704" t="s">
        <v>5528</v>
      </c>
    </row>
    <row r="705" spans="1:7">
      <c r="A705" t="s">
        <v>6181</v>
      </c>
      <c r="B705" t="s">
        <v>6182</v>
      </c>
      <c r="C705" t="s">
        <v>4771</v>
      </c>
      <c r="D705">
        <v>1173</v>
      </c>
      <c r="E705" s="208">
        <v>45748</v>
      </c>
      <c r="G705" t="s">
        <v>5528</v>
      </c>
    </row>
    <row r="706" spans="1:7">
      <c r="A706" t="s">
        <v>6183</v>
      </c>
      <c r="B706" t="s">
        <v>6184</v>
      </c>
      <c r="C706" t="s">
        <v>4895</v>
      </c>
      <c r="D706">
        <v>353.6</v>
      </c>
      <c r="E706" s="208">
        <v>45748</v>
      </c>
      <c r="G706" t="s">
        <v>5528</v>
      </c>
    </row>
    <row r="707" spans="1:7">
      <c r="A707" t="s">
        <v>6185</v>
      </c>
      <c r="B707" t="s">
        <v>6186</v>
      </c>
      <c r="C707" t="s">
        <v>4895</v>
      </c>
      <c r="D707">
        <v>355.6</v>
      </c>
      <c r="E707" s="208">
        <v>45748</v>
      </c>
      <c r="G707" t="s">
        <v>5528</v>
      </c>
    </row>
    <row r="708" spans="1:7">
      <c r="A708" t="s">
        <v>6187</v>
      </c>
      <c r="B708" t="s">
        <v>6188</v>
      </c>
      <c r="C708" t="s">
        <v>4895</v>
      </c>
      <c r="D708">
        <v>262.5</v>
      </c>
      <c r="E708" s="208">
        <v>45748</v>
      </c>
      <c r="G708" t="s">
        <v>5528</v>
      </c>
    </row>
    <row r="709" spans="1:7">
      <c r="A709" t="s">
        <v>6189</v>
      </c>
      <c r="B709" t="s">
        <v>6190</v>
      </c>
      <c r="C709" t="s">
        <v>4895</v>
      </c>
      <c r="D709">
        <v>38.200000000000003</v>
      </c>
      <c r="E709" s="208">
        <v>45748</v>
      </c>
      <c r="G709" t="s">
        <v>5528</v>
      </c>
    </row>
    <row r="710" spans="1:7">
      <c r="A710" t="s">
        <v>6191</v>
      </c>
      <c r="B710" t="s">
        <v>6192</v>
      </c>
      <c r="C710" t="s">
        <v>4895</v>
      </c>
      <c r="D710">
        <v>166.4</v>
      </c>
      <c r="E710" s="208">
        <v>45748</v>
      </c>
      <c r="G710" t="s">
        <v>5528</v>
      </c>
    </row>
    <row r="711" spans="1:7">
      <c r="A711" t="s">
        <v>6193</v>
      </c>
      <c r="B711" t="s">
        <v>6194</v>
      </c>
      <c r="C711" t="s">
        <v>4871</v>
      </c>
      <c r="D711">
        <v>12.65</v>
      </c>
      <c r="E711" s="208">
        <v>45748</v>
      </c>
      <c r="G711" t="s">
        <v>5528</v>
      </c>
    </row>
    <row r="712" spans="1:7">
      <c r="A712" t="s">
        <v>6193</v>
      </c>
      <c r="B712" t="s">
        <v>6195</v>
      </c>
      <c r="C712" t="s">
        <v>4871</v>
      </c>
      <c r="D712">
        <v>11.65</v>
      </c>
      <c r="E712" s="208">
        <v>45748</v>
      </c>
      <c r="G712" t="s">
        <v>5528</v>
      </c>
    </row>
    <row r="713" spans="1:7">
      <c r="A713" t="s">
        <v>6196</v>
      </c>
      <c r="B713" t="s">
        <v>6197</v>
      </c>
      <c r="C713" t="s">
        <v>4895</v>
      </c>
      <c r="D713">
        <v>387.5</v>
      </c>
      <c r="E713" s="208">
        <v>45748</v>
      </c>
      <c r="G713" t="s">
        <v>5528</v>
      </c>
    </row>
    <row r="714" spans="1:7">
      <c r="A714" t="s">
        <v>6198</v>
      </c>
      <c r="B714" t="s">
        <v>6199</v>
      </c>
      <c r="C714" t="s">
        <v>4871</v>
      </c>
      <c r="D714">
        <v>10.85</v>
      </c>
      <c r="E714" s="208">
        <v>45748</v>
      </c>
      <c r="G714" t="s">
        <v>5528</v>
      </c>
    </row>
    <row r="715" spans="1:7">
      <c r="A715" t="s">
        <v>6200</v>
      </c>
      <c r="B715" t="s">
        <v>6201</v>
      </c>
      <c r="C715" t="s">
        <v>4845</v>
      </c>
      <c r="D715">
        <v>22.1</v>
      </c>
      <c r="E715" s="208">
        <v>45748</v>
      </c>
      <c r="G715" t="s">
        <v>5528</v>
      </c>
    </row>
    <row r="716" spans="1:7">
      <c r="A716" t="s">
        <v>6202</v>
      </c>
      <c r="B716" t="s">
        <v>6203</v>
      </c>
      <c r="C716" t="s">
        <v>4845</v>
      </c>
      <c r="D716">
        <v>132</v>
      </c>
      <c r="E716" s="208">
        <v>45748</v>
      </c>
      <c r="G716" t="s">
        <v>5528</v>
      </c>
    </row>
    <row r="717" spans="1:7">
      <c r="A717" t="s">
        <v>6204</v>
      </c>
      <c r="B717" t="s">
        <v>6205</v>
      </c>
      <c r="C717" t="s">
        <v>4871</v>
      </c>
      <c r="D717">
        <v>76.5</v>
      </c>
      <c r="E717" s="208">
        <v>45748</v>
      </c>
      <c r="G717" t="s">
        <v>5528</v>
      </c>
    </row>
    <row r="718" spans="1:7">
      <c r="A718" t="s">
        <v>6206</v>
      </c>
      <c r="B718" t="s">
        <v>6207</v>
      </c>
      <c r="C718" t="s">
        <v>4845</v>
      </c>
      <c r="D718">
        <v>64.12</v>
      </c>
      <c r="E718" s="208">
        <v>45748</v>
      </c>
      <c r="G718" t="s">
        <v>5528</v>
      </c>
    </row>
    <row r="719" spans="1:7">
      <c r="A719" t="s">
        <v>6208</v>
      </c>
      <c r="B719" t="s">
        <v>6209</v>
      </c>
      <c r="C719" t="s">
        <v>4845</v>
      </c>
      <c r="D719">
        <v>20.59</v>
      </c>
      <c r="E719" s="208">
        <v>45748</v>
      </c>
      <c r="G719" t="s">
        <v>5528</v>
      </c>
    </row>
    <row r="720" spans="1:7">
      <c r="A720" t="s">
        <v>6210</v>
      </c>
      <c r="B720" t="s">
        <v>6211</v>
      </c>
      <c r="C720" t="s">
        <v>4845</v>
      </c>
      <c r="D720">
        <v>94.12</v>
      </c>
      <c r="E720" s="208">
        <v>45748</v>
      </c>
      <c r="G720" t="s">
        <v>5528</v>
      </c>
    </row>
    <row r="721" spans="1:7">
      <c r="A721" t="s">
        <v>6212</v>
      </c>
      <c r="B721" t="s">
        <v>6213</v>
      </c>
      <c r="C721" t="s">
        <v>4845</v>
      </c>
      <c r="D721">
        <v>29.41</v>
      </c>
      <c r="E721" s="208">
        <v>45748</v>
      </c>
      <c r="G721" t="s">
        <v>5528</v>
      </c>
    </row>
    <row r="722" spans="1:7">
      <c r="A722" t="s">
        <v>6214</v>
      </c>
      <c r="B722" t="s">
        <v>6215</v>
      </c>
      <c r="C722" t="s">
        <v>4845</v>
      </c>
      <c r="D722">
        <v>82.35</v>
      </c>
      <c r="E722" s="208">
        <v>45748</v>
      </c>
      <c r="G722" t="s">
        <v>5528</v>
      </c>
    </row>
    <row r="723" spans="1:7">
      <c r="A723" t="s">
        <v>6216</v>
      </c>
      <c r="B723" t="s">
        <v>6217</v>
      </c>
      <c r="C723" t="s">
        <v>4845</v>
      </c>
      <c r="D723">
        <v>76.47</v>
      </c>
      <c r="E723" s="208">
        <v>45748</v>
      </c>
      <c r="G723" t="s">
        <v>5528</v>
      </c>
    </row>
    <row r="724" spans="1:7">
      <c r="A724" t="s">
        <v>6218</v>
      </c>
      <c r="B724" t="s">
        <v>6219</v>
      </c>
      <c r="C724" t="s">
        <v>4845</v>
      </c>
      <c r="D724">
        <v>117.06</v>
      </c>
      <c r="E724" s="208">
        <v>45748</v>
      </c>
      <c r="G724" t="s">
        <v>5528</v>
      </c>
    </row>
    <row r="725" spans="1:7">
      <c r="A725" t="s">
        <v>6220</v>
      </c>
      <c r="B725" t="s">
        <v>6221</v>
      </c>
      <c r="C725" t="s">
        <v>4845</v>
      </c>
      <c r="D725">
        <v>50</v>
      </c>
      <c r="E725" s="208">
        <v>45748</v>
      </c>
      <c r="G725" t="s">
        <v>5528</v>
      </c>
    </row>
    <row r="726" spans="1:7">
      <c r="A726" t="s">
        <v>6222</v>
      </c>
      <c r="B726" t="s">
        <v>6223</v>
      </c>
      <c r="C726" t="s">
        <v>4845</v>
      </c>
      <c r="D726">
        <v>176.47</v>
      </c>
      <c r="E726" s="208">
        <v>45748</v>
      </c>
      <c r="G726" t="s">
        <v>5528</v>
      </c>
    </row>
    <row r="727" spans="1:7">
      <c r="A727" t="s">
        <v>6224</v>
      </c>
      <c r="B727" t="s">
        <v>6225</v>
      </c>
      <c r="C727" t="s">
        <v>4845</v>
      </c>
      <c r="D727">
        <v>52.94</v>
      </c>
      <c r="E727" s="208">
        <v>45748</v>
      </c>
      <c r="G727" t="s">
        <v>5528</v>
      </c>
    </row>
    <row r="728" spans="1:7">
      <c r="A728" t="s">
        <v>6226</v>
      </c>
      <c r="B728" t="s">
        <v>6227</v>
      </c>
      <c r="C728" t="s">
        <v>4845</v>
      </c>
      <c r="D728">
        <v>220.59</v>
      </c>
      <c r="E728" s="208">
        <v>45748</v>
      </c>
      <c r="G728" t="s">
        <v>5528</v>
      </c>
    </row>
    <row r="729" spans="1:7">
      <c r="A729" t="s">
        <v>6228</v>
      </c>
      <c r="B729" t="s">
        <v>6229</v>
      </c>
      <c r="C729" t="s">
        <v>4845</v>
      </c>
      <c r="D729">
        <v>50</v>
      </c>
      <c r="E729" s="208">
        <v>45748</v>
      </c>
      <c r="G729" t="s">
        <v>5528</v>
      </c>
    </row>
    <row r="730" spans="1:7">
      <c r="A730" t="s">
        <v>6230</v>
      </c>
      <c r="B730" t="s">
        <v>6231</v>
      </c>
      <c r="C730" t="s">
        <v>4845</v>
      </c>
      <c r="D730">
        <v>241.18</v>
      </c>
      <c r="E730" s="208">
        <v>45748</v>
      </c>
      <c r="G730" t="s">
        <v>5528</v>
      </c>
    </row>
    <row r="731" spans="1:7">
      <c r="A731" t="s">
        <v>6232</v>
      </c>
      <c r="B731" t="s">
        <v>6233</v>
      </c>
      <c r="C731" t="s">
        <v>4845</v>
      </c>
      <c r="D731">
        <v>58.82</v>
      </c>
      <c r="E731" s="208">
        <v>45748</v>
      </c>
      <c r="G731" t="s">
        <v>5528</v>
      </c>
    </row>
    <row r="732" spans="1:7">
      <c r="A732" t="s">
        <v>6234</v>
      </c>
      <c r="B732" t="s">
        <v>6235</v>
      </c>
      <c r="C732" t="s">
        <v>4845</v>
      </c>
      <c r="D732">
        <v>88.24</v>
      </c>
      <c r="E732" s="208">
        <v>45748</v>
      </c>
      <c r="G732" t="s">
        <v>5528</v>
      </c>
    </row>
    <row r="733" spans="1:7">
      <c r="A733" t="s">
        <v>6236</v>
      </c>
      <c r="B733" t="s">
        <v>6237</v>
      </c>
      <c r="C733" t="s">
        <v>4845</v>
      </c>
      <c r="D733">
        <v>202.94</v>
      </c>
      <c r="E733" s="208">
        <v>45748</v>
      </c>
      <c r="G733" t="s">
        <v>5528</v>
      </c>
    </row>
    <row r="734" spans="1:7">
      <c r="A734" t="s">
        <v>6238</v>
      </c>
      <c r="B734" t="s">
        <v>6239</v>
      </c>
      <c r="C734" t="s">
        <v>4845</v>
      </c>
      <c r="D734">
        <v>241.18</v>
      </c>
      <c r="E734" s="208">
        <v>45748</v>
      </c>
      <c r="G734" t="s">
        <v>5528</v>
      </c>
    </row>
    <row r="735" spans="1:7">
      <c r="A735" t="s">
        <v>6240</v>
      </c>
      <c r="B735" t="s">
        <v>6241</v>
      </c>
      <c r="C735" t="s">
        <v>4845</v>
      </c>
      <c r="D735">
        <v>241.18</v>
      </c>
      <c r="E735" s="208">
        <v>45748</v>
      </c>
      <c r="G735" t="s">
        <v>5528</v>
      </c>
    </row>
    <row r="736" spans="1:7">
      <c r="A736" t="s">
        <v>6242</v>
      </c>
      <c r="B736" t="s">
        <v>6243</v>
      </c>
      <c r="C736" t="s">
        <v>5344</v>
      </c>
      <c r="D736">
        <v>16.95</v>
      </c>
      <c r="E736" s="208">
        <v>45748</v>
      </c>
      <c r="F736" t="s">
        <v>4832</v>
      </c>
      <c r="G736" t="s">
        <v>4768</v>
      </c>
    </row>
    <row r="737" spans="1:7">
      <c r="A737" t="s">
        <v>6244</v>
      </c>
      <c r="B737" t="s">
        <v>6245</v>
      </c>
      <c r="C737" t="s">
        <v>4766</v>
      </c>
      <c r="D737">
        <v>99</v>
      </c>
      <c r="E737" s="208">
        <v>45747</v>
      </c>
      <c r="F737" t="s">
        <v>5186</v>
      </c>
      <c r="G737" t="s">
        <v>4768</v>
      </c>
    </row>
    <row r="738" spans="1:7">
      <c r="A738" t="s">
        <v>6246</v>
      </c>
      <c r="B738" t="s">
        <v>6247</v>
      </c>
      <c r="C738" t="s">
        <v>4766</v>
      </c>
      <c r="D738">
        <v>5.99</v>
      </c>
      <c r="E738" s="208">
        <v>45747</v>
      </c>
      <c r="F738" t="s">
        <v>5058</v>
      </c>
      <c r="G738" t="s">
        <v>4768</v>
      </c>
    </row>
    <row r="739" spans="1:7">
      <c r="A739" t="s">
        <v>6248</v>
      </c>
      <c r="B739" t="s">
        <v>6249</v>
      </c>
      <c r="C739" t="s">
        <v>4766</v>
      </c>
      <c r="D739">
        <v>2.88</v>
      </c>
      <c r="E739" s="208">
        <v>45747</v>
      </c>
      <c r="F739" t="s">
        <v>4779</v>
      </c>
      <c r="G739" t="s">
        <v>4768</v>
      </c>
    </row>
    <row r="740" spans="1:7">
      <c r="A740" t="s">
        <v>6250</v>
      </c>
      <c r="B740" t="s">
        <v>6251</v>
      </c>
      <c r="C740" t="s">
        <v>4766</v>
      </c>
      <c r="D740">
        <v>1478</v>
      </c>
      <c r="E740" s="208">
        <v>45747</v>
      </c>
      <c r="F740" t="s">
        <v>5183</v>
      </c>
      <c r="G740" t="s">
        <v>4768</v>
      </c>
    </row>
    <row r="741" spans="1:7">
      <c r="A741" t="s">
        <v>6252</v>
      </c>
      <c r="B741" t="s">
        <v>6253</v>
      </c>
      <c r="C741" t="s">
        <v>4766</v>
      </c>
      <c r="D741">
        <v>24.98</v>
      </c>
      <c r="E741" s="208">
        <v>45747</v>
      </c>
      <c r="F741" t="s">
        <v>5058</v>
      </c>
      <c r="G741" t="s">
        <v>4768</v>
      </c>
    </row>
    <row r="742" spans="1:7">
      <c r="A742" t="s">
        <v>6254</v>
      </c>
      <c r="B742" t="s">
        <v>6255</v>
      </c>
      <c r="C742" t="s">
        <v>4803</v>
      </c>
      <c r="D742">
        <v>554</v>
      </c>
      <c r="E742" s="208">
        <v>45747</v>
      </c>
      <c r="F742" t="s">
        <v>4996</v>
      </c>
      <c r="G742" t="s">
        <v>4768</v>
      </c>
    </row>
    <row r="743" spans="1:7">
      <c r="A743" t="s">
        <v>6256</v>
      </c>
      <c r="B743" t="s">
        <v>6257</v>
      </c>
      <c r="C743" t="s">
        <v>4766</v>
      </c>
      <c r="D743">
        <v>3.83</v>
      </c>
      <c r="E743" s="208">
        <v>45744</v>
      </c>
      <c r="F743" t="s">
        <v>4832</v>
      </c>
      <c r="G743" t="s">
        <v>4768</v>
      </c>
    </row>
    <row r="744" spans="1:7">
      <c r="A744" t="s">
        <v>6258</v>
      </c>
      <c r="B744" t="s">
        <v>6259</v>
      </c>
      <c r="C744" t="s">
        <v>4766</v>
      </c>
      <c r="D744">
        <v>25.38</v>
      </c>
      <c r="E744" s="208">
        <v>45744</v>
      </c>
      <c r="F744" t="s">
        <v>4832</v>
      </c>
      <c r="G744" t="s">
        <v>4768</v>
      </c>
    </row>
    <row r="745" spans="1:7">
      <c r="A745" t="s">
        <v>6260</v>
      </c>
      <c r="B745" t="s">
        <v>6261</v>
      </c>
      <c r="C745" t="s">
        <v>4766</v>
      </c>
      <c r="D745">
        <v>55.95</v>
      </c>
      <c r="E745" s="208">
        <v>45740</v>
      </c>
      <c r="F745" t="s">
        <v>4832</v>
      </c>
      <c r="G745" t="s">
        <v>4768</v>
      </c>
    </row>
    <row r="746" spans="1:7">
      <c r="A746" t="s">
        <v>4574</v>
      </c>
      <c r="B746" t="s">
        <v>4573</v>
      </c>
      <c r="C746" t="s">
        <v>5025</v>
      </c>
      <c r="D746">
        <v>149.85</v>
      </c>
      <c r="E746" s="208">
        <v>45740</v>
      </c>
      <c r="F746" t="s">
        <v>4804</v>
      </c>
      <c r="G746" t="s">
        <v>4768</v>
      </c>
    </row>
    <row r="747" spans="1:7">
      <c r="A747" t="s">
        <v>6262</v>
      </c>
      <c r="B747" t="s">
        <v>6263</v>
      </c>
      <c r="C747" t="s">
        <v>4766</v>
      </c>
      <c r="D747">
        <v>103.63</v>
      </c>
      <c r="E747" s="208">
        <v>45740</v>
      </c>
      <c r="F747" t="s">
        <v>4782</v>
      </c>
      <c r="G747" t="s">
        <v>4768</v>
      </c>
    </row>
    <row r="748" spans="1:7">
      <c r="A748" t="s">
        <v>6264</v>
      </c>
      <c r="B748" t="s">
        <v>6265</v>
      </c>
      <c r="C748" t="s">
        <v>4766</v>
      </c>
      <c r="D748">
        <v>30.22</v>
      </c>
      <c r="E748" s="208">
        <v>45740</v>
      </c>
      <c r="F748" t="s">
        <v>4782</v>
      </c>
      <c r="G748" t="s">
        <v>4768</v>
      </c>
    </row>
    <row r="749" spans="1:7">
      <c r="A749" t="s">
        <v>6266</v>
      </c>
      <c r="B749" t="s">
        <v>6267</v>
      </c>
      <c r="C749" t="s">
        <v>4771</v>
      </c>
      <c r="D749">
        <v>71</v>
      </c>
      <c r="E749" s="208">
        <v>45737</v>
      </c>
      <c r="F749" t="s">
        <v>4772</v>
      </c>
      <c r="G749" t="s">
        <v>4768</v>
      </c>
    </row>
    <row r="750" spans="1:7">
      <c r="A750" t="s">
        <v>6268</v>
      </c>
      <c r="B750" t="s">
        <v>6269</v>
      </c>
      <c r="C750" t="s">
        <v>4884</v>
      </c>
      <c r="D750">
        <v>398</v>
      </c>
      <c r="E750" s="208">
        <v>45737</v>
      </c>
      <c r="F750" t="s">
        <v>4804</v>
      </c>
      <c r="G750" t="s">
        <v>4768</v>
      </c>
    </row>
    <row r="751" spans="1:7">
      <c r="A751" t="s">
        <v>6270</v>
      </c>
      <c r="B751" t="s">
        <v>6271</v>
      </c>
      <c r="C751" t="s">
        <v>4806</v>
      </c>
      <c r="D751">
        <v>237</v>
      </c>
      <c r="E751" s="208">
        <v>45737</v>
      </c>
      <c r="F751" t="s">
        <v>4772</v>
      </c>
      <c r="G751" t="s">
        <v>4768</v>
      </c>
    </row>
    <row r="752" spans="1:7">
      <c r="A752" t="s">
        <v>6272</v>
      </c>
      <c r="B752" t="s">
        <v>6273</v>
      </c>
      <c r="C752" t="s">
        <v>4803</v>
      </c>
      <c r="D752">
        <v>93.65</v>
      </c>
      <c r="E752" s="208">
        <v>45737</v>
      </c>
      <c r="F752" t="s">
        <v>4772</v>
      </c>
      <c r="G752" t="s">
        <v>4768</v>
      </c>
    </row>
    <row r="753" spans="1:7">
      <c r="A753" t="s">
        <v>6274</v>
      </c>
      <c r="B753" t="s">
        <v>6275</v>
      </c>
      <c r="C753" t="s">
        <v>4766</v>
      </c>
      <c r="D753">
        <v>159</v>
      </c>
      <c r="E753" s="208">
        <v>45733</v>
      </c>
      <c r="F753" t="s">
        <v>4832</v>
      </c>
      <c r="G753" t="s">
        <v>4768</v>
      </c>
    </row>
    <row r="754" spans="1:7">
      <c r="A754" t="s">
        <v>6276</v>
      </c>
      <c r="B754" t="s">
        <v>6277</v>
      </c>
      <c r="C754" t="s">
        <v>5165</v>
      </c>
      <c r="D754">
        <v>4</v>
      </c>
      <c r="E754" s="208">
        <v>45733</v>
      </c>
      <c r="F754" t="s">
        <v>4877</v>
      </c>
      <c r="G754" t="s">
        <v>4768</v>
      </c>
    </row>
    <row r="755" spans="1:7">
      <c r="A755" t="s">
        <v>6278</v>
      </c>
      <c r="B755" t="s">
        <v>6279</v>
      </c>
      <c r="C755" t="s">
        <v>4766</v>
      </c>
      <c r="D755">
        <v>5.0999999999999996</v>
      </c>
      <c r="E755" s="208">
        <v>45730</v>
      </c>
      <c r="F755" t="s">
        <v>4832</v>
      </c>
      <c r="G755" t="s">
        <v>4768</v>
      </c>
    </row>
    <row r="756" spans="1:7">
      <c r="A756" t="s">
        <v>6280</v>
      </c>
      <c r="B756" t="s">
        <v>6281</v>
      </c>
      <c r="C756" t="s">
        <v>4766</v>
      </c>
      <c r="D756">
        <v>198.66</v>
      </c>
      <c r="E756" s="208">
        <v>45727</v>
      </c>
      <c r="F756" t="s">
        <v>4772</v>
      </c>
      <c r="G756" t="s">
        <v>4768</v>
      </c>
    </row>
    <row r="757" spans="1:7">
      <c r="A757" t="s">
        <v>6282</v>
      </c>
      <c r="B757" t="s">
        <v>6283</v>
      </c>
      <c r="C757" t="s">
        <v>4884</v>
      </c>
      <c r="D757">
        <v>765.06</v>
      </c>
      <c r="E757" s="208">
        <v>45727</v>
      </c>
      <c r="F757" t="s">
        <v>4885</v>
      </c>
      <c r="G757" t="s">
        <v>4768</v>
      </c>
    </row>
    <row r="758" spans="1:7">
      <c r="A758" t="s">
        <v>6284</v>
      </c>
      <c r="B758" t="s">
        <v>6285</v>
      </c>
      <c r="C758" t="s">
        <v>4803</v>
      </c>
      <c r="D758">
        <v>39.840000000000003</v>
      </c>
      <c r="E758" s="208">
        <v>45726</v>
      </c>
      <c r="F758" t="s">
        <v>4782</v>
      </c>
      <c r="G758" t="s">
        <v>4768</v>
      </c>
    </row>
    <row r="759" spans="1:7">
      <c r="A759" t="s">
        <v>4606</v>
      </c>
      <c r="B759" t="s">
        <v>6286</v>
      </c>
      <c r="C759" t="s">
        <v>4838</v>
      </c>
      <c r="D759">
        <v>11.4</v>
      </c>
      <c r="E759" s="208">
        <v>45726</v>
      </c>
      <c r="F759" t="s">
        <v>4772</v>
      </c>
      <c r="G759" t="s">
        <v>4768</v>
      </c>
    </row>
    <row r="760" spans="1:7">
      <c r="A760" t="s">
        <v>4710</v>
      </c>
      <c r="B760" t="s">
        <v>4709</v>
      </c>
      <c r="C760" t="s">
        <v>4985</v>
      </c>
      <c r="D760">
        <v>67.400000000000006</v>
      </c>
      <c r="E760" s="208">
        <v>45723</v>
      </c>
      <c r="F760" t="s">
        <v>4804</v>
      </c>
      <c r="G760" t="s">
        <v>4768</v>
      </c>
    </row>
    <row r="761" spans="1:7">
      <c r="A761" t="s">
        <v>6287</v>
      </c>
      <c r="B761" t="s">
        <v>6288</v>
      </c>
      <c r="C761" t="s">
        <v>4771</v>
      </c>
      <c r="D761">
        <v>73.2</v>
      </c>
      <c r="E761" s="208">
        <v>45722</v>
      </c>
      <c r="F761" t="s">
        <v>4767</v>
      </c>
      <c r="G761" t="s">
        <v>4768</v>
      </c>
    </row>
    <row r="762" spans="1:7">
      <c r="A762" t="s">
        <v>6289</v>
      </c>
      <c r="B762" t="s">
        <v>6290</v>
      </c>
      <c r="C762" t="s">
        <v>4835</v>
      </c>
      <c r="D762">
        <v>72.55</v>
      </c>
      <c r="E762" s="208">
        <v>45722</v>
      </c>
      <c r="F762" t="s">
        <v>4772</v>
      </c>
      <c r="G762" t="s">
        <v>4768</v>
      </c>
    </row>
    <row r="763" spans="1:7">
      <c r="A763" t="s">
        <v>6291</v>
      </c>
      <c r="B763" t="s">
        <v>6292</v>
      </c>
      <c r="C763" t="s">
        <v>5286</v>
      </c>
      <c r="D763">
        <v>8.7899999999999991</v>
      </c>
      <c r="E763" s="208">
        <v>45721</v>
      </c>
      <c r="F763" t="s">
        <v>4832</v>
      </c>
      <c r="G763" t="s">
        <v>4768</v>
      </c>
    </row>
    <row r="764" spans="1:7">
      <c r="A764" t="s">
        <v>6293</v>
      </c>
      <c r="B764" t="s">
        <v>6294</v>
      </c>
      <c r="C764" t="s">
        <v>4806</v>
      </c>
      <c r="D764">
        <v>72.5</v>
      </c>
      <c r="E764" s="208">
        <v>45721</v>
      </c>
      <c r="F764" t="s">
        <v>4923</v>
      </c>
      <c r="G764" t="s">
        <v>4768</v>
      </c>
    </row>
    <row r="765" spans="1:7">
      <c r="A765" t="s">
        <v>6295</v>
      </c>
      <c r="B765" t="s">
        <v>6296</v>
      </c>
      <c r="C765" t="s">
        <v>4895</v>
      </c>
      <c r="D765">
        <v>43.15</v>
      </c>
      <c r="E765" s="208">
        <v>45716</v>
      </c>
      <c r="F765" t="s">
        <v>4772</v>
      </c>
      <c r="G765" t="s">
        <v>4768</v>
      </c>
    </row>
    <row r="766" spans="1:7">
      <c r="A766" t="s">
        <v>6297</v>
      </c>
      <c r="B766" t="s">
        <v>6298</v>
      </c>
      <c r="C766" t="s">
        <v>4972</v>
      </c>
      <c r="D766">
        <v>55</v>
      </c>
      <c r="E766" s="208">
        <v>45716</v>
      </c>
      <c r="F766" t="s">
        <v>4877</v>
      </c>
      <c r="G766" t="s">
        <v>4768</v>
      </c>
    </row>
    <row r="767" spans="1:7">
      <c r="A767" t="s">
        <v>4553</v>
      </c>
      <c r="B767" t="s">
        <v>6299</v>
      </c>
      <c r="C767" t="s">
        <v>4771</v>
      </c>
      <c r="D767">
        <v>90.75</v>
      </c>
      <c r="E767" s="208">
        <v>45715</v>
      </c>
      <c r="F767" t="s">
        <v>4767</v>
      </c>
      <c r="G767" t="s">
        <v>4768</v>
      </c>
    </row>
    <row r="768" spans="1:7">
      <c r="A768" t="s">
        <v>6300</v>
      </c>
      <c r="B768" t="s">
        <v>6301</v>
      </c>
      <c r="C768" t="s">
        <v>4803</v>
      </c>
      <c r="D768">
        <v>26</v>
      </c>
      <c r="E768" s="208">
        <v>45715</v>
      </c>
      <c r="F768" t="s">
        <v>5300</v>
      </c>
      <c r="G768" t="s">
        <v>4768</v>
      </c>
    </row>
    <row r="769" spans="1:7">
      <c r="A769" t="s">
        <v>6302</v>
      </c>
      <c r="B769" t="s">
        <v>6303</v>
      </c>
      <c r="C769" t="s">
        <v>4766</v>
      </c>
      <c r="D769">
        <v>26.6</v>
      </c>
      <c r="E769" s="208">
        <v>45715</v>
      </c>
      <c r="F769" t="s">
        <v>4936</v>
      </c>
      <c r="G769" t="s">
        <v>4768</v>
      </c>
    </row>
    <row r="770" spans="1:7">
      <c r="A770" t="s">
        <v>6304</v>
      </c>
      <c r="B770" t="s">
        <v>6305</v>
      </c>
      <c r="C770" t="s">
        <v>4884</v>
      </c>
      <c r="D770">
        <v>598</v>
      </c>
      <c r="E770" s="208">
        <v>45715</v>
      </c>
      <c r="F770" t="s">
        <v>4772</v>
      </c>
      <c r="G770" t="s">
        <v>4768</v>
      </c>
    </row>
    <row r="771" spans="1:7">
      <c r="A771" t="s">
        <v>6306</v>
      </c>
      <c r="B771" t="s">
        <v>6307</v>
      </c>
      <c r="C771" t="s">
        <v>4884</v>
      </c>
      <c r="D771">
        <v>11.66</v>
      </c>
      <c r="E771" s="208">
        <v>45715</v>
      </c>
      <c r="F771" t="s">
        <v>4772</v>
      </c>
      <c r="G771" t="s">
        <v>4768</v>
      </c>
    </row>
    <row r="772" spans="1:7">
      <c r="A772" t="s">
        <v>4614</v>
      </c>
      <c r="B772" t="s">
        <v>6308</v>
      </c>
      <c r="C772" t="s">
        <v>4985</v>
      </c>
      <c r="D772">
        <v>73.650000000000006</v>
      </c>
      <c r="E772" s="208">
        <v>45714</v>
      </c>
      <c r="F772" t="s">
        <v>4804</v>
      </c>
      <c r="G772" t="s">
        <v>4768</v>
      </c>
    </row>
    <row r="773" spans="1:7">
      <c r="A773" t="s">
        <v>4610</v>
      </c>
      <c r="B773" t="s">
        <v>6309</v>
      </c>
      <c r="C773" t="s">
        <v>4803</v>
      </c>
      <c r="D773">
        <v>73.650000000000006</v>
      </c>
      <c r="E773" s="208">
        <v>45714</v>
      </c>
      <c r="F773" t="s">
        <v>4804</v>
      </c>
      <c r="G773" t="s">
        <v>4768</v>
      </c>
    </row>
    <row r="774" spans="1:7">
      <c r="A774" t="s">
        <v>4497</v>
      </c>
      <c r="B774" t="s">
        <v>6310</v>
      </c>
      <c r="C774" t="s">
        <v>4838</v>
      </c>
      <c r="D774">
        <v>14.35</v>
      </c>
      <c r="E774" s="208">
        <v>45713</v>
      </c>
      <c r="F774" t="s">
        <v>4772</v>
      </c>
      <c r="G774" t="s">
        <v>4768</v>
      </c>
    </row>
    <row r="775" spans="1:7">
      <c r="A775" t="s">
        <v>4505</v>
      </c>
      <c r="B775" t="s">
        <v>6311</v>
      </c>
      <c r="C775" t="s">
        <v>4771</v>
      </c>
      <c r="D775">
        <v>73.2</v>
      </c>
      <c r="E775" s="208">
        <v>45713</v>
      </c>
      <c r="F775" t="s">
        <v>4767</v>
      </c>
      <c r="G775" t="s">
        <v>4768</v>
      </c>
    </row>
    <row r="776" spans="1:7">
      <c r="A776" t="s">
        <v>4620</v>
      </c>
      <c r="B776" t="s">
        <v>6312</v>
      </c>
      <c r="C776" t="s">
        <v>4806</v>
      </c>
      <c r="D776">
        <v>162.1</v>
      </c>
      <c r="E776" s="208">
        <v>45713</v>
      </c>
      <c r="F776" t="s">
        <v>4804</v>
      </c>
      <c r="G776" t="s">
        <v>4768</v>
      </c>
    </row>
    <row r="777" spans="1:7">
      <c r="A777" t="s">
        <v>4585</v>
      </c>
      <c r="B777" t="s">
        <v>6313</v>
      </c>
      <c r="C777" t="s">
        <v>4806</v>
      </c>
      <c r="D777">
        <v>63.55</v>
      </c>
      <c r="E777" s="208">
        <v>45713</v>
      </c>
      <c r="F777" t="s">
        <v>4804</v>
      </c>
      <c r="G777" t="s">
        <v>4768</v>
      </c>
    </row>
    <row r="778" spans="1:7">
      <c r="A778" t="s">
        <v>4592</v>
      </c>
      <c r="B778" t="s">
        <v>6314</v>
      </c>
      <c r="C778" t="s">
        <v>5025</v>
      </c>
      <c r="D778">
        <v>149.85</v>
      </c>
      <c r="E778" s="208">
        <v>45713</v>
      </c>
      <c r="F778" t="s">
        <v>4804</v>
      </c>
      <c r="G778" t="s">
        <v>4768</v>
      </c>
    </row>
    <row r="779" spans="1:7">
      <c r="A779" t="s">
        <v>6315</v>
      </c>
      <c r="B779" t="s">
        <v>6316</v>
      </c>
      <c r="C779" t="s">
        <v>4803</v>
      </c>
      <c r="D779">
        <v>348.38</v>
      </c>
      <c r="E779" s="208">
        <v>45712</v>
      </c>
      <c r="F779" t="s">
        <v>4996</v>
      </c>
      <c r="G779" t="s">
        <v>4768</v>
      </c>
    </row>
    <row r="780" spans="1:7">
      <c r="A780" t="s">
        <v>6317</v>
      </c>
      <c r="B780" t="s">
        <v>6318</v>
      </c>
      <c r="C780" t="s">
        <v>4803</v>
      </c>
      <c r="D780">
        <v>654.54999999999995</v>
      </c>
      <c r="E780" s="208">
        <v>45712</v>
      </c>
      <c r="F780" t="s">
        <v>4996</v>
      </c>
      <c r="G780" t="s">
        <v>4768</v>
      </c>
    </row>
    <row r="781" spans="1:7">
      <c r="A781" t="s">
        <v>6319</v>
      </c>
      <c r="B781" t="s">
        <v>6320</v>
      </c>
      <c r="C781" t="s">
        <v>4884</v>
      </c>
      <c r="D781">
        <v>478.8</v>
      </c>
      <c r="E781" s="208">
        <v>45712</v>
      </c>
      <c r="F781" t="s">
        <v>4996</v>
      </c>
      <c r="G781" t="s">
        <v>4768</v>
      </c>
    </row>
    <row r="782" spans="1:7">
      <c r="A782" t="s">
        <v>6321</v>
      </c>
      <c r="B782" t="s">
        <v>6322</v>
      </c>
      <c r="C782" t="s">
        <v>4771</v>
      </c>
      <c r="D782">
        <v>74.05</v>
      </c>
      <c r="E782" s="208">
        <v>45709</v>
      </c>
      <c r="F782" t="s">
        <v>4767</v>
      </c>
      <c r="G782" t="s">
        <v>4768</v>
      </c>
    </row>
    <row r="783" spans="1:7">
      <c r="A783" t="s">
        <v>6323</v>
      </c>
      <c r="B783" t="s">
        <v>6324</v>
      </c>
      <c r="C783" t="s">
        <v>4775</v>
      </c>
      <c r="D783">
        <v>64.95</v>
      </c>
      <c r="E783" s="208">
        <v>45709</v>
      </c>
      <c r="F783" t="s">
        <v>4767</v>
      </c>
      <c r="G783" t="s">
        <v>4768</v>
      </c>
    </row>
    <row r="784" spans="1:7">
      <c r="A784" t="s">
        <v>6325</v>
      </c>
      <c r="B784" t="s">
        <v>6326</v>
      </c>
      <c r="C784" t="s">
        <v>4766</v>
      </c>
      <c r="D784">
        <v>18.3</v>
      </c>
      <c r="E784" s="208">
        <v>45709</v>
      </c>
      <c r="F784" t="s">
        <v>4767</v>
      </c>
      <c r="G784" t="s">
        <v>4768</v>
      </c>
    </row>
    <row r="785" spans="1:7">
      <c r="A785" t="s">
        <v>6327</v>
      </c>
      <c r="B785" t="s">
        <v>6328</v>
      </c>
      <c r="C785" t="s">
        <v>4766</v>
      </c>
      <c r="D785">
        <v>16.350000000000001</v>
      </c>
      <c r="E785" s="208">
        <v>45709</v>
      </c>
      <c r="F785" t="s">
        <v>4767</v>
      </c>
      <c r="G785" t="s">
        <v>4768</v>
      </c>
    </row>
    <row r="786" spans="1:7">
      <c r="A786" t="s">
        <v>6329</v>
      </c>
      <c r="B786" t="s">
        <v>6330</v>
      </c>
      <c r="C786" t="s">
        <v>6331</v>
      </c>
      <c r="D786">
        <v>32.950000000000003</v>
      </c>
      <c r="E786" s="208">
        <v>45709</v>
      </c>
      <c r="F786" t="s">
        <v>4767</v>
      </c>
      <c r="G786" t="s">
        <v>4768</v>
      </c>
    </row>
    <row r="787" spans="1:7">
      <c r="A787" t="s">
        <v>4664</v>
      </c>
      <c r="B787" t="s">
        <v>6332</v>
      </c>
      <c r="C787" t="s">
        <v>4806</v>
      </c>
      <c r="D787">
        <v>40.950000000000003</v>
      </c>
      <c r="E787" s="208">
        <v>45911</v>
      </c>
      <c r="F787" t="s">
        <v>4804</v>
      </c>
      <c r="G787" t="s">
        <v>4768</v>
      </c>
    </row>
    <row r="788" spans="1:7">
      <c r="A788" t="s">
        <v>6333</v>
      </c>
      <c r="B788" t="s">
        <v>6334</v>
      </c>
      <c r="C788" t="s">
        <v>4845</v>
      </c>
      <c r="D788">
        <v>26.5</v>
      </c>
      <c r="E788" s="208">
        <v>45709</v>
      </c>
      <c r="F788" t="s">
        <v>4767</v>
      </c>
      <c r="G788" t="s">
        <v>4768</v>
      </c>
    </row>
    <row r="789" spans="1:7">
      <c r="A789" t="s">
        <v>6335</v>
      </c>
      <c r="B789" t="s">
        <v>6336</v>
      </c>
      <c r="C789" t="s">
        <v>4766</v>
      </c>
      <c r="D789">
        <v>9.9499999999999993</v>
      </c>
      <c r="E789" s="208">
        <v>45709</v>
      </c>
      <c r="F789" t="s">
        <v>4767</v>
      </c>
      <c r="G789" t="s">
        <v>4768</v>
      </c>
    </row>
    <row r="790" spans="1:7">
      <c r="A790" t="s">
        <v>6337</v>
      </c>
      <c r="B790" t="s">
        <v>6338</v>
      </c>
      <c r="C790" t="s">
        <v>4766</v>
      </c>
      <c r="D790">
        <v>18.86</v>
      </c>
      <c r="E790" s="208">
        <v>45707</v>
      </c>
      <c r="F790" t="s">
        <v>6339</v>
      </c>
      <c r="G790" t="s">
        <v>4768</v>
      </c>
    </row>
    <row r="791" spans="1:7">
      <c r="A791" t="s">
        <v>6340</v>
      </c>
      <c r="B791" t="s">
        <v>6341</v>
      </c>
      <c r="C791" t="s">
        <v>4806</v>
      </c>
      <c r="D791">
        <v>12.95</v>
      </c>
      <c r="E791" s="208">
        <v>45707</v>
      </c>
      <c r="F791" t="s">
        <v>4767</v>
      </c>
      <c r="G791" t="s">
        <v>4768</v>
      </c>
    </row>
    <row r="792" spans="1:7">
      <c r="A792" t="s">
        <v>6342</v>
      </c>
      <c r="B792" t="s">
        <v>6343</v>
      </c>
      <c r="C792" t="s">
        <v>4766</v>
      </c>
      <c r="D792">
        <v>4.95</v>
      </c>
      <c r="E792" s="208">
        <v>45707</v>
      </c>
      <c r="F792" t="s">
        <v>4767</v>
      </c>
      <c r="G792" t="s">
        <v>4768</v>
      </c>
    </row>
    <row r="793" spans="1:7">
      <c r="A793" t="s">
        <v>6344</v>
      </c>
      <c r="B793" t="s">
        <v>6345</v>
      </c>
      <c r="C793" t="s">
        <v>4803</v>
      </c>
      <c r="D793">
        <v>118.4</v>
      </c>
      <c r="E793" s="208">
        <v>45707</v>
      </c>
      <c r="F793" t="s">
        <v>4767</v>
      </c>
      <c r="G793" t="s">
        <v>4768</v>
      </c>
    </row>
    <row r="794" spans="1:7">
      <c r="A794" t="s">
        <v>6346</v>
      </c>
      <c r="B794" t="s">
        <v>6347</v>
      </c>
      <c r="C794" t="s">
        <v>4766</v>
      </c>
      <c r="D794">
        <v>1335.34</v>
      </c>
      <c r="E794" s="208">
        <v>45701</v>
      </c>
      <c r="F794" t="s">
        <v>4772</v>
      </c>
      <c r="G794" t="s">
        <v>4768</v>
      </c>
    </row>
    <row r="795" spans="1:7">
      <c r="A795" t="s">
        <v>6348</v>
      </c>
      <c r="B795" t="s">
        <v>6349</v>
      </c>
      <c r="C795" t="s">
        <v>4845</v>
      </c>
      <c r="D795">
        <v>6.7</v>
      </c>
      <c r="E795" s="208">
        <v>45701</v>
      </c>
      <c r="F795" t="s">
        <v>4767</v>
      </c>
      <c r="G795" t="s">
        <v>4768</v>
      </c>
    </row>
    <row r="796" spans="1:7">
      <c r="A796" t="s">
        <v>6350</v>
      </c>
      <c r="B796" t="s">
        <v>6351</v>
      </c>
      <c r="C796" t="s">
        <v>4845</v>
      </c>
      <c r="D796">
        <v>26.5</v>
      </c>
      <c r="E796" s="208">
        <v>45701</v>
      </c>
      <c r="F796" t="s">
        <v>4767</v>
      </c>
      <c r="G796" t="s">
        <v>4768</v>
      </c>
    </row>
    <row r="797" spans="1:7">
      <c r="A797" t="s">
        <v>6352</v>
      </c>
      <c r="B797" t="s">
        <v>6353</v>
      </c>
      <c r="C797" t="s">
        <v>4803</v>
      </c>
      <c r="D797">
        <v>75.5</v>
      </c>
      <c r="E797" s="208">
        <v>45701</v>
      </c>
      <c r="F797" t="s">
        <v>4767</v>
      </c>
      <c r="G797" t="s">
        <v>4768</v>
      </c>
    </row>
    <row r="798" spans="1:7">
      <c r="A798" t="s">
        <v>6354</v>
      </c>
      <c r="B798" t="s">
        <v>6355</v>
      </c>
      <c r="C798" t="s">
        <v>4766</v>
      </c>
      <c r="D798">
        <v>68.2</v>
      </c>
      <c r="E798" s="208">
        <v>45700</v>
      </c>
      <c r="F798" t="s">
        <v>6356</v>
      </c>
      <c r="G798" t="s">
        <v>4768</v>
      </c>
    </row>
    <row r="799" spans="1:7">
      <c r="A799" t="s">
        <v>6357</v>
      </c>
      <c r="B799" t="s">
        <v>6358</v>
      </c>
      <c r="C799" t="s">
        <v>4766</v>
      </c>
      <c r="D799">
        <v>5.24</v>
      </c>
      <c r="E799" s="208">
        <v>45700</v>
      </c>
      <c r="F799" t="s">
        <v>4779</v>
      </c>
      <c r="G799" t="s">
        <v>4768</v>
      </c>
    </row>
    <row r="800" spans="1:7">
      <c r="A800" t="s">
        <v>6359</v>
      </c>
      <c r="B800" t="s">
        <v>6360</v>
      </c>
      <c r="C800" t="s">
        <v>4766</v>
      </c>
      <c r="D800">
        <v>22.84</v>
      </c>
      <c r="E800" s="208">
        <v>45700</v>
      </c>
      <c r="F800" t="s">
        <v>4779</v>
      </c>
      <c r="G800" t="s">
        <v>4768</v>
      </c>
    </row>
    <row r="801" spans="1:7">
      <c r="A801" t="s">
        <v>6361</v>
      </c>
      <c r="B801" t="s">
        <v>6362</v>
      </c>
      <c r="C801" t="s">
        <v>4766</v>
      </c>
      <c r="D801">
        <v>4.17</v>
      </c>
      <c r="E801" s="208">
        <v>45700</v>
      </c>
      <c r="F801" t="s">
        <v>4779</v>
      </c>
      <c r="G801" t="s">
        <v>4768</v>
      </c>
    </row>
    <row r="802" spans="1:7">
      <c r="A802" t="s">
        <v>6363</v>
      </c>
      <c r="B802" t="s">
        <v>6364</v>
      </c>
      <c r="C802" t="s">
        <v>4766</v>
      </c>
      <c r="D802">
        <v>77.16</v>
      </c>
      <c r="E802" s="208">
        <v>45700</v>
      </c>
      <c r="F802" t="s">
        <v>4779</v>
      </c>
      <c r="G802" t="s">
        <v>4768</v>
      </c>
    </row>
    <row r="803" spans="1:7">
      <c r="A803" t="s">
        <v>6365</v>
      </c>
      <c r="B803" t="s">
        <v>6366</v>
      </c>
      <c r="C803" t="s">
        <v>4766</v>
      </c>
      <c r="D803">
        <v>2.42</v>
      </c>
      <c r="E803" s="208">
        <v>45700</v>
      </c>
      <c r="F803" t="s">
        <v>4779</v>
      </c>
      <c r="G803" t="s">
        <v>4768</v>
      </c>
    </row>
    <row r="804" spans="1:7">
      <c r="A804" t="s">
        <v>6367</v>
      </c>
      <c r="B804" t="s">
        <v>6368</v>
      </c>
      <c r="C804" t="s">
        <v>4766</v>
      </c>
      <c r="D804">
        <v>580</v>
      </c>
      <c r="E804" s="208">
        <v>45700</v>
      </c>
      <c r="F804" t="s">
        <v>4779</v>
      </c>
      <c r="G804" t="s">
        <v>4768</v>
      </c>
    </row>
    <row r="805" spans="1:7">
      <c r="A805" t="s">
        <v>6369</v>
      </c>
      <c r="B805" t="s">
        <v>6370</v>
      </c>
      <c r="C805" t="s">
        <v>4766</v>
      </c>
      <c r="D805">
        <v>59.04</v>
      </c>
      <c r="E805" s="208">
        <v>45700</v>
      </c>
      <c r="F805" t="s">
        <v>5183</v>
      </c>
      <c r="G805" t="s">
        <v>4768</v>
      </c>
    </row>
    <row r="806" spans="1:7">
      <c r="A806" t="s">
        <v>6371</v>
      </c>
      <c r="B806" t="s">
        <v>6372</v>
      </c>
      <c r="C806" t="s">
        <v>4766</v>
      </c>
      <c r="D806">
        <v>492.4</v>
      </c>
      <c r="E806" s="208">
        <v>45699</v>
      </c>
      <c r="F806" t="s">
        <v>4772</v>
      </c>
      <c r="G806" t="s">
        <v>4768</v>
      </c>
    </row>
    <row r="807" spans="1:7">
      <c r="A807" t="s">
        <v>6373</v>
      </c>
      <c r="B807" t="s">
        <v>6374</v>
      </c>
      <c r="C807" t="s">
        <v>6375</v>
      </c>
      <c r="D807">
        <v>71.25</v>
      </c>
      <c r="E807" s="208">
        <v>45699</v>
      </c>
      <c r="F807" t="s">
        <v>4772</v>
      </c>
      <c r="G807" t="s">
        <v>4768</v>
      </c>
    </row>
    <row r="808" spans="1:7">
      <c r="A808" t="s">
        <v>6376</v>
      </c>
      <c r="B808" t="s">
        <v>6377</v>
      </c>
      <c r="C808" t="s">
        <v>4766</v>
      </c>
      <c r="D808">
        <v>26.65</v>
      </c>
      <c r="E808" s="208">
        <v>45699</v>
      </c>
      <c r="F808" t="s">
        <v>6339</v>
      </c>
      <c r="G808" t="s">
        <v>4768</v>
      </c>
    </row>
    <row r="809" spans="1:7">
      <c r="A809" t="s">
        <v>6378</v>
      </c>
      <c r="B809" t="s">
        <v>6379</v>
      </c>
      <c r="C809" t="s">
        <v>4766</v>
      </c>
      <c r="D809">
        <v>88.19</v>
      </c>
      <c r="E809" s="208">
        <v>45698</v>
      </c>
      <c r="F809" t="s">
        <v>4782</v>
      </c>
      <c r="G809" t="s">
        <v>4768</v>
      </c>
    </row>
    <row r="810" spans="1:7">
      <c r="A810" t="s">
        <v>6380</v>
      </c>
      <c r="B810" t="s">
        <v>6381</v>
      </c>
      <c r="C810" t="s">
        <v>4766</v>
      </c>
      <c r="D810">
        <v>29.43</v>
      </c>
      <c r="E810" s="208">
        <v>45695</v>
      </c>
      <c r="F810" t="s">
        <v>4767</v>
      </c>
      <c r="G810" t="s">
        <v>4768</v>
      </c>
    </row>
    <row r="811" spans="1:7">
      <c r="A811" t="s">
        <v>6382</v>
      </c>
      <c r="B811" t="s">
        <v>6383</v>
      </c>
      <c r="C811" t="s">
        <v>4766</v>
      </c>
      <c r="D811">
        <v>43.52</v>
      </c>
      <c r="E811" s="208">
        <v>45692</v>
      </c>
      <c r="F811" t="s">
        <v>4832</v>
      </c>
      <c r="G811" t="s">
        <v>4768</v>
      </c>
    </row>
    <row r="812" spans="1:7">
      <c r="A812" t="s">
        <v>4682</v>
      </c>
      <c r="B812" t="s">
        <v>5454</v>
      </c>
      <c r="C812" t="s">
        <v>5445</v>
      </c>
      <c r="D812">
        <v>119.6</v>
      </c>
      <c r="E812" s="208">
        <v>45691</v>
      </c>
      <c r="F812" t="s">
        <v>4804</v>
      </c>
      <c r="G812" t="s">
        <v>4768</v>
      </c>
    </row>
    <row r="813" spans="1:7">
      <c r="A813" t="s">
        <v>4702</v>
      </c>
      <c r="B813" t="s">
        <v>6384</v>
      </c>
      <c r="C813" t="s">
        <v>4838</v>
      </c>
      <c r="D813">
        <v>31.44</v>
      </c>
      <c r="E813" s="208">
        <v>45855</v>
      </c>
      <c r="F813" t="s">
        <v>4767</v>
      </c>
      <c r="G813" t="s">
        <v>4768</v>
      </c>
    </row>
    <row r="814" spans="1:7">
      <c r="A814" t="s">
        <v>6385</v>
      </c>
      <c r="B814" t="s">
        <v>6386</v>
      </c>
      <c r="C814" t="s">
        <v>4766</v>
      </c>
      <c r="D814">
        <v>45</v>
      </c>
      <c r="E814" s="208">
        <v>45685</v>
      </c>
      <c r="F814" t="s">
        <v>6387</v>
      </c>
      <c r="G814" t="s">
        <v>4768</v>
      </c>
    </row>
    <row r="815" spans="1:7">
      <c r="A815" t="s">
        <v>4600</v>
      </c>
      <c r="B815" t="s">
        <v>6388</v>
      </c>
      <c r="C815" t="s">
        <v>4771</v>
      </c>
      <c r="D815">
        <v>148.6</v>
      </c>
      <c r="E815" s="208">
        <v>45684</v>
      </c>
      <c r="F815" t="s">
        <v>4767</v>
      </c>
      <c r="G815" t="s">
        <v>4768</v>
      </c>
    </row>
    <row r="816" spans="1:7">
      <c r="A816" t="s">
        <v>4507</v>
      </c>
      <c r="B816" t="s">
        <v>6389</v>
      </c>
      <c r="C816" t="s">
        <v>4895</v>
      </c>
      <c r="D816">
        <v>168.75</v>
      </c>
      <c r="E816" s="208">
        <v>45684</v>
      </c>
      <c r="F816" t="s">
        <v>4767</v>
      </c>
      <c r="G816" t="s">
        <v>4768</v>
      </c>
    </row>
    <row r="817" spans="1:7">
      <c r="A817" t="s">
        <v>6390</v>
      </c>
      <c r="B817" t="s">
        <v>6391</v>
      </c>
      <c r="C817" t="s">
        <v>4835</v>
      </c>
      <c r="D817">
        <v>103.24</v>
      </c>
      <c r="E817" s="208">
        <v>45684</v>
      </c>
      <c r="F817" t="s">
        <v>4772</v>
      </c>
      <c r="G817" t="s">
        <v>4768</v>
      </c>
    </row>
    <row r="818" spans="1:7">
      <c r="A818" t="s">
        <v>6392</v>
      </c>
      <c r="B818" t="s">
        <v>6393</v>
      </c>
      <c r="C818" t="s">
        <v>4803</v>
      </c>
      <c r="D818">
        <v>149.85</v>
      </c>
      <c r="E818" s="208">
        <v>45680</v>
      </c>
      <c r="F818" t="s">
        <v>4804</v>
      </c>
      <c r="G818" t="s">
        <v>4768</v>
      </c>
    </row>
    <row r="819" spans="1:7">
      <c r="A819" t="s">
        <v>6394</v>
      </c>
      <c r="B819" t="s">
        <v>6395</v>
      </c>
      <c r="C819" t="s">
        <v>4972</v>
      </c>
      <c r="D819">
        <v>30.35</v>
      </c>
      <c r="E819" s="208">
        <v>45679</v>
      </c>
      <c r="F819" t="s">
        <v>4782</v>
      </c>
      <c r="G819" t="s">
        <v>4768</v>
      </c>
    </row>
    <row r="820" spans="1:7">
      <c r="A820" t="s">
        <v>6396</v>
      </c>
      <c r="B820" t="s">
        <v>6397</v>
      </c>
      <c r="C820" t="s">
        <v>5172</v>
      </c>
      <c r="D820">
        <v>150.16</v>
      </c>
      <c r="E820" s="208">
        <v>45678</v>
      </c>
      <c r="F820" t="s">
        <v>4772</v>
      </c>
      <c r="G820" t="s">
        <v>4768</v>
      </c>
    </row>
    <row r="821" spans="1:7">
      <c r="A821" t="s">
        <v>6398</v>
      </c>
      <c r="B821" t="s">
        <v>6399</v>
      </c>
      <c r="C821" t="s">
        <v>4822</v>
      </c>
      <c r="D821">
        <v>211.4</v>
      </c>
      <c r="E821" s="208">
        <v>45678</v>
      </c>
      <c r="F821" t="s">
        <v>4804</v>
      </c>
      <c r="G821" t="s">
        <v>4768</v>
      </c>
    </row>
    <row r="822" spans="1:7">
      <c r="A822" t="s">
        <v>6400</v>
      </c>
      <c r="B822" t="s">
        <v>6401</v>
      </c>
      <c r="C822" t="s">
        <v>4803</v>
      </c>
      <c r="D822">
        <v>142.25</v>
      </c>
      <c r="E822" s="208">
        <v>45673</v>
      </c>
      <c r="F822" t="s">
        <v>4804</v>
      </c>
      <c r="G822" t="s">
        <v>4768</v>
      </c>
    </row>
    <row r="823" spans="1:7">
      <c r="A823" t="s">
        <v>6402</v>
      </c>
      <c r="B823" t="s">
        <v>6403</v>
      </c>
      <c r="C823" t="s">
        <v>4766</v>
      </c>
      <c r="D823">
        <v>15.9</v>
      </c>
      <c r="E823" s="208">
        <v>45671</v>
      </c>
      <c r="F823" t="s">
        <v>4767</v>
      </c>
      <c r="G823" t="s">
        <v>4768</v>
      </c>
    </row>
    <row r="824" spans="1:7">
      <c r="A824" t="s">
        <v>4748</v>
      </c>
      <c r="B824" t="s">
        <v>6404</v>
      </c>
      <c r="C824" t="s">
        <v>4806</v>
      </c>
      <c r="D824">
        <v>76.5</v>
      </c>
      <c r="E824" s="208">
        <v>45671</v>
      </c>
      <c r="F824" t="s">
        <v>4804</v>
      </c>
      <c r="G824" t="s">
        <v>4768</v>
      </c>
    </row>
    <row r="825" spans="1:7">
      <c r="A825" t="s">
        <v>6405</v>
      </c>
      <c r="B825" t="s">
        <v>6406</v>
      </c>
      <c r="C825" t="s">
        <v>4766</v>
      </c>
      <c r="D825">
        <v>13.42</v>
      </c>
      <c r="E825" s="208">
        <v>45670</v>
      </c>
      <c r="F825" t="s">
        <v>4782</v>
      </c>
      <c r="G825" t="s">
        <v>4768</v>
      </c>
    </row>
    <row r="826" spans="1:7">
      <c r="A826" t="s">
        <v>4602</v>
      </c>
      <c r="B826" t="s">
        <v>6407</v>
      </c>
      <c r="C826" t="s">
        <v>4806</v>
      </c>
      <c r="D826">
        <v>15.35</v>
      </c>
      <c r="E826" s="208">
        <v>45667</v>
      </c>
      <c r="F826" t="s">
        <v>4804</v>
      </c>
      <c r="G826" t="s">
        <v>4768</v>
      </c>
    </row>
    <row r="827" spans="1:7">
      <c r="A827" t="s">
        <v>4647</v>
      </c>
      <c r="B827" t="s">
        <v>6408</v>
      </c>
      <c r="C827" t="s">
        <v>4806</v>
      </c>
      <c r="D827">
        <v>30.7</v>
      </c>
      <c r="E827" s="208">
        <v>45667</v>
      </c>
      <c r="F827" t="s">
        <v>4804</v>
      </c>
      <c r="G827" t="s">
        <v>4768</v>
      </c>
    </row>
    <row r="828" spans="1:7">
      <c r="A828" t="s">
        <v>6409</v>
      </c>
      <c r="B828" t="s">
        <v>6410</v>
      </c>
      <c r="C828" t="s">
        <v>4806</v>
      </c>
      <c r="D828">
        <v>35.1</v>
      </c>
      <c r="E828" s="208">
        <v>45667</v>
      </c>
      <c r="F828" t="s">
        <v>4804</v>
      </c>
      <c r="G828" t="s">
        <v>4768</v>
      </c>
    </row>
    <row r="829" spans="1:7">
      <c r="A829" t="s">
        <v>6411</v>
      </c>
      <c r="B829" t="s">
        <v>6412</v>
      </c>
      <c r="C829" t="s">
        <v>6413</v>
      </c>
      <c r="D829">
        <v>138.65</v>
      </c>
      <c r="E829" s="208">
        <v>45667</v>
      </c>
      <c r="F829" t="s">
        <v>4804</v>
      </c>
      <c r="G829" t="s">
        <v>4768</v>
      </c>
    </row>
    <row r="830" spans="1:7">
      <c r="A830" t="s">
        <v>6414</v>
      </c>
      <c r="B830" t="s">
        <v>6415</v>
      </c>
      <c r="C830" t="s">
        <v>4766</v>
      </c>
      <c r="D830">
        <v>248</v>
      </c>
      <c r="E830" s="208">
        <v>45666</v>
      </c>
      <c r="F830" t="s">
        <v>4832</v>
      </c>
      <c r="G830" t="s">
        <v>4768</v>
      </c>
    </row>
    <row r="831" spans="1:7">
      <c r="A831" t="s">
        <v>6416</v>
      </c>
      <c r="B831" t="s">
        <v>6417</v>
      </c>
      <c r="C831" t="s">
        <v>4766</v>
      </c>
      <c r="D831">
        <v>37.799999999999997</v>
      </c>
      <c r="E831" s="208">
        <v>45666</v>
      </c>
      <c r="F831" t="s">
        <v>4804</v>
      </c>
      <c r="G831" t="s">
        <v>4768</v>
      </c>
    </row>
    <row r="832" spans="1:7">
      <c r="A832" t="s">
        <v>6418</v>
      </c>
      <c r="B832" t="s">
        <v>6419</v>
      </c>
      <c r="C832" t="s">
        <v>4766</v>
      </c>
      <c r="D832">
        <v>29.95</v>
      </c>
      <c r="E832" s="208">
        <v>45666</v>
      </c>
      <c r="F832" t="s">
        <v>4804</v>
      </c>
      <c r="G832" t="s">
        <v>4768</v>
      </c>
    </row>
    <row r="833" spans="1:7">
      <c r="A833" t="s">
        <v>6420</v>
      </c>
      <c r="B833" t="s">
        <v>260</v>
      </c>
      <c r="C833" t="s">
        <v>4766</v>
      </c>
      <c r="D833">
        <v>0.96</v>
      </c>
      <c r="E833" s="208">
        <v>45666</v>
      </c>
      <c r="F833" t="s">
        <v>4936</v>
      </c>
      <c r="G833" t="s">
        <v>4768</v>
      </c>
    </row>
    <row r="834" spans="1:7">
      <c r="A834" t="s">
        <v>4608</v>
      </c>
      <c r="B834" t="s">
        <v>6421</v>
      </c>
      <c r="C834" t="s">
        <v>4813</v>
      </c>
      <c r="D834">
        <v>14.8</v>
      </c>
      <c r="E834" s="208">
        <v>45666</v>
      </c>
      <c r="F834" t="s">
        <v>4804</v>
      </c>
      <c r="G834" t="s">
        <v>4768</v>
      </c>
    </row>
    <row r="835" spans="1:7">
      <c r="A835" t="s">
        <v>4653</v>
      </c>
      <c r="B835" t="s">
        <v>5464</v>
      </c>
      <c r="C835" t="s">
        <v>4803</v>
      </c>
      <c r="D835">
        <v>140.30000000000001</v>
      </c>
      <c r="E835" s="208">
        <v>45666</v>
      </c>
      <c r="F835" t="s">
        <v>4804</v>
      </c>
      <c r="G835" t="s">
        <v>4768</v>
      </c>
    </row>
    <row r="836" spans="1:7">
      <c r="A836" t="s">
        <v>6422</v>
      </c>
      <c r="B836" t="s">
        <v>6423</v>
      </c>
      <c r="C836" t="s">
        <v>4766</v>
      </c>
      <c r="D836">
        <v>16</v>
      </c>
      <c r="E836" s="208">
        <v>45666</v>
      </c>
      <c r="F836" t="s">
        <v>4804</v>
      </c>
      <c r="G836" t="s">
        <v>4768</v>
      </c>
    </row>
    <row r="837" spans="1:7">
      <c r="A837" t="s">
        <v>6424</v>
      </c>
      <c r="B837" t="s">
        <v>6425</v>
      </c>
      <c r="C837" t="s">
        <v>4766</v>
      </c>
      <c r="D837">
        <v>22.95</v>
      </c>
      <c r="E837" s="208">
        <v>45665</v>
      </c>
      <c r="F837" t="s">
        <v>4782</v>
      </c>
      <c r="G837" t="s">
        <v>4768</v>
      </c>
    </row>
    <row r="838" spans="1:7">
      <c r="A838" t="s">
        <v>6426</v>
      </c>
      <c r="B838" t="s">
        <v>6427</v>
      </c>
      <c r="C838" t="s">
        <v>4766</v>
      </c>
      <c r="D838">
        <v>10.82</v>
      </c>
      <c r="E838" s="208">
        <v>45665</v>
      </c>
      <c r="F838" t="s">
        <v>4782</v>
      </c>
      <c r="G838" t="s">
        <v>4768</v>
      </c>
    </row>
    <row r="839" spans="1:7">
      <c r="A839" t="s">
        <v>6428</v>
      </c>
      <c r="B839" t="s">
        <v>6429</v>
      </c>
      <c r="C839" t="s">
        <v>4766</v>
      </c>
      <c r="D839">
        <v>2.12</v>
      </c>
      <c r="E839" s="208">
        <v>45664</v>
      </c>
      <c r="F839" t="s">
        <v>4832</v>
      </c>
      <c r="G839" t="s">
        <v>4768</v>
      </c>
    </row>
    <row r="840" spans="1:7">
      <c r="A840" t="s">
        <v>6430</v>
      </c>
      <c r="B840" t="s">
        <v>6431</v>
      </c>
      <c r="C840" t="s">
        <v>5445</v>
      </c>
      <c r="D840">
        <v>157</v>
      </c>
      <c r="E840" s="208">
        <v>45663</v>
      </c>
      <c r="F840" t="s">
        <v>4804</v>
      </c>
      <c r="G840" t="s">
        <v>4768</v>
      </c>
    </row>
    <row r="841" spans="1:7">
      <c r="A841" t="s">
        <v>4736</v>
      </c>
      <c r="B841" t="s">
        <v>6432</v>
      </c>
      <c r="C841" t="s">
        <v>4766</v>
      </c>
      <c r="D841">
        <v>88.99</v>
      </c>
      <c r="E841" s="208">
        <v>45663</v>
      </c>
      <c r="F841" t="s">
        <v>4782</v>
      </c>
      <c r="G841" t="s">
        <v>4768</v>
      </c>
    </row>
    <row r="842" spans="1:7">
      <c r="A842" t="s">
        <v>6433</v>
      </c>
      <c r="B842" t="s">
        <v>6434</v>
      </c>
      <c r="C842" t="s">
        <v>4766</v>
      </c>
      <c r="D842">
        <v>44.99</v>
      </c>
      <c r="E842" s="208">
        <v>45660</v>
      </c>
      <c r="F842" t="s">
        <v>4898</v>
      </c>
      <c r="G842" t="s">
        <v>4768</v>
      </c>
    </row>
    <row r="843" spans="1:7">
      <c r="A843" t="s">
        <v>4687</v>
      </c>
      <c r="B843" t="s">
        <v>6435</v>
      </c>
      <c r="C843" t="s">
        <v>4838</v>
      </c>
      <c r="D843">
        <v>20.64</v>
      </c>
      <c r="E843" s="208">
        <v>45841</v>
      </c>
      <c r="F843" t="s">
        <v>4767</v>
      </c>
      <c r="G843" t="s">
        <v>4768</v>
      </c>
    </row>
    <row r="844" spans="1:7">
      <c r="A844" t="s">
        <v>6436</v>
      </c>
      <c r="B844" t="s">
        <v>6437</v>
      </c>
      <c r="C844" t="s">
        <v>4771</v>
      </c>
      <c r="D844">
        <v>27.9</v>
      </c>
      <c r="E844" s="208">
        <v>45656</v>
      </c>
      <c r="F844" t="s">
        <v>4772</v>
      </c>
      <c r="G844" t="s">
        <v>4768</v>
      </c>
    </row>
    <row r="845" spans="1:7">
      <c r="A845" t="s">
        <v>6438</v>
      </c>
      <c r="B845" t="s">
        <v>6439</v>
      </c>
      <c r="C845" t="s">
        <v>4766</v>
      </c>
      <c r="D845">
        <v>32.15</v>
      </c>
      <c r="E845" s="208">
        <v>45649</v>
      </c>
      <c r="F845" t="s">
        <v>4804</v>
      </c>
      <c r="G845" t="s">
        <v>4768</v>
      </c>
    </row>
    <row r="846" spans="1:7">
      <c r="A846" t="s">
        <v>6440</v>
      </c>
      <c r="B846" t="s">
        <v>6441</v>
      </c>
      <c r="C846" t="s">
        <v>4766</v>
      </c>
      <c r="D846">
        <v>65.260000000000005</v>
      </c>
      <c r="E846" s="208">
        <v>45645</v>
      </c>
      <c r="F846" t="s">
        <v>4782</v>
      </c>
      <c r="G846" t="s">
        <v>4768</v>
      </c>
    </row>
    <row r="847" spans="1:7">
      <c r="A847" t="s">
        <v>6442</v>
      </c>
      <c r="B847" t="s">
        <v>6443</v>
      </c>
      <c r="C847" t="s">
        <v>4766</v>
      </c>
      <c r="D847">
        <v>77.209999999999994</v>
      </c>
      <c r="E847" s="208">
        <v>45644</v>
      </c>
      <c r="F847" t="s">
        <v>5058</v>
      </c>
      <c r="G847" t="s">
        <v>4768</v>
      </c>
    </row>
    <row r="848" spans="1:7">
      <c r="A848" t="s">
        <v>6444</v>
      </c>
      <c r="B848" t="s">
        <v>6445</v>
      </c>
      <c r="C848" t="s">
        <v>4766</v>
      </c>
      <c r="D848">
        <v>54.97</v>
      </c>
      <c r="E848" s="208">
        <v>45644</v>
      </c>
      <c r="F848" t="s">
        <v>4779</v>
      </c>
      <c r="G848" t="s">
        <v>4768</v>
      </c>
    </row>
    <row r="849" spans="1:7">
      <c r="A849" t="s">
        <v>6446</v>
      </c>
      <c r="B849" t="s">
        <v>6447</v>
      </c>
      <c r="C849" t="s">
        <v>4766</v>
      </c>
      <c r="D849">
        <v>5.0999999999999996</v>
      </c>
      <c r="E849" s="208">
        <v>45644</v>
      </c>
      <c r="F849" t="s">
        <v>6448</v>
      </c>
      <c r="G849" t="s">
        <v>4768</v>
      </c>
    </row>
    <row r="850" spans="1:7">
      <c r="A850" t="s">
        <v>6449</v>
      </c>
      <c r="B850" t="s">
        <v>6450</v>
      </c>
      <c r="C850" t="s">
        <v>4766</v>
      </c>
      <c r="D850">
        <v>49.57</v>
      </c>
      <c r="E850" s="208">
        <v>45644</v>
      </c>
      <c r="F850" t="s">
        <v>5058</v>
      </c>
      <c r="G850" t="s">
        <v>4768</v>
      </c>
    </row>
    <row r="851" spans="1:7">
      <c r="A851" t="s">
        <v>6451</v>
      </c>
      <c r="B851" t="s">
        <v>6452</v>
      </c>
      <c r="C851" t="s">
        <v>4799</v>
      </c>
      <c r="D851">
        <v>6.3570000000000002</v>
      </c>
      <c r="E851" s="208">
        <v>45644</v>
      </c>
      <c r="F851" t="s">
        <v>6339</v>
      </c>
      <c r="G851" t="s">
        <v>4768</v>
      </c>
    </row>
    <row r="852" spans="1:7">
      <c r="A852" t="s">
        <v>6453</v>
      </c>
      <c r="B852" t="s">
        <v>6454</v>
      </c>
      <c r="C852" t="s">
        <v>4766</v>
      </c>
      <c r="D852">
        <v>327.89</v>
      </c>
      <c r="E852" s="208">
        <v>45644</v>
      </c>
      <c r="F852" t="s">
        <v>5058</v>
      </c>
      <c r="G852" t="s">
        <v>4768</v>
      </c>
    </row>
    <row r="853" spans="1:7">
      <c r="A853" t="s">
        <v>6455</v>
      </c>
      <c r="B853" t="s">
        <v>6456</v>
      </c>
      <c r="C853" t="s">
        <v>4884</v>
      </c>
      <c r="D853">
        <v>89.87</v>
      </c>
      <c r="E853" s="208">
        <v>45644</v>
      </c>
      <c r="F853" t="s">
        <v>5058</v>
      </c>
      <c r="G853" t="s">
        <v>4768</v>
      </c>
    </row>
    <row r="854" spans="1:7">
      <c r="A854" t="s">
        <v>6457</v>
      </c>
      <c r="B854" t="s">
        <v>6458</v>
      </c>
      <c r="C854" t="s">
        <v>5344</v>
      </c>
      <c r="D854">
        <v>25.6</v>
      </c>
      <c r="E854" s="208">
        <v>45643</v>
      </c>
      <c r="F854" t="s">
        <v>4772</v>
      </c>
      <c r="G854" t="s">
        <v>4768</v>
      </c>
    </row>
    <row r="855" spans="1:7">
      <c r="A855" t="s">
        <v>6459</v>
      </c>
      <c r="B855" t="s">
        <v>6460</v>
      </c>
      <c r="C855" t="s">
        <v>4766</v>
      </c>
      <c r="D855">
        <v>82.79</v>
      </c>
      <c r="E855" s="208">
        <v>45642</v>
      </c>
      <c r="F855" t="s">
        <v>4782</v>
      </c>
      <c r="G855" t="s">
        <v>4768</v>
      </c>
    </row>
    <row r="856" spans="1:7">
      <c r="A856" t="s">
        <v>6461</v>
      </c>
      <c r="B856" t="s">
        <v>6462</v>
      </c>
      <c r="C856" t="s">
        <v>4766</v>
      </c>
      <c r="D856">
        <v>22.99</v>
      </c>
      <c r="E856" s="208">
        <v>45642</v>
      </c>
      <c r="F856" t="s">
        <v>4782</v>
      </c>
      <c r="G856" t="s">
        <v>4768</v>
      </c>
    </row>
    <row r="857" spans="1:7">
      <c r="A857" t="s">
        <v>6463</v>
      </c>
      <c r="B857" t="s">
        <v>6464</v>
      </c>
      <c r="C857" t="s">
        <v>4920</v>
      </c>
      <c r="D857">
        <v>11.99</v>
      </c>
      <c r="E857" s="208">
        <v>45639</v>
      </c>
      <c r="F857" t="s">
        <v>4898</v>
      </c>
      <c r="G857" t="s">
        <v>4768</v>
      </c>
    </row>
    <row r="858" spans="1:7">
      <c r="A858" t="s">
        <v>6465</v>
      </c>
      <c r="B858" t="s">
        <v>6466</v>
      </c>
      <c r="C858" t="s">
        <v>5172</v>
      </c>
      <c r="D858">
        <v>103.24</v>
      </c>
      <c r="E858" s="208">
        <v>45639</v>
      </c>
      <c r="F858" t="s">
        <v>4772</v>
      </c>
      <c r="G858" t="s">
        <v>4768</v>
      </c>
    </row>
    <row r="859" spans="1:7">
      <c r="A859" t="s">
        <v>6467</v>
      </c>
      <c r="B859" t="s">
        <v>6468</v>
      </c>
      <c r="C859" t="s">
        <v>4884</v>
      </c>
      <c r="D859">
        <v>188</v>
      </c>
      <c r="E859" s="208">
        <v>45638</v>
      </c>
      <c r="F859" t="s">
        <v>4772</v>
      </c>
      <c r="G859" t="s">
        <v>4768</v>
      </c>
    </row>
    <row r="860" spans="1:7">
      <c r="A860" t="s">
        <v>6469</v>
      </c>
      <c r="B860" t="s">
        <v>6470</v>
      </c>
      <c r="C860" t="s">
        <v>4771</v>
      </c>
      <c r="D860">
        <v>73.5</v>
      </c>
      <c r="E860" s="208">
        <v>45637</v>
      </c>
      <c r="F860" t="s">
        <v>4767</v>
      </c>
      <c r="G860" t="s">
        <v>4768</v>
      </c>
    </row>
    <row r="861" spans="1:7">
      <c r="A861" t="s">
        <v>6471</v>
      </c>
      <c r="B861" t="s">
        <v>6472</v>
      </c>
      <c r="C861" t="s">
        <v>4766</v>
      </c>
      <c r="D861">
        <v>2.4700000000000002</v>
      </c>
      <c r="E861" s="208">
        <v>45637</v>
      </c>
      <c r="F861" t="s">
        <v>4782</v>
      </c>
      <c r="G861" t="s">
        <v>4768</v>
      </c>
    </row>
    <row r="862" spans="1:7">
      <c r="A862" t="s">
        <v>6473</v>
      </c>
      <c r="B862" t="s">
        <v>6474</v>
      </c>
      <c r="C862" t="s">
        <v>4766</v>
      </c>
      <c r="D862">
        <v>54.99</v>
      </c>
      <c r="E862" s="208">
        <v>45637</v>
      </c>
      <c r="F862" t="s">
        <v>6475</v>
      </c>
      <c r="G862" t="s">
        <v>4768</v>
      </c>
    </row>
    <row r="863" spans="1:7">
      <c r="A863" t="s">
        <v>6476</v>
      </c>
      <c r="B863" t="s">
        <v>6477</v>
      </c>
      <c r="C863" t="s">
        <v>4766</v>
      </c>
      <c r="D863">
        <v>17.71</v>
      </c>
      <c r="E863" s="208">
        <v>45637</v>
      </c>
      <c r="F863" t="s">
        <v>4782</v>
      </c>
      <c r="G863" t="s">
        <v>4768</v>
      </c>
    </row>
    <row r="864" spans="1:7">
      <c r="A864" t="s">
        <v>6478</v>
      </c>
      <c r="B864" t="s">
        <v>6479</v>
      </c>
      <c r="C864" t="s">
        <v>4766</v>
      </c>
      <c r="D864">
        <v>32.520000000000003</v>
      </c>
      <c r="E864" s="208">
        <v>45636</v>
      </c>
      <c r="F864" t="s">
        <v>4936</v>
      </c>
      <c r="G864" t="s">
        <v>4768</v>
      </c>
    </row>
    <row r="865" spans="1:7">
      <c r="A865" t="s">
        <v>6480</v>
      </c>
      <c r="B865" t="s">
        <v>6481</v>
      </c>
      <c r="C865" t="s">
        <v>4766</v>
      </c>
      <c r="D865">
        <v>7.39</v>
      </c>
      <c r="E865" s="208">
        <v>45636</v>
      </c>
      <c r="F865" t="s">
        <v>4936</v>
      </c>
      <c r="G865" t="s">
        <v>4768</v>
      </c>
    </row>
    <row r="866" spans="1:7">
      <c r="A866" t="s">
        <v>6482</v>
      </c>
      <c r="B866" t="s">
        <v>6483</v>
      </c>
      <c r="C866" t="s">
        <v>4766</v>
      </c>
      <c r="D866">
        <v>49.16</v>
      </c>
      <c r="E866" s="208">
        <v>45636</v>
      </c>
      <c r="F866" t="s">
        <v>4936</v>
      </c>
      <c r="G866" t="s">
        <v>4768</v>
      </c>
    </row>
    <row r="867" spans="1:7">
      <c r="A867" t="s">
        <v>6484</v>
      </c>
      <c r="B867" t="s">
        <v>6485</v>
      </c>
      <c r="C867" t="s">
        <v>4766</v>
      </c>
      <c r="D867">
        <v>47.98</v>
      </c>
      <c r="E867" s="208">
        <v>45636</v>
      </c>
      <c r="F867" t="s">
        <v>4936</v>
      </c>
      <c r="G867" t="s">
        <v>4768</v>
      </c>
    </row>
    <row r="868" spans="1:7">
      <c r="A868" t="s">
        <v>6486</v>
      </c>
      <c r="B868" t="s">
        <v>6487</v>
      </c>
      <c r="C868" t="s">
        <v>4838</v>
      </c>
      <c r="D868">
        <v>26.4</v>
      </c>
      <c r="E868" s="208">
        <v>45635</v>
      </c>
      <c r="F868" t="s">
        <v>4772</v>
      </c>
      <c r="G868" t="s">
        <v>4768</v>
      </c>
    </row>
    <row r="869" spans="1:7">
      <c r="A869" t="s">
        <v>6488</v>
      </c>
      <c r="B869" t="s">
        <v>6489</v>
      </c>
      <c r="C869" t="s">
        <v>4838</v>
      </c>
      <c r="D869">
        <v>43.5</v>
      </c>
      <c r="E869" s="208">
        <v>45635</v>
      </c>
      <c r="F869" t="s">
        <v>4772</v>
      </c>
      <c r="G869" t="s">
        <v>4768</v>
      </c>
    </row>
    <row r="870" spans="1:7">
      <c r="A870" t="s">
        <v>6490</v>
      </c>
      <c r="B870" t="s">
        <v>6491</v>
      </c>
      <c r="C870" t="s">
        <v>4766</v>
      </c>
      <c r="D870">
        <v>23.87</v>
      </c>
      <c r="E870" s="208">
        <v>45635</v>
      </c>
      <c r="F870" t="s">
        <v>4782</v>
      </c>
      <c r="G870" t="s">
        <v>4768</v>
      </c>
    </row>
    <row r="871" spans="1:7">
      <c r="A871" t="s">
        <v>6492</v>
      </c>
      <c r="B871" t="s">
        <v>6493</v>
      </c>
      <c r="C871" t="s">
        <v>4766</v>
      </c>
      <c r="D871">
        <v>1.65</v>
      </c>
      <c r="E871" s="208">
        <v>45635</v>
      </c>
      <c r="F871" t="s">
        <v>4782</v>
      </c>
      <c r="G871" t="s">
        <v>4768</v>
      </c>
    </row>
    <row r="872" spans="1:7">
      <c r="A872" t="s">
        <v>6494</v>
      </c>
      <c r="B872" t="s">
        <v>6495</v>
      </c>
      <c r="C872" t="s">
        <v>4766</v>
      </c>
      <c r="D872">
        <v>2.99</v>
      </c>
      <c r="E872" s="208">
        <v>45635</v>
      </c>
      <c r="F872" t="s">
        <v>4898</v>
      </c>
      <c r="G872" t="s">
        <v>4768</v>
      </c>
    </row>
    <row r="873" spans="1:7">
      <c r="A873" t="s">
        <v>4727</v>
      </c>
      <c r="B873" t="s">
        <v>6496</v>
      </c>
      <c r="C873" t="s">
        <v>4806</v>
      </c>
      <c r="D873">
        <v>14.6</v>
      </c>
      <c r="E873" s="208">
        <v>45635</v>
      </c>
      <c r="F873" t="s">
        <v>4804</v>
      </c>
      <c r="G873" t="s">
        <v>4768</v>
      </c>
    </row>
    <row r="874" spans="1:7">
      <c r="A874" t="s">
        <v>6497</v>
      </c>
      <c r="B874" t="s">
        <v>6498</v>
      </c>
      <c r="C874" t="s">
        <v>4795</v>
      </c>
      <c r="D874">
        <v>41.35</v>
      </c>
      <c r="E874" s="208">
        <v>45635</v>
      </c>
      <c r="F874" t="s">
        <v>4804</v>
      </c>
      <c r="G874" t="s">
        <v>4768</v>
      </c>
    </row>
    <row r="875" spans="1:7">
      <c r="A875" t="s">
        <v>6499</v>
      </c>
      <c r="B875" t="s">
        <v>6500</v>
      </c>
      <c r="C875" t="s">
        <v>4766</v>
      </c>
      <c r="D875">
        <v>17.91</v>
      </c>
      <c r="E875" s="208">
        <v>45632</v>
      </c>
      <c r="F875" t="s">
        <v>4832</v>
      </c>
      <c r="G875" t="s">
        <v>4768</v>
      </c>
    </row>
    <row r="876" spans="1:7">
      <c r="A876" t="s">
        <v>6501</v>
      </c>
      <c r="B876" t="s">
        <v>6502</v>
      </c>
      <c r="C876" t="s">
        <v>4803</v>
      </c>
      <c r="D876">
        <v>75.5</v>
      </c>
      <c r="E876" s="208">
        <v>45631</v>
      </c>
      <c r="F876" t="s">
        <v>4767</v>
      </c>
      <c r="G876" t="s">
        <v>4768</v>
      </c>
    </row>
    <row r="877" spans="1:7">
      <c r="A877" t="s">
        <v>6503</v>
      </c>
      <c r="B877" t="s">
        <v>6504</v>
      </c>
      <c r="C877" t="s">
        <v>4766</v>
      </c>
      <c r="D877">
        <v>15.59</v>
      </c>
      <c r="E877" s="208">
        <v>45631</v>
      </c>
      <c r="F877" t="s">
        <v>4936</v>
      </c>
      <c r="G877" t="s">
        <v>4768</v>
      </c>
    </row>
    <row r="878" spans="1:7">
      <c r="A878" t="s">
        <v>6505</v>
      </c>
      <c r="B878" t="s">
        <v>6506</v>
      </c>
      <c r="C878" t="s">
        <v>5224</v>
      </c>
      <c r="D878">
        <v>157</v>
      </c>
      <c r="E878" s="208">
        <v>45631</v>
      </c>
      <c r="F878" t="s">
        <v>4804</v>
      </c>
      <c r="G878" t="s">
        <v>4768</v>
      </c>
    </row>
    <row r="879" spans="1:7">
      <c r="A879" t="s">
        <v>4534</v>
      </c>
      <c r="B879" t="s">
        <v>6507</v>
      </c>
      <c r="C879" t="s">
        <v>6508</v>
      </c>
      <c r="D879">
        <v>87.6</v>
      </c>
      <c r="E879" s="208">
        <v>45630</v>
      </c>
      <c r="F879" t="s">
        <v>4772</v>
      </c>
      <c r="G879" t="s">
        <v>4768</v>
      </c>
    </row>
    <row r="880" spans="1:7">
      <c r="A880" t="s">
        <v>4530</v>
      </c>
      <c r="B880" t="s">
        <v>6509</v>
      </c>
      <c r="C880" t="s">
        <v>4771</v>
      </c>
      <c r="D880">
        <v>82.05</v>
      </c>
      <c r="E880" s="208">
        <v>45629</v>
      </c>
      <c r="F880" t="s">
        <v>4767</v>
      </c>
      <c r="G880" t="s">
        <v>4768</v>
      </c>
    </row>
    <row r="881" spans="1:7">
      <c r="A881" t="s">
        <v>6510</v>
      </c>
      <c r="B881" t="s">
        <v>6511</v>
      </c>
      <c r="C881" t="s">
        <v>4818</v>
      </c>
      <c r="D881">
        <v>653.9</v>
      </c>
      <c r="E881" s="208">
        <v>45629</v>
      </c>
      <c r="F881" t="s">
        <v>4804</v>
      </c>
      <c r="G881" t="s">
        <v>4768</v>
      </c>
    </row>
    <row r="882" spans="1:7">
      <c r="A882" t="s">
        <v>6512</v>
      </c>
      <c r="B882" t="s">
        <v>6513</v>
      </c>
      <c r="C882" t="s">
        <v>4803</v>
      </c>
      <c r="D882">
        <v>257.7</v>
      </c>
      <c r="E882" s="208">
        <v>45629</v>
      </c>
      <c r="F882" t="s">
        <v>4804</v>
      </c>
      <c r="G882" t="s">
        <v>4768</v>
      </c>
    </row>
    <row r="883" spans="1:7">
      <c r="A883" t="s">
        <v>6514</v>
      </c>
      <c r="B883" t="s">
        <v>6515</v>
      </c>
      <c r="C883" t="s">
        <v>4766</v>
      </c>
      <c r="D883">
        <v>800</v>
      </c>
      <c r="E883" s="208">
        <v>45629</v>
      </c>
      <c r="F883" t="s">
        <v>6516</v>
      </c>
      <c r="G883" t="s">
        <v>4768</v>
      </c>
    </row>
    <row r="884" spans="1:7">
      <c r="A884" t="s">
        <v>6517</v>
      </c>
      <c r="B884" t="s">
        <v>6518</v>
      </c>
      <c r="C884" t="s">
        <v>5551</v>
      </c>
      <c r="D884">
        <v>219</v>
      </c>
      <c r="E884" s="208">
        <v>45621</v>
      </c>
      <c r="F884" t="s">
        <v>4804</v>
      </c>
      <c r="G884" t="s">
        <v>4768</v>
      </c>
    </row>
    <row r="885" spans="1:7">
      <c r="A885" t="s">
        <v>6519</v>
      </c>
      <c r="B885" t="s">
        <v>6520</v>
      </c>
      <c r="C885" t="s">
        <v>5286</v>
      </c>
      <c r="D885">
        <v>130.75</v>
      </c>
      <c r="E885" s="208">
        <v>45616</v>
      </c>
      <c r="F885" t="s">
        <v>4804</v>
      </c>
      <c r="G885" t="s">
        <v>4768</v>
      </c>
    </row>
    <row r="886" spans="1:7">
      <c r="A886" t="s">
        <v>6521</v>
      </c>
      <c r="B886" t="s">
        <v>6522</v>
      </c>
      <c r="C886" t="s">
        <v>4962</v>
      </c>
      <c r="D886">
        <v>91.86</v>
      </c>
      <c r="E886" s="208">
        <v>45614</v>
      </c>
      <c r="F886" t="s">
        <v>4772</v>
      </c>
      <c r="G886" t="s">
        <v>4768</v>
      </c>
    </row>
    <row r="887" spans="1:7">
      <c r="A887" t="s">
        <v>6523</v>
      </c>
      <c r="B887" t="s">
        <v>6524</v>
      </c>
      <c r="C887" t="s">
        <v>4835</v>
      </c>
      <c r="D887">
        <v>180.75</v>
      </c>
      <c r="E887" s="208">
        <v>45614</v>
      </c>
      <c r="F887" t="s">
        <v>4804</v>
      </c>
      <c r="G887" t="s">
        <v>4768</v>
      </c>
    </row>
    <row r="888" spans="1:7">
      <c r="A888" t="s">
        <v>6525</v>
      </c>
      <c r="B888" t="s">
        <v>6526</v>
      </c>
      <c r="C888" t="s">
        <v>4884</v>
      </c>
      <c r="D888">
        <v>168</v>
      </c>
      <c r="E888" s="208">
        <v>45614</v>
      </c>
      <c r="F888" t="s">
        <v>4804</v>
      </c>
      <c r="G888" t="s">
        <v>4768</v>
      </c>
    </row>
    <row r="889" spans="1:7">
      <c r="A889" t="s">
        <v>6527</v>
      </c>
      <c r="B889" t="s">
        <v>6528</v>
      </c>
      <c r="C889" t="s">
        <v>4803</v>
      </c>
      <c r="D889">
        <v>459.43</v>
      </c>
      <c r="E889" s="208">
        <v>45614</v>
      </c>
      <c r="F889" t="s">
        <v>4772</v>
      </c>
      <c r="G889" t="s">
        <v>4768</v>
      </c>
    </row>
    <row r="890" spans="1:7">
      <c r="A890" t="s">
        <v>6529</v>
      </c>
      <c r="B890" t="s">
        <v>6530</v>
      </c>
      <c r="C890" t="s">
        <v>4884</v>
      </c>
      <c r="D890">
        <v>50.52</v>
      </c>
      <c r="E890" s="208">
        <v>45614</v>
      </c>
      <c r="F890" t="s">
        <v>4772</v>
      </c>
      <c r="G890" t="s">
        <v>4768</v>
      </c>
    </row>
    <row r="891" spans="1:7">
      <c r="A891" t="s">
        <v>6531</v>
      </c>
      <c r="B891" t="s">
        <v>6532</v>
      </c>
      <c r="C891" t="s">
        <v>4799</v>
      </c>
      <c r="D891">
        <v>26.38</v>
      </c>
      <c r="E891" s="208">
        <v>45611</v>
      </c>
      <c r="F891" t="s">
        <v>4885</v>
      </c>
      <c r="G891" t="s">
        <v>4768</v>
      </c>
    </row>
    <row r="892" spans="1:7">
      <c r="A892" t="s">
        <v>4744</v>
      </c>
      <c r="B892" t="s">
        <v>6533</v>
      </c>
      <c r="C892" t="s">
        <v>4766</v>
      </c>
      <c r="D892">
        <v>95.09</v>
      </c>
      <c r="E892" s="208">
        <v>45611</v>
      </c>
      <c r="F892" t="s">
        <v>6534</v>
      </c>
      <c r="G892" t="s">
        <v>4768</v>
      </c>
    </row>
    <row r="893" spans="1:7">
      <c r="A893" t="s">
        <v>6535</v>
      </c>
      <c r="B893" t="s">
        <v>6536</v>
      </c>
      <c r="C893" t="s">
        <v>4766</v>
      </c>
      <c r="D893">
        <v>1.49</v>
      </c>
      <c r="E893" s="208">
        <v>45610</v>
      </c>
      <c r="F893" t="s">
        <v>4782</v>
      </c>
      <c r="G893" t="s">
        <v>4768</v>
      </c>
    </row>
    <row r="894" spans="1:7">
      <c r="A894" t="s">
        <v>6537</v>
      </c>
      <c r="B894" t="s">
        <v>6538</v>
      </c>
      <c r="C894" t="s">
        <v>4799</v>
      </c>
      <c r="D894">
        <v>4.9000000000000004</v>
      </c>
      <c r="E894" s="208">
        <v>45610</v>
      </c>
      <c r="F894" t="s">
        <v>4772</v>
      </c>
      <c r="G894" t="s">
        <v>4768</v>
      </c>
    </row>
    <row r="895" spans="1:7">
      <c r="A895" t="s">
        <v>6539</v>
      </c>
      <c r="B895" t="s">
        <v>6540</v>
      </c>
      <c r="C895" t="s">
        <v>4845</v>
      </c>
      <c r="D895">
        <v>192.28</v>
      </c>
      <c r="E895" s="208">
        <v>45609</v>
      </c>
      <c r="F895" t="s">
        <v>4905</v>
      </c>
      <c r="G895" t="s">
        <v>4768</v>
      </c>
    </row>
    <row r="896" spans="1:7">
      <c r="A896" t="s">
        <v>6541</v>
      </c>
      <c r="B896" t="s">
        <v>6542</v>
      </c>
      <c r="C896" t="s">
        <v>4766</v>
      </c>
      <c r="D896">
        <v>8.83</v>
      </c>
      <c r="E896" s="208">
        <v>45607</v>
      </c>
      <c r="F896" t="s">
        <v>4782</v>
      </c>
      <c r="G896" t="s">
        <v>4768</v>
      </c>
    </row>
    <row r="897" spans="1:7">
      <c r="A897" t="s">
        <v>6543</v>
      </c>
      <c r="B897" t="s">
        <v>6544</v>
      </c>
      <c r="C897" t="s">
        <v>4766</v>
      </c>
      <c r="D897">
        <v>1970.1</v>
      </c>
      <c r="E897" s="208">
        <v>45603</v>
      </c>
      <c r="F897" t="s">
        <v>4804</v>
      </c>
      <c r="G897" t="s">
        <v>4768</v>
      </c>
    </row>
    <row r="898" spans="1:7">
      <c r="A898" t="s">
        <v>6545</v>
      </c>
      <c r="B898" t="s">
        <v>6546</v>
      </c>
      <c r="C898" t="s">
        <v>4920</v>
      </c>
      <c r="D898">
        <v>11.99</v>
      </c>
      <c r="E898" s="208">
        <v>45603</v>
      </c>
      <c r="F898" t="s">
        <v>4898</v>
      </c>
      <c r="G898" t="s">
        <v>4768</v>
      </c>
    </row>
    <row r="899" spans="1:7">
      <c r="A899" t="s">
        <v>6547</v>
      </c>
      <c r="B899" t="s">
        <v>6548</v>
      </c>
      <c r="C899" t="s">
        <v>4803</v>
      </c>
      <c r="D899">
        <v>68</v>
      </c>
      <c r="E899" s="208">
        <v>45602</v>
      </c>
      <c r="F899" t="s">
        <v>4772</v>
      </c>
      <c r="G899" t="s">
        <v>4768</v>
      </c>
    </row>
    <row r="900" spans="1:7">
      <c r="A900" t="s">
        <v>6549</v>
      </c>
      <c r="B900" t="s">
        <v>6550</v>
      </c>
      <c r="C900" t="s">
        <v>4766</v>
      </c>
      <c r="D900">
        <v>10</v>
      </c>
      <c r="E900" s="208">
        <v>45602</v>
      </c>
      <c r="F900" t="s">
        <v>4772</v>
      </c>
      <c r="G900" t="s">
        <v>4768</v>
      </c>
    </row>
    <row r="901" spans="1:7">
      <c r="A901" t="s">
        <v>6551</v>
      </c>
      <c r="B901" t="s">
        <v>6552</v>
      </c>
      <c r="C901" t="s">
        <v>4766</v>
      </c>
      <c r="D901">
        <v>24.09</v>
      </c>
      <c r="E901" s="208">
        <v>45602</v>
      </c>
      <c r="F901" t="s">
        <v>4782</v>
      </c>
      <c r="G901" t="s">
        <v>4768</v>
      </c>
    </row>
    <row r="902" spans="1:7">
      <c r="A902" t="s">
        <v>6553</v>
      </c>
      <c r="B902" t="s">
        <v>6554</v>
      </c>
      <c r="C902" t="s">
        <v>6555</v>
      </c>
      <c r="D902">
        <v>185</v>
      </c>
      <c r="E902" s="208">
        <v>45602</v>
      </c>
      <c r="F902" t="s">
        <v>4804</v>
      </c>
      <c r="G902" t="s">
        <v>4768</v>
      </c>
    </row>
    <row r="903" spans="1:7">
      <c r="A903" t="s">
        <v>6556</v>
      </c>
      <c r="B903" t="s">
        <v>6557</v>
      </c>
      <c r="C903" t="s">
        <v>4766</v>
      </c>
      <c r="D903">
        <v>28.76</v>
      </c>
      <c r="E903" s="208">
        <v>45602</v>
      </c>
      <c r="F903" t="s">
        <v>4782</v>
      </c>
      <c r="G903" t="s">
        <v>4768</v>
      </c>
    </row>
    <row r="904" spans="1:7">
      <c r="A904" t="s">
        <v>6558</v>
      </c>
      <c r="B904" t="s">
        <v>6559</v>
      </c>
      <c r="C904" t="s">
        <v>4771</v>
      </c>
      <c r="D904">
        <v>42.15</v>
      </c>
      <c r="E904" s="208">
        <v>45600</v>
      </c>
      <c r="F904" t="s">
        <v>4767</v>
      </c>
      <c r="G904" t="s">
        <v>4768</v>
      </c>
    </row>
    <row r="905" spans="1:7">
      <c r="A905" t="s">
        <v>6560</v>
      </c>
      <c r="B905" t="s">
        <v>6561</v>
      </c>
      <c r="C905" t="s">
        <v>4766</v>
      </c>
      <c r="D905">
        <v>30.35</v>
      </c>
      <c r="E905" s="208">
        <v>45600</v>
      </c>
      <c r="F905" t="s">
        <v>4782</v>
      </c>
      <c r="G905" t="s">
        <v>4768</v>
      </c>
    </row>
    <row r="906" spans="1:7">
      <c r="A906" t="s">
        <v>6562</v>
      </c>
      <c r="B906" t="s">
        <v>6563</v>
      </c>
      <c r="C906" t="s">
        <v>5286</v>
      </c>
      <c r="D906">
        <v>23.69</v>
      </c>
      <c r="E906" s="208">
        <v>45600</v>
      </c>
      <c r="F906" t="s">
        <v>4846</v>
      </c>
      <c r="G906" t="s">
        <v>4768</v>
      </c>
    </row>
    <row r="907" spans="1:7">
      <c r="A907" t="s">
        <v>6564</v>
      </c>
      <c r="B907" t="s">
        <v>6565</v>
      </c>
      <c r="C907" t="s">
        <v>4766</v>
      </c>
      <c r="D907">
        <v>62.99</v>
      </c>
      <c r="E907" s="208">
        <v>45597</v>
      </c>
      <c r="F907" t="s">
        <v>4782</v>
      </c>
      <c r="G907" t="s">
        <v>4768</v>
      </c>
    </row>
    <row r="908" spans="1:7">
      <c r="A908" t="s">
        <v>6566</v>
      </c>
      <c r="B908" t="s">
        <v>6567</v>
      </c>
      <c r="C908" t="s">
        <v>4766</v>
      </c>
      <c r="D908">
        <v>22.53</v>
      </c>
      <c r="E908" s="208">
        <v>45597</v>
      </c>
      <c r="F908" t="s">
        <v>4782</v>
      </c>
      <c r="G908" t="s">
        <v>4768</v>
      </c>
    </row>
    <row r="909" spans="1:7">
      <c r="A909" t="s">
        <v>6568</v>
      </c>
      <c r="B909" t="s">
        <v>6569</v>
      </c>
      <c r="C909" t="s">
        <v>4766</v>
      </c>
      <c r="D909">
        <v>21.15</v>
      </c>
      <c r="E909" s="208">
        <v>45597</v>
      </c>
      <c r="F909" t="s">
        <v>4782</v>
      </c>
      <c r="G909" t="s">
        <v>4768</v>
      </c>
    </row>
    <row r="910" spans="1:7">
      <c r="A910" t="s">
        <v>6570</v>
      </c>
      <c r="B910" t="s">
        <v>6571</v>
      </c>
      <c r="C910" t="s">
        <v>4766</v>
      </c>
      <c r="D910">
        <v>35</v>
      </c>
      <c r="E910" s="208">
        <v>45597</v>
      </c>
      <c r="F910" t="s">
        <v>4846</v>
      </c>
      <c r="G910" t="s">
        <v>4768</v>
      </c>
    </row>
    <row r="911" spans="1:7">
      <c r="A911" t="s">
        <v>6572</v>
      </c>
      <c r="B911" t="s">
        <v>6573</v>
      </c>
      <c r="C911" t="s">
        <v>4831</v>
      </c>
      <c r="D911">
        <v>26.99</v>
      </c>
      <c r="E911" s="208">
        <v>45597</v>
      </c>
      <c r="F911" t="s">
        <v>4846</v>
      </c>
      <c r="G911" t="s">
        <v>4768</v>
      </c>
    </row>
    <row r="912" spans="1:7">
      <c r="A912" t="s">
        <v>6574</v>
      </c>
      <c r="B912" t="s">
        <v>6575</v>
      </c>
      <c r="C912" t="s">
        <v>4766</v>
      </c>
      <c r="D912">
        <v>21.38</v>
      </c>
      <c r="E912" s="208">
        <v>45597</v>
      </c>
      <c r="F912" t="s">
        <v>6576</v>
      </c>
      <c r="G912" t="s">
        <v>4768</v>
      </c>
    </row>
    <row r="913" spans="1:7">
      <c r="A913" t="s">
        <v>6577</v>
      </c>
      <c r="B913" t="s">
        <v>6578</v>
      </c>
      <c r="C913" t="s">
        <v>4766</v>
      </c>
      <c r="D913">
        <v>7.64</v>
      </c>
      <c r="E913" s="208">
        <v>45597</v>
      </c>
      <c r="F913" t="s">
        <v>4782</v>
      </c>
      <c r="G913" t="s">
        <v>4768</v>
      </c>
    </row>
    <row r="914" spans="1:7">
      <c r="A914" t="s">
        <v>4729</v>
      </c>
      <c r="B914" t="s">
        <v>6579</v>
      </c>
      <c r="C914" t="s">
        <v>4766</v>
      </c>
      <c r="D914">
        <v>46.87</v>
      </c>
      <c r="E914" s="208">
        <v>45597</v>
      </c>
      <c r="F914" t="s">
        <v>4782</v>
      </c>
      <c r="G914" t="s">
        <v>4768</v>
      </c>
    </row>
    <row r="915" spans="1:7">
      <c r="A915" t="s">
        <v>6580</v>
      </c>
      <c r="B915" t="s">
        <v>6581</v>
      </c>
      <c r="C915" t="s">
        <v>6582</v>
      </c>
      <c r="D915">
        <v>88.99</v>
      </c>
      <c r="E915" s="208">
        <v>45597</v>
      </c>
      <c r="F915" t="s">
        <v>4782</v>
      </c>
      <c r="G915" t="s">
        <v>4768</v>
      </c>
    </row>
    <row r="916" spans="1:7">
      <c r="A916" t="s">
        <v>6583</v>
      </c>
      <c r="B916" t="s">
        <v>6584</v>
      </c>
      <c r="C916" t="s">
        <v>5172</v>
      </c>
      <c r="D916">
        <v>24.85</v>
      </c>
      <c r="E916" s="208">
        <v>45596</v>
      </c>
      <c r="F916" t="s">
        <v>4772</v>
      </c>
      <c r="G916" t="s">
        <v>4768</v>
      </c>
    </row>
    <row r="917" spans="1:7">
      <c r="A917" t="s">
        <v>6585</v>
      </c>
      <c r="B917" t="s">
        <v>6586</v>
      </c>
      <c r="C917" t="s">
        <v>4766</v>
      </c>
      <c r="D917">
        <v>58.82</v>
      </c>
      <c r="E917" s="208">
        <v>45596</v>
      </c>
      <c r="F917" t="s">
        <v>6587</v>
      </c>
      <c r="G917" t="s">
        <v>4768</v>
      </c>
    </row>
    <row r="918" spans="1:7">
      <c r="A918" t="s">
        <v>6588</v>
      </c>
      <c r="B918" t="s">
        <v>6589</v>
      </c>
      <c r="C918" t="s">
        <v>4766</v>
      </c>
      <c r="D918">
        <v>34.72</v>
      </c>
      <c r="E918" s="208">
        <v>45596</v>
      </c>
      <c r="F918" t="s">
        <v>6590</v>
      </c>
      <c r="G918" t="s">
        <v>4768</v>
      </c>
    </row>
    <row r="919" spans="1:7">
      <c r="A919" t="s">
        <v>6591</v>
      </c>
      <c r="B919" t="s">
        <v>4808</v>
      </c>
      <c r="C919" t="s">
        <v>4806</v>
      </c>
      <c r="D919">
        <v>29.4</v>
      </c>
      <c r="E919" s="208">
        <v>45596</v>
      </c>
      <c r="F919" t="s">
        <v>4804</v>
      </c>
      <c r="G919" t="s">
        <v>4768</v>
      </c>
    </row>
    <row r="920" spans="1:7">
      <c r="A920" t="s">
        <v>4594</v>
      </c>
      <c r="B920" t="s">
        <v>4593</v>
      </c>
      <c r="C920" t="s">
        <v>4985</v>
      </c>
      <c r="D920">
        <v>75.930000000000007</v>
      </c>
      <c r="E920" s="208">
        <v>45596</v>
      </c>
      <c r="F920" t="s">
        <v>6590</v>
      </c>
      <c r="G920" t="s">
        <v>4768</v>
      </c>
    </row>
    <row r="921" spans="1:7">
      <c r="A921" t="s">
        <v>6592</v>
      </c>
      <c r="B921" t="s">
        <v>6593</v>
      </c>
      <c r="C921" t="s">
        <v>4806</v>
      </c>
      <c r="D921">
        <v>87.85</v>
      </c>
      <c r="E921" s="208">
        <v>45596</v>
      </c>
      <c r="F921" t="s">
        <v>6594</v>
      </c>
      <c r="G921" t="s">
        <v>4768</v>
      </c>
    </row>
    <row r="922" spans="1:7">
      <c r="A922" t="s">
        <v>6595</v>
      </c>
      <c r="B922" t="s">
        <v>6596</v>
      </c>
      <c r="C922" t="s">
        <v>4806</v>
      </c>
      <c r="D922">
        <v>58</v>
      </c>
      <c r="E922" s="208">
        <v>45596</v>
      </c>
      <c r="F922" t="s">
        <v>6594</v>
      </c>
      <c r="G922" t="s">
        <v>4768</v>
      </c>
    </row>
    <row r="923" spans="1:7">
      <c r="A923" t="s">
        <v>6597</v>
      </c>
      <c r="B923" t="s">
        <v>6598</v>
      </c>
      <c r="C923" t="s">
        <v>4806</v>
      </c>
      <c r="D923">
        <v>44.34</v>
      </c>
      <c r="E923" s="208">
        <v>45596</v>
      </c>
      <c r="F923" t="s">
        <v>6594</v>
      </c>
      <c r="G923" t="s">
        <v>4768</v>
      </c>
    </row>
    <row r="924" spans="1:7">
      <c r="A924" t="s">
        <v>6599</v>
      </c>
      <c r="B924" t="s">
        <v>6600</v>
      </c>
      <c r="C924" t="s">
        <v>4806</v>
      </c>
      <c r="D924">
        <v>56</v>
      </c>
      <c r="E924" s="208">
        <v>45596</v>
      </c>
      <c r="F924" t="s">
        <v>6594</v>
      </c>
      <c r="G924" t="s">
        <v>4768</v>
      </c>
    </row>
    <row r="925" spans="1:7">
      <c r="A925" t="s">
        <v>6601</v>
      </c>
      <c r="B925" t="s">
        <v>6602</v>
      </c>
      <c r="C925" t="s">
        <v>4835</v>
      </c>
      <c r="D925">
        <v>218.75</v>
      </c>
      <c r="E925" s="208">
        <v>45594</v>
      </c>
      <c r="F925" t="s">
        <v>4772</v>
      </c>
      <c r="G925" t="s">
        <v>4768</v>
      </c>
    </row>
    <row r="926" spans="1:7">
      <c r="A926" t="s">
        <v>6603</v>
      </c>
      <c r="B926" t="s">
        <v>6604</v>
      </c>
      <c r="C926" t="s">
        <v>4766</v>
      </c>
      <c r="D926">
        <v>10</v>
      </c>
      <c r="E926" s="208">
        <v>45593</v>
      </c>
      <c r="F926" t="s">
        <v>4832</v>
      </c>
      <c r="G926" t="s">
        <v>4768</v>
      </c>
    </row>
    <row r="927" spans="1:7">
      <c r="A927" t="s">
        <v>6605</v>
      </c>
      <c r="B927" t="s">
        <v>6606</v>
      </c>
      <c r="C927" t="s">
        <v>4962</v>
      </c>
      <c r="D927">
        <v>181.18</v>
      </c>
      <c r="E927" s="208">
        <v>45590</v>
      </c>
      <c r="F927" t="s">
        <v>4772</v>
      </c>
      <c r="G927" t="s">
        <v>4768</v>
      </c>
    </row>
    <row r="928" spans="1:7">
      <c r="A928" t="s">
        <v>6607</v>
      </c>
      <c r="B928" t="s">
        <v>240</v>
      </c>
      <c r="C928" t="s">
        <v>6608</v>
      </c>
      <c r="D928">
        <v>12.1</v>
      </c>
      <c r="E928" s="208">
        <v>45590</v>
      </c>
      <c r="F928" t="s">
        <v>4772</v>
      </c>
      <c r="G928" t="s">
        <v>4768</v>
      </c>
    </row>
    <row r="929" spans="1:7">
      <c r="A929" t="s">
        <v>6609</v>
      </c>
      <c r="B929" t="s">
        <v>6610</v>
      </c>
      <c r="C929" t="s">
        <v>4962</v>
      </c>
      <c r="D929">
        <v>11.66</v>
      </c>
      <c r="E929" s="208">
        <v>45590</v>
      </c>
      <c r="F929" t="s">
        <v>4772</v>
      </c>
      <c r="G929" t="s">
        <v>4768</v>
      </c>
    </row>
    <row r="930" spans="1:7">
      <c r="A930" t="s">
        <v>6611</v>
      </c>
      <c r="B930" t="s">
        <v>6612</v>
      </c>
      <c r="C930" t="s">
        <v>6613</v>
      </c>
      <c r="D930">
        <v>1214.4000000000001</v>
      </c>
      <c r="E930" s="208">
        <v>45590</v>
      </c>
      <c r="F930" t="s">
        <v>4772</v>
      </c>
      <c r="G930" t="s">
        <v>4768</v>
      </c>
    </row>
    <row r="931" spans="1:7">
      <c r="A931" t="s">
        <v>6614</v>
      </c>
      <c r="B931" t="s">
        <v>6615</v>
      </c>
      <c r="C931" t="s">
        <v>4803</v>
      </c>
      <c r="D931">
        <v>295.39999999999998</v>
      </c>
      <c r="E931" s="208">
        <v>45590</v>
      </c>
      <c r="F931" t="s">
        <v>4772</v>
      </c>
      <c r="G931" t="s">
        <v>4768</v>
      </c>
    </row>
    <row r="932" spans="1:7">
      <c r="A932" t="s">
        <v>6616</v>
      </c>
      <c r="B932" t="s">
        <v>6617</v>
      </c>
      <c r="C932" t="s">
        <v>4803</v>
      </c>
      <c r="D932">
        <v>721.18</v>
      </c>
      <c r="E932" s="208">
        <v>45590</v>
      </c>
      <c r="F932" t="s">
        <v>4772</v>
      </c>
      <c r="G932" t="s">
        <v>4768</v>
      </c>
    </row>
    <row r="933" spans="1:7">
      <c r="A933" t="s">
        <v>6618</v>
      </c>
      <c r="B933" t="s">
        <v>6619</v>
      </c>
      <c r="C933" t="s">
        <v>4806</v>
      </c>
      <c r="D933">
        <v>31.75</v>
      </c>
      <c r="E933" s="208">
        <v>45589</v>
      </c>
      <c r="F933" t="s">
        <v>4772</v>
      </c>
      <c r="G933" t="s">
        <v>4768</v>
      </c>
    </row>
    <row r="934" spans="1:7">
      <c r="A934" t="s">
        <v>6620</v>
      </c>
      <c r="B934" t="s">
        <v>6621</v>
      </c>
      <c r="C934" t="s">
        <v>4806</v>
      </c>
      <c r="D934">
        <v>28</v>
      </c>
      <c r="E934" s="208">
        <v>45589</v>
      </c>
      <c r="F934" t="s">
        <v>4772</v>
      </c>
      <c r="G934" t="s">
        <v>4768</v>
      </c>
    </row>
    <row r="935" spans="1:7">
      <c r="A935" t="s">
        <v>6622</v>
      </c>
      <c r="B935" t="s">
        <v>6623</v>
      </c>
      <c r="C935" t="s">
        <v>5089</v>
      </c>
      <c r="D935">
        <v>49.25</v>
      </c>
      <c r="E935" s="208">
        <v>45587</v>
      </c>
      <c r="F935" t="s">
        <v>4804</v>
      </c>
      <c r="G935" t="s">
        <v>4768</v>
      </c>
    </row>
    <row r="936" spans="1:7">
      <c r="A936" t="s">
        <v>6624</v>
      </c>
      <c r="B936" t="s">
        <v>6625</v>
      </c>
      <c r="C936" t="s">
        <v>4766</v>
      </c>
      <c r="D936">
        <v>49.16</v>
      </c>
      <c r="E936" s="208">
        <v>45586</v>
      </c>
      <c r="F936" t="s">
        <v>4936</v>
      </c>
      <c r="G936" t="s">
        <v>4768</v>
      </c>
    </row>
    <row r="937" spans="1:7">
      <c r="A937" t="s">
        <v>6626</v>
      </c>
      <c r="B937" t="s">
        <v>6627</v>
      </c>
      <c r="C937" t="s">
        <v>4766</v>
      </c>
      <c r="D937">
        <v>141</v>
      </c>
      <c r="E937" s="208">
        <v>45586</v>
      </c>
      <c r="F937" t="s">
        <v>6516</v>
      </c>
      <c r="G937" t="s">
        <v>4768</v>
      </c>
    </row>
    <row r="938" spans="1:7">
      <c r="A938" t="s">
        <v>6628</v>
      </c>
      <c r="B938" t="s">
        <v>6629</v>
      </c>
      <c r="C938" t="s">
        <v>4806</v>
      </c>
      <c r="D938">
        <v>69.3</v>
      </c>
      <c r="E938" s="208">
        <v>45583</v>
      </c>
      <c r="F938" t="s">
        <v>4767</v>
      </c>
      <c r="G938" t="s">
        <v>4768</v>
      </c>
    </row>
    <row r="939" spans="1:7">
      <c r="A939" t="s">
        <v>4556</v>
      </c>
      <c r="B939" t="s">
        <v>6630</v>
      </c>
      <c r="C939" t="s">
        <v>4771</v>
      </c>
      <c r="D939">
        <v>73.2</v>
      </c>
      <c r="E939" s="208">
        <v>45583</v>
      </c>
      <c r="F939" t="s">
        <v>4767</v>
      </c>
      <c r="G939" t="s">
        <v>4768</v>
      </c>
    </row>
    <row r="940" spans="1:7">
      <c r="A940" t="s">
        <v>4618</v>
      </c>
      <c r="B940" t="s">
        <v>6631</v>
      </c>
      <c r="C940" t="s">
        <v>4806</v>
      </c>
      <c r="D940">
        <v>20.5</v>
      </c>
      <c r="E940" s="208">
        <v>45582</v>
      </c>
      <c r="F940" t="s">
        <v>4804</v>
      </c>
      <c r="G940" t="s">
        <v>4768</v>
      </c>
    </row>
    <row r="941" spans="1:7">
      <c r="A941" t="s">
        <v>6632</v>
      </c>
      <c r="B941" t="s">
        <v>6633</v>
      </c>
      <c r="C941" t="s">
        <v>41</v>
      </c>
      <c r="D941">
        <v>42.95</v>
      </c>
      <c r="E941" s="208">
        <v>45582</v>
      </c>
      <c r="F941" t="s">
        <v>4772</v>
      </c>
      <c r="G941" t="s">
        <v>4768</v>
      </c>
    </row>
    <row r="942" spans="1:7">
      <c r="A942" t="s">
        <v>6634</v>
      </c>
      <c r="B942" t="s">
        <v>6635</v>
      </c>
      <c r="C942" t="s">
        <v>4806</v>
      </c>
      <c r="D942">
        <v>8.9499999999999993</v>
      </c>
      <c r="E942" s="208">
        <v>45581</v>
      </c>
      <c r="F942" t="s">
        <v>4804</v>
      </c>
      <c r="G942" t="s">
        <v>4768</v>
      </c>
    </row>
    <row r="943" spans="1:7">
      <c r="A943" t="s">
        <v>6636</v>
      </c>
      <c r="B943" t="s">
        <v>6637</v>
      </c>
      <c r="C943" t="s">
        <v>4884</v>
      </c>
      <c r="D943">
        <v>384.98</v>
      </c>
      <c r="E943" s="208">
        <v>45581</v>
      </c>
      <c r="F943" t="s">
        <v>6638</v>
      </c>
      <c r="G943" t="s">
        <v>4768</v>
      </c>
    </row>
    <row r="944" spans="1:7">
      <c r="A944" t="s">
        <v>6639</v>
      </c>
      <c r="B944" t="s">
        <v>6640</v>
      </c>
      <c r="C944" t="s">
        <v>4835</v>
      </c>
      <c r="D944">
        <v>98.07</v>
      </c>
      <c r="E944" s="208">
        <v>45580</v>
      </c>
      <c r="F944" t="s">
        <v>4772</v>
      </c>
      <c r="G944" t="s">
        <v>4768</v>
      </c>
    </row>
    <row r="945" spans="1:7">
      <c r="A945" t="s">
        <v>6641</v>
      </c>
      <c r="B945" t="s">
        <v>6642</v>
      </c>
      <c r="C945" t="s">
        <v>5286</v>
      </c>
      <c r="D945">
        <v>14.45</v>
      </c>
      <c r="E945" s="208">
        <v>45580</v>
      </c>
      <c r="F945" t="s">
        <v>4832</v>
      </c>
      <c r="G945" t="s">
        <v>4768</v>
      </c>
    </row>
    <row r="946" spans="1:7">
      <c r="A946" t="s">
        <v>6643</v>
      </c>
      <c r="B946" t="s">
        <v>6644</v>
      </c>
      <c r="C946" t="s">
        <v>4766</v>
      </c>
      <c r="D946">
        <v>77.16</v>
      </c>
      <c r="E946" s="208">
        <v>45576</v>
      </c>
      <c r="F946" t="s">
        <v>4936</v>
      </c>
      <c r="G946" t="s">
        <v>4768</v>
      </c>
    </row>
    <row r="947" spans="1:7">
      <c r="A947" t="s">
        <v>6645</v>
      </c>
      <c r="B947" t="s">
        <v>6646</v>
      </c>
      <c r="C947" t="s">
        <v>4803</v>
      </c>
      <c r="D947">
        <v>209</v>
      </c>
      <c r="E947" s="208">
        <v>45576</v>
      </c>
      <c r="F947" t="s">
        <v>6516</v>
      </c>
      <c r="G947" t="s">
        <v>4768</v>
      </c>
    </row>
    <row r="948" spans="1:7">
      <c r="A948" t="s">
        <v>6647</v>
      </c>
      <c r="B948" t="s">
        <v>6648</v>
      </c>
      <c r="C948" t="s">
        <v>4803</v>
      </c>
      <c r="D948">
        <v>203</v>
      </c>
      <c r="E948" s="208">
        <v>45576</v>
      </c>
      <c r="F948" t="s">
        <v>6516</v>
      </c>
      <c r="G948" t="s">
        <v>4768</v>
      </c>
    </row>
    <row r="949" spans="1:7">
      <c r="A949" t="s">
        <v>6649</v>
      </c>
      <c r="B949" t="s">
        <v>6650</v>
      </c>
      <c r="C949" t="s">
        <v>4884</v>
      </c>
      <c r="D949">
        <v>388</v>
      </c>
      <c r="E949" s="208">
        <v>45576</v>
      </c>
      <c r="F949" t="s">
        <v>6516</v>
      </c>
      <c r="G949" t="s">
        <v>4768</v>
      </c>
    </row>
    <row r="950" spans="1:7">
      <c r="A950" t="s">
        <v>6651</v>
      </c>
      <c r="B950" t="s">
        <v>6652</v>
      </c>
      <c r="C950" t="s">
        <v>4884</v>
      </c>
      <c r="D950">
        <v>428.25</v>
      </c>
      <c r="E950" s="208">
        <v>45575</v>
      </c>
      <c r="F950" t="s">
        <v>4804</v>
      </c>
      <c r="G950" t="s">
        <v>4768</v>
      </c>
    </row>
    <row r="951" spans="1:7">
      <c r="A951" t="s">
        <v>6653</v>
      </c>
      <c r="B951" t="s">
        <v>6654</v>
      </c>
      <c r="C951" t="s">
        <v>4831</v>
      </c>
      <c r="D951">
        <v>32.19</v>
      </c>
      <c r="E951" s="208">
        <v>45574</v>
      </c>
      <c r="F951" t="s">
        <v>4782</v>
      </c>
      <c r="G951" t="s">
        <v>4768</v>
      </c>
    </row>
    <row r="952" spans="1:7">
      <c r="A952" t="s">
        <v>6655</v>
      </c>
      <c r="B952" t="s">
        <v>6656</v>
      </c>
      <c r="C952" t="s">
        <v>5089</v>
      </c>
      <c r="D952">
        <v>59.87</v>
      </c>
      <c r="E952" s="208">
        <v>45574</v>
      </c>
      <c r="F952" t="s">
        <v>4782</v>
      </c>
      <c r="G952" t="s">
        <v>4768</v>
      </c>
    </row>
    <row r="953" spans="1:7">
      <c r="A953" t="s">
        <v>6657</v>
      </c>
      <c r="B953" t="s">
        <v>6658</v>
      </c>
      <c r="C953" t="s">
        <v>4838</v>
      </c>
      <c r="D953">
        <v>22.14</v>
      </c>
      <c r="E953" s="208">
        <v>45573</v>
      </c>
      <c r="F953" t="s">
        <v>6590</v>
      </c>
      <c r="G953" t="s">
        <v>4768</v>
      </c>
    </row>
    <row r="954" spans="1:7">
      <c r="A954" t="s">
        <v>6659</v>
      </c>
      <c r="B954" t="s">
        <v>6660</v>
      </c>
      <c r="C954" t="s">
        <v>4795</v>
      </c>
      <c r="D954">
        <v>34.74</v>
      </c>
      <c r="E954" s="208">
        <v>45573</v>
      </c>
      <c r="F954" t="s">
        <v>4832</v>
      </c>
      <c r="G954" t="s">
        <v>4768</v>
      </c>
    </row>
    <row r="955" spans="1:7">
      <c r="A955" t="s">
        <v>6661</v>
      </c>
      <c r="B955" t="s">
        <v>5456</v>
      </c>
      <c r="C955" t="s">
        <v>4803</v>
      </c>
      <c r="D955">
        <v>1076.0999999999999</v>
      </c>
      <c r="E955" s="208">
        <v>45573</v>
      </c>
      <c r="F955" t="s">
        <v>4804</v>
      </c>
      <c r="G955" t="s">
        <v>4768</v>
      </c>
    </row>
    <row r="956" spans="1:7">
      <c r="A956" t="s">
        <v>6662</v>
      </c>
      <c r="B956" t="s">
        <v>6663</v>
      </c>
      <c r="C956" t="s">
        <v>4884</v>
      </c>
      <c r="D956">
        <v>454.65</v>
      </c>
      <c r="E956" s="208">
        <v>45572</v>
      </c>
      <c r="F956" t="s">
        <v>4804</v>
      </c>
      <c r="G956" t="s">
        <v>4768</v>
      </c>
    </row>
    <row r="957" spans="1:7">
      <c r="A957" t="s">
        <v>4708</v>
      </c>
      <c r="B957" t="s">
        <v>6664</v>
      </c>
      <c r="C957" t="s">
        <v>4838</v>
      </c>
      <c r="D957">
        <v>70.5</v>
      </c>
      <c r="E957" s="208">
        <v>45569</v>
      </c>
      <c r="F957" t="s">
        <v>4772</v>
      </c>
      <c r="G957" t="s">
        <v>4768</v>
      </c>
    </row>
    <row r="958" spans="1:7">
      <c r="A958" t="s">
        <v>6665</v>
      </c>
      <c r="B958" t="s">
        <v>6666</v>
      </c>
      <c r="C958" t="s">
        <v>4838</v>
      </c>
      <c r="D958">
        <v>28.8</v>
      </c>
      <c r="E958" s="208">
        <v>45569</v>
      </c>
      <c r="F958" t="s">
        <v>4767</v>
      </c>
      <c r="G958" t="s">
        <v>4768</v>
      </c>
    </row>
    <row r="959" spans="1:7">
      <c r="A959" t="s">
        <v>6667</v>
      </c>
      <c r="B959" t="s">
        <v>6668</v>
      </c>
      <c r="C959" t="s">
        <v>4766</v>
      </c>
      <c r="D959">
        <v>30.5</v>
      </c>
      <c r="E959" s="208">
        <v>45569</v>
      </c>
      <c r="F959" t="s">
        <v>4772</v>
      </c>
      <c r="G959" t="s">
        <v>4768</v>
      </c>
    </row>
    <row r="960" spans="1:7">
      <c r="A960" t="s">
        <v>6669</v>
      </c>
      <c r="B960" t="s">
        <v>6670</v>
      </c>
      <c r="C960" t="s">
        <v>4806</v>
      </c>
      <c r="D960">
        <v>39.15</v>
      </c>
      <c r="E960" s="208">
        <v>45569</v>
      </c>
      <c r="F960" t="s">
        <v>4772</v>
      </c>
      <c r="G960" t="s">
        <v>4768</v>
      </c>
    </row>
    <row r="961" spans="1:7">
      <c r="A961" t="s">
        <v>6671</v>
      </c>
      <c r="B961" t="s">
        <v>6672</v>
      </c>
      <c r="C961" t="s">
        <v>4884</v>
      </c>
      <c r="D961">
        <v>306</v>
      </c>
      <c r="E961" s="208">
        <v>45569</v>
      </c>
      <c r="F961" t="s">
        <v>6516</v>
      </c>
      <c r="G961" t="s">
        <v>4768</v>
      </c>
    </row>
    <row r="962" spans="1:7">
      <c r="A962" t="s">
        <v>6673</v>
      </c>
      <c r="B962" t="s">
        <v>6674</v>
      </c>
      <c r="C962" t="s">
        <v>4766</v>
      </c>
      <c r="D962">
        <v>77.430000000000007</v>
      </c>
      <c r="E962" s="208">
        <v>45568</v>
      </c>
      <c r="F962" t="s">
        <v>5058</v>
      </c>
      <c r="G962" t="s">
        <v>4768</v>
      </c>
    </row>
    <row r="963" spans="1:7">
      <c r="A963" t="s">
        <v>6675</v>
      </c>
      <c r="B963" t="s">
        <v>6676</v>
      </c>
      <c r="C963" t="s">
        <v>4766</v>
      </c>
      <c r="D963">
        <v>19.989999999999998</v>
      </c>
      <c r="E963" s="208">
        <v>45568</v>
      </c>
      <c r="F963" t="s">
        <v>5183</v>
      </c>
      <c r="G963" t="s">
        <v>4768</v>
      </c>
    </row>
    <row r="964" spans="1:7">
      <c r="A964" t="s">
        <v>6677</v>
      </c>
      <c r="B964" t="s">
        <v>6678</v>
      </c>
      <c r="C964" t="s">
        <v>4766</v>
      </c>
      <c r="D964">
        <v>19.989999999999998</v>
      </c>
      <c r="E964" s="208">
        <v>45568</v>
      </c>
      <c r="F964" t="s">
        <v>5058</v>
      </c>
      <c r="G964" t="s">
        <v>4768</v>
      </c>
    </row>
    <row r="965" spans="1:7">
      <c r="A965" t="s">
        <v>6679</v>
      </c>
      <c r="B965" t="s">
        <v>6680</v>
      </c>
      <c r="C965" t="s">
        <v>4962</v>
      </c>
      <c r="D965">
        <v>8.7899999999999991</v>
      </c>
      <c r="E965" s="208">
        <v>45568</v>
      </c>
      <c r="F965" t="s">
        <v>5058</v>
      </c>
      <c r="G965" t="s">
        <v>4768</v>
      </c>
    </row>
    <row r="966" spans="1:7">
      <c r="A966" t="s">
        <v>6681</v>
      </c>
      <c r="B966" t="s">
        <v>6682</v>
      </c>
      <c r="C966" t="s">
        <v>4766</v>
      </c>
      <c r="D966">
        <v>6.99</v>
      </c>
      <c r="E966" s="208">
        <v>45568</v>
      </c>
      <c r="F966" t="s">
        <v>5058</v>
      </c>
      <c r="G966" t="s">
        <v>4768</v>
      </c>
    </row>
    <row r="967" spans="1:7">
      <c r="A967" t="s">
        <v>6683</v>
      </c>
      <c r="B967" t="s">
        <v>6684</v>
      </c>
      <c r="C967" t="s">
        <v>4920</v>
      </c>
      <c r="D967">
        <v>49.08</v>
      </c>
      <c r="E967" s="208">
        <v>45568</v>
      </c>
      <c r="F967" t="s">
        <v>4796</v>
      </c>
      <c r="G967" t="s">
        <v>4768</v>
      </c>
    </row>
    <row r="968" spans="1:7">
      <c r="A968" t="s">
        <v>6685</v>
      </c>
      <c r="B968" t="s">
        <v>6686</v>
      </c>
      <c r="C968" t="s">
        <v>4803</v>
      </c>
      <c r="D968">
        <v>215.7</v>
      </c>
      <c r="E968" s="208">
        <v>45568</v>
      </c>
      <c r="F968" t="s">
        <v>4804</v>
      </c>
      <c r="G968" t="s">
        <v>4768</v>
      </c>
    </row>
    <row r="969" spans="1:7">
      <c r="A969" t="s">
        <v>6687</v>
      </c>
      <c r="B969" t="s">
        <v>6688</v>
      </c>
      <c r="C969" t="s">
        <v>4766</v>
      </c>
      <c r="D969">
        <v>17.989999999999998</v>
      </c>
      <c r="E969" s="208">
        <v>45567</v>
      </c>
      <c r="F969" t="s">
        <v>4779</v>
      </c>
      <c r="G969" t="s">
        <v>4768</v>
      </c>
    </row>
    <row r="970" spans="1:7">
      <c r="A970" t="s">
        <v>6689</v>
      </c>
      <c r="B970" t="s">
        <v>6690</v>
      </c>
      <c r="C970" t="s">
        <v>5089</v>
      </c>
      <c r="D970">
        <v>54.65</v>
      </c>
      <c r="E970" s="208">
        <v>45566</v>
      </c>
      <c r="F970" t="s">
        <v>4804</v>
      </c>
      <c r="G970" t="s">
        <v>4768</v>
      </c>
    </row>
    <row r="971" spans="1:7">
      <c r="A971" t="s">
        <v>6691</v>
      </c>
      <c r="B971" t="s">
        <v>6692</v>
      </c>
      <c r="C971" t="s">
        <v>4766</v>
      </c>
      <c r="D971">
        <v>14.16</v>
      </c>
      <c r="E971" s="208">
        <v>45566</v>
      </c>
      <c r="F971" t="s">
        <v>4832</v>
      </c>
      <c r="G971" t="s">
        <v>4768</v>
      </c>
    </row>
    <row r="972" spans="1:7">
      <c r="A972" t="s">
        <v>6693</v>
      </c>
      <c r="B972" t="s">
        <v>6694</v>
      </c>
      <c r="C972" t="s">
        <v>4766</v>
      </c>
      <c r="D972">
        <v>114</v>
      </c>
      <c r="E972" s="208">
        <v>45565</v>
      </c>
      <c r="F972" t="s">
        <v>4767</v>
      </c>
      <c r="G972" t="s">
        <v>4768</v>
      </c>
    </row>
    <row r="973" spans="1:7">
      <c r="A973" t="s">
        <v>6695</v>
      </c>
      <c r="B973" t="s">
        <v>6696</v>
      </c>
      <c r="C973" t="s">
        <v>4803</v>
      </c>
      <c r="D973">
        <v>112</v>
      </c>
      <c r="E973" s="208">
        <v>45565</v>
      </c>
      <c r="F973" t="s">
        <v>6516</v>
      </c>
      <c r="G973" t="s">
        <v>4768</v>
      </c>
    </row>
    <row r="974" spans="1:7">
      <c r="A974" t="s">
        <v>6697</v>
      </c>
      <c r="B974" t="s">
        <v>6698</v>
      </c>
      <c r="C974" t="s">
        <v>4884</v>
      </c>
      <c r="D974">
        <v>399</v>
      </c>
      <c r="E974" s="208">
        <v>45565</v>
      </c>
      <c r="F974" t="s">
        <v>6516</v>
      </c>
      <c r="G974" t="s">
        <v>4768</v>
      </c>
    </row>
    <row r="975" spans="1:7">
      <c r="A975" t="s">
        <v>6699</v>
      </c>
      <c r="B975" t="s">
        <v>6700</v>
      </c>
      <c r="C975" t="s">
        <v>4838</v>
      </c>
      <c r="D975">
        <v>51.2</v>
      </c>
      <c r="E975" s="208">
        <v>45565</v>
      </c>
      <c r="F975" t="s">
        <v>4772</v>
      </c>
      <c r="G975" t="s">
        <v>4768</v>
      </c>
    </row>
    <row r="976" spans="1:7">
      <c r="A976" t="s">
        <v>6701</v>
      </c>
      <c r="B976" t="s">
        <v>6702</v>
      </c>
      <c r="C976" t="s">
        <v>5089</v>
      </c>
      <c r="D976">
        <v>146.6</v>
      </c>
      <c r="E976" s="208">
        <v>45565</v>
      </c>
      <c r="F976" t="s">
        <v>4772</v>
      </c>
      <c r="G976" t="s">
        <v>4768</v>
      </c>
    </row>
    <row r="977" spans="1:7">
      <c r="A977" t="s">
        <v>6703</v>
      </c>
      <c r="B977" t="s">
        <v>6704</v>
      </c>
      <c r="C977" t="s">
        <v>4803</v>
      </c>
      <c r="D977">
        <v>62.97</v>
      </c>
      <c r="E977" s="208">
        <v>45561</v>
      </c>
      <c r="F977" t="s">
        <v>4772</v>
      </c>
      <c r="G977" t="s">
        <v>4768</v>
      </c>
    </row>
    <row r="978" spans="1:7">
      <c r="A978" t="s">
        <v>6705</v>
      </c>
      <c r="B978" t="s">
        <v>6706</v>
      </c>
      <c r="C978" t="s">
        <v>4962</v>
      </c>
      <c r="D978">
        <v>71.650000000000006</v>
      </c>
      <c r="E978" s="208">
        <v>45561</v>
      </c>
      <c r="F978" t="s">
        <v>4772</v>
      </c>
      <c r="G978" t="s">
        <v>4768</v>
      </c>
    </row>
    <row r="979" spans="1:7">
      <c r="A979" t="s">
        <v>6707</v>
      </c>
      <c r="B979" t="s">
        <v>6708</v>
      </c>
      <c r="C979" t="s">
        <v>4766</v>
      </c>
      <c r="D979">
        <v>1078</v>
      </c>
      <c r="E979" s="208">
        <v>45559</v>
      </c>
      <c r="F979" t="s">
        <v>6516</v>
      </c>
      <c r="G979" t="s">
        <v>4768</v>
      </c>
    </row>
    <row r="980" spans="1:7">
      <c r="A980" t="s">
        <v>4642</v>
      </c>
      <c r="B980" t="s">
        <v>6709</v>
      </c>
      <c r="C980" t="s">
        <v>4771</v>
      </c>
      <c r="D980">
        <v>175.9</v>
      </c>
      <c r="E980" s="208">
        <v>45555</v>
      </c>
      <c r="F980" t="s">
        <v>4772</v>
      </c>
      <c r="G980" t="s">
        <v>4768</v>
      </c>
    </row>
    <row r="981" spans="1:7">
      <c r="A981" t="s">
        <v>4676</v>
      </c>
      <c r="B981" t="s">
        <v>6710</v>
      </c>
      <c r="C981" t="s">
        <v>4771</v>
      </c>
      <c r="D981">
        <v>216.96</v>
      </c>
      <c r="E981" s="208">
        <v>45555</v>
      </c>
      <c r="F981" t="s">
        <v>4772</v>
      </c>
      <c r="G981" t="s">
        <v>4768</v>
      </c>
    </row>
    <row r="982" spans="1:7">
      <c r="A982" t="s">
        <v>4750</v>
      </c>
      <c r="B982" t="s">
        <v>4749</v>
      </c>
      <c r="C982" t="s">
        <v>5089</v>
      </c>
      <c r="D982">
        <v>59.87</v>
      </c>
      <c r="E982" s="208">
        <v>45554</v>
      </c>
      <c r="F982" t="s">
        <v>4782</v>
      </c>
      <c r="G982" t="s">
        <v>4768</v>
      </c>
    </row>
    <row r="983" spans="1:7">
      <c r="A983" t="s">
        <v>6711</v>
      </c>
      <c r="B983" t="s">
        <v>6712</v>
      </c>
      <c r="C983" t="s">
        <v>4806</v>
      </c>
      <c r="D983">
        <v>31.65</v>
      </c>
      <c r="E983" s="208">
        <v>45552</v>
      </c>
      <c r="F983" t="s">
        <v>4804</v>
      </c>
      <c r="G983" t="s">
        <v>4768</v>
      </c>
    </row>
    <row r="984" spans="1:7">
      <c r="A984" t="s">
        <v>6713</v>
      </c>
      <c r="B984" t="s">
        <v>6714</v>
      </c>
      <c r="C984" t="s">
        <v>4766</v>
      </c>
      <c r="D984">
        <v>42.76</v>
      </c>
      <c r="E984" s="208">
        <v>45551</v>
      </c>
      <c r="F984" t="s">
        <v>4782</v>
      </c>
      <c r="G984" t="s">
        <v>4768</v>
      </c>
    </row>
    <row r="985" spans="1:7">
      <c r="A985" t="s">
        <v>6715</v>
      </c>
      <c r="B985" t="s">
        <v>6716</v>
      </c>
      <c r="C985" t="s">
        <v>4835</v>
      </c>
      <c r="D985">
        <v>131.76</v>
      </c>
      <c r="E985" s="208">
        <v>45551</v>
      </c>
      <c r="F985" t="s">
        <v>4772</v>
      </c>
      <c r="G985" t="s">
        <v>4768</v>
      </c>
    </row>
    <row r="986" spans="1:7">
      <c r="A986" t="s">
        <v>4572</v>
      </c>
      <c r="B986" t="s">
        <v>6717</v>
      </c>
      <c r="C986" t="s">
        <v>4771</v>
      </c>
      <c r="D986">
        <v>90.75</v>
      </c>
      <c r="E986" s="208">
        <v>45548</v>
      </c>
      <c r="F986" t="s">
        <v>4767</v>
      </c>
      <c r="G986" t="s">
        <v>4768</v>
      </c>
    </row>
    <row r="987" spans="1:7">
      <c r="A987" t="s">
        <v>6718</v>
      </c>
      <c r="B987" t="s">
        <v>6719</v>
      </c>
      <c r="C987" t="s">
        <v>4803</v>
      </c>
      <c r="D987">
        <v>32.35</v>
      </c>
      <c r="E987" s="208">
        <v>45548</v>
      </c>
      <c r="F987" t="s">
        <v>6638</v>
      </c>
      <c r="G987" t="s">
        <v>4768</v>
      </c>
    </row>
    <row r="988" spans="1:7">
      <c r="A988" t="s">
        <v>6720</v>
      </c>
      <c r="B988" t="s">
        <v>6721</v>
      </c>
      <c r="C988" t="s">
        <v>4766</v>
      </c>
      <c r="D988">
        <v>12.87</v>
      </c>
      <c r="E988" s="208">
        <v>45546</v>
      </c>
      <c r="F988" t="s">
        <v>4782</v>
      </c>
      <c r="G988" t="s">
        <v>4768</v>
      </c>
    </row>
    <row r="989" spans="1:7">
      <c r="A989" t="s">
        <v>6722</v>
      </c>
      <c r="B989" t="s">
        <v>6723</v>
      </c>
      <c r="C989" t="s">
        <v>4835</v>
      </c>
      <c r="D989">
        <v>62.6</v>
      </c>
      <c r="E989" s="208">
        <v>45546</v>
      </c>
      <c r="F989" t="s">
        <v>4767</v>
      </c>
      <c r="G989" t="s">
        <v>4768</v>
      </c>
    </row>
    <row r="990" spans="1:7">
      <c r="A990" t="s">
        <v>6724</v>
      </c>
      <c r="B990" t="s">
        <v>6725</v>
      </c>
      <c r="C990" t="s">
        <v>4766</v>
      </c>
      <c r="D990">
        <v>2</v>
      </c>
      <c r="E990" s="208">
        <v>45546</v>
      </c>
      <c r="F990" t="s">
        <v>6726</v>
      </c>
      <c r="G990" t="s">
        <v>4768</v>
      </c>
    </row>
    <row r="991" spans="1:7">
      <c r="A991" t="s">
        <v>6727</v>
      </c>
      <c r="B991" t="s">
        <v>6728</v>
      </c>
      <c r="C991" t="s">
        <v>4766</v>
      </c>
      <c r="D991">
        <v>212.9</v>
      </c>
      <c r="E991" s="208">
        <v>45544</v>
      </c>
      <c r="F991" t="s">
        <v>4772</v>
      </c>
      <c r="G991" t="s">
        <v>4768</v>
      </c>
    </row>
    <row r="992" spans="1:7">
      <c r="A992" t="s">
        <v>6729</v>
      </c>
      <c r="B992" t="s">
        <v>6730</v>
      </c>
      <c r="C992" t="s">
        <v>6731</v>
      </c>
      <c r="D992">
        <v>13.24</v>
      </c>
      <c r="E992" s="208">
        <v>45544</v>
      </c>
      <c r="F992" t="s">
        <v>4782</v>
      </c>
      <c r="G992" t="s">
        <v>4768</v>
      </c>
    </row>
    <row r="993" spans="1:7">
      <c r="A993" t="s">
        <v>4742</v>
      </c>
      <c r="B993" t="s">
        <v>6732</v>
      </c>
      <c r="C993" t="s">
        <v>4806</v>
      </c>
      <c r="D993">
        <v>34.33</v>
      </c>
      <c r="E993" s="208">
        <v>45544</v>
      </c>
      <c r="F993" t="s">
        <v>4804</v>
      </c>
      <c r="G993" t="s">
        <v>4768</v>
      </c>
    </row>
    <row r="994" spans="1:7">
      <c r="A994" t="s">
        <v>6733</v>
      </c>
      <c r="B994" t="s">
        <v>6734</v>
      </c>
      <c r="C994" t="s">
        <v>6735</v>
      </c>
      <c r="D994">
        <v>385.95</v>
      </c>
      <c r="E994" s="208">
        <v>45544</v>
      </c>
      <c r="F994" t="s">
        <v>4804</v>
      </c>
      <c r="G994" t="s">
        <v>4768</v>
      </c>
    </row>
    <row r="995" spans="1:7">
      <c r="A995" t="s">
        <v>6736</v>
      </c>
      <c r="B995" t="s">
        <v>6737</v>
      </c>
      <c r="C995" t="s">
        <v>4803</v>
      </c>
      <c r="D995">
        <v>367.05</v>
      </c>
      <c r="E995" s="208">
        <v>45544</v>
      </c>
      <c r="F995" t="s">
        <v>4772</v>
      </c>
      <c r="G995" t="s">
        <v>4768</v>
      </c>
    </row>
    <row r="996" spans="1:7">
      <c r="A996" t="s">
        <v>6738</v>
      </c>
      <c r="B996" t="s">
        <v>6739</v>
      </c>
      <c r="C996" t="s">
        <v>5286</v>
      </c>
      <c r="D996">
        <v>9.99</v>
      </c>
      <c r="E996" s="208">
        <v>45544</v>
      </c>
      <c r="F996" t="s">
        <v>4782</v>
      </c>
      <c r="G996" t="s">
        <v>4768</v>
      </c>
    </row>
    <row r="997" spans="1:7">
      <c r="A997" t="s">
        <v>6740</v>
      </c>
      <c r="B997" t="s">
        <v>6741</v>
      </c>
      <c r="C997" t="s">
        <v>4766</v>
      </c>
      <c r="D997">
        <v>1</v>
      </c>
      <c r="E997" s="208">
        <v>45540</v>
      </c>
      <c r="F997" t="s">
        <v>4782</v>
      </c>
      <c r="G997" t="s">
        <v>4768</v>
      </c>
    </row>
    <row r="998" spans="1:7">
      <c r="A998" t="s">
        <v>6742</v>
      </c>
      <c r="B998" t="s">
        <v>6743</v>
      </c>
      <c r="C998" t="s">
        <v>4766</v>
      </c>
      <c r="D998">
        <v>13.07</v>
      </c>
      <c r="E998" s="208">
        <v>45540</v>
      </c>
      <c r="F998" t="s">
        <v>4782</v>
      </c>
      <c r="G998" t="s">
        <v>4768</v>
      </c>
    </row>
    <row r="999" spans="1:7">
      <c r="A999" t="s">
        <v>6744</v>
      </c>
      <c r="B999" t="s">
        <v>6745</v>
      </c>
      <c r="C999" t="s">
        <v>4766</v>
      </c>
      <c r="D999">
        <v>5.89</v>
      </c>
      <c r="E999" s="208">
        <v>45540</v>
      </c>
      <c r="F999" t="s">
        <v>4782</v>
      </c>
      <c r="G999" t="s">
        <v>4768</v>
      </c>
    </row>
    <row r="1000" spans="1:7">
      <c r="A1000" t="s">
        <v>6746</v>
      </c>
      <c r="B1000" t="s">
        <v>6747</v>
      </c>
      <c r="C1000" t="s">
        <v>4766</v>
      </c>
      <c r="D1000">
        <v>33.26</v>
      </c>
      <c r="E1000" s="208">
        <v>45539</v>
      </c>
      <c r="F1000" t="s">
        <v>4782</v>
      </c>
      <c r="G1000" t="s">
        <v>4768</v>
      </c>
    </row>
    <row r="1001" spans="1:7">
      <c r="A1001" t="s">
        <v>6748</v>
      </c>
      <c r="B1001" t="s">
        <v>6749</v>
      </c>
      <c r="C1001" t="s">
        <v>4775</v>
      </c>
      <c r="D1001">
        <v>64.599999999999994</v>
      </c>
      <c r="E1001" s="208">
        <v>45538</v>
      </c>
      <c r="F1001" t="s">
        <v>4767</v>
      </c>
      <c r="G1001" t="s">
        <v>4768</v>
      </c>
    </row>
    <row r="1002" spans="1:7">
      <c r="A1002" t="s">
        <v>6750</v>
      </c>
      <c r="B1002" t="s">
        <v>6751</v>
      </c>
      <c r="C1002" t="s">
        <v>4803</v>
      </c>
      <c r="D1002">
        <v>259.14999999999998</v>
      </c>
      <c r="E1002" s="208">
        <v>45538</v>
      </c>
      <c r="F1002" t="s">
        <v>4804</v>
      </c>
      <c r="G1002" t="s">
        <v>4768</v>
      </c>
    </row>
    <row r="1003" spans="1:7">
      <c r="A1003" t="s">
        <v>6752</v>
      </c>
      <c r="B1003" t="s">
        <v>6753</v>
      </c>
      <c r="C1003" t="s">
        <v>4803</v>
      </c>
      <c r="D1003">
        <v>2866</v>
      </c>
      <c r="E1003" s="208">
        <v>45538</v>
      </c>
      <c r="F1003" t="s">
        <v>6516</v>
      </c>
      <c r="G1003" t="s">
        <v>4768</v>
      </c>
    </row>
    <row r="1004" spans="1:7">
      <c r="A1004" t="s">
        <v>6754</v>
      </c>
      <c r="B1004" t="s">
        <v>6755</v>
      </c>
      <c r="C1004" t="s">
        <v>4766</v>
      </c>
      <c r="D1004">
        <v>21.99</v>
      </c>
      <c r="E1004" s="208">
        <v>45534</v>
      </c>
      <c r="F1004" t="s">
        <v>4779</v>
      </c>
      <c r="G1004" t="s">
        <v>4768</v>
      </c>
    </row>
    <row r="1005" spans="1:7">
      <c r="A1005" t="s">
        <v>6756</v>
      </c>
      <c r="B1005" t="s">
        <v>6757</v>
      </c>
      <c r="C1005" t="s">
        <v>4766</v>
      </c>
      <c r="D1005">
        <v>65.19</v>
      </c>
      <c r="E1005" s="208">
        <v>45534</v>
      </c>
      <c r="F1005" t="s">
        <v>4796</v>
      </c>
      <c r="G1005" t="s">
        <v>4768</v>
      </c>
    </row>
    <row r="1006" spans="1:7">
      <c r="A1006" t="s">
        <v>6758</v>
      </c>
      <c r="B1006" t="s">
        <v>6759</v>
      </c>
      <c r="C1006" t="s">
        <v>4884</v>
      </c>
      <c r="D1006">
        <v>54.99</v>
      </c>
      <c r="E1006" s="208">
        <v>45534</v>
      </c>
      <c r="F1006" t="s">
        <v>5183</v>
      </c>
      <c r="G1006" t="s">
        <v>4768</v>
      </c>
    </row>
    <row r="1007" spans="1:7">
      <c r="A1007" t="s">
        <v>6760</v>
      </c>
      <c r="B1007" t="s">
        <v>6761</v>
      </c>
      <c r="C1007" t="s">
        <v>6613</v>
      </c>
      <c r="D1007">
        <v>1214.4000000000001</v>
      </c>
      <c r="E1007" s="208">
        <v>45534</v>
      </c>
      <c r="F1007" t="s">
        <v>4772</v>
      </c>
      <c r="G1007" t="s">
        <v>4768</v>
      </c>
    </row>
    <row r="1008" spans="1:7">
      <c r="A1008" t="s">
        <v>6762</v>
      </c>
      <c r="B1008" t="s">
        <v>6763</v>
      </c>
      <c r="C1008" t="s">
        <v>4766</v>
      </c>
      <c r="D1008">
        <v>16.989999999999998</v>
      </c>
      <c r="E1008" s="208">
        <v>45534</v>
      </c>
      <c r="F1008" t="s">
        <v>5183</v>
      </c>
      <c r="G1008" t="s">
        <v>4768</v>
      </c>
    </row>
    <row r="1009" spans="1:7">
      <c r="A1009" t="s">
        <v>6764</v>
      </c>
      <c r="B1009" t="s">
        <v>6765</v>
      </c>
      <c r="C1009" t="s">
        <v>4766</v>
      </c>
      <c r="D1009">
        <v>18.32</v>
      </c>
      <c r="E1009" s="208">
        <v>45532</v>
      </c>
      <c r="F1009" t="s">
        <v>4832</v>
      </c>
      <c r="G1009" t="s">
        <v>4768</v>
      </c>
    </row>
    <row r="1010" spans="1:7">
      <c r="A1010" t="s">
        <v>6766</v>
      </c>
      <c r="B1010" t="s">
        <v>6767</v>
      </c>
      <c r="C1010" t="s">
        <v>4972</v>
      </c>
      <c r="D1010">
        <v>3.7</v>
      </c>
      <c r="E1010" s="208">
        <v>45532</v>
      </c>
      <c r="F1010" t="s">
        <v>4877</v>
      </c>
      <c r="G1010" t="s">
        <v>4768</v>
      </c>
    </row>
    <row r="1011" spans="1:7">
      <c r="A1011" t="s">
        <v>6768</v>
      </c>
      <c r="B1011" t="s">
        <v>6769</v>
      </c>
      <c r="C1011" t="s">
        <v>4766</v>
      </c>
      <c r="D1011">
        <v>29.43</v>
      </c>
      <c r="E1011" s="208">
        <v>45531</v>
      </c>
      <c r="F1011" t="s">
        <v>4767</v>
      </c>
      <c r="G1011" t="s">
        <v>4768</v>
      </c>
    </row>
    <row r="1012" spans="1:7">
      <c r="A1012" t="s">
        <v>6770</v>
      </c>
      <c r="B1012" t="s">
        <v>6771</v>
      </c>
      <c r="C1012" t="s">
        <v>4766</v>
      </c>
      <c r="D1012">
        <v>299</v>
      </c>
      <c r="E1012" s="208">
        <v>45524</v>
      </c>
      <c r="F1012" t="s">
        <v>4832</v>
      </c>
      <c r="G1012" t="s">
        <v>4768</v>
      </c>
    </row>
    <row r="1013" spans="1:7">
      <c r="A1013" t="s">
        <v>6772</v>
      </c>
      <c r="B1013" t="s">
        <v>6773</v>
      </c>
      <c r="C1013" t="s">
        <v>4766</v>
      </c>
      <c r="D1013">
        <v>41.3</v>
      </c>
      <c r="E1013" s="208">
        <v>45524</v>
      </c>
      <c r="F1013" t="s">
        <v>4832</v>
      </c>
      <c r="G1013" t="s">
        <v>4768</v>
      </c>
    </row>
    <row r="1014" spans="1:7">
      <c r="A1014" t="s">
        <v>6774</v>
      </c>
      <c r="B1014" t="s">
        <v>6775</v>
      </c>
      <c r="C1014" t="s">
        <v>4766</v>
      </c>
      <c r="D1014">
        <v>310</v>
      </c>
      <c r="E1014" s="208">
        <v>45523</v>
      </c>
      <c r="F1014" t="s">
        <v>6516</v>
      </c>
      <c r="G1014" t="s">
        <v>4768</v>
      </c>
    </row>
    <row r="1015" spans="1:7">
      <c r="A1015" t="s">
        <v>6776</v>
      </c>
      <c r="B1015" t="s">
        <v>6777</v>
      </c>
      <c r="C1015" t="s">
        <v>4803</v>
      </c>
      <c r="D1015">
        <v>825</v>
      </c>
      <c r="E1015" s="208">
        <v>45523</v>
      </c>
      <c r="F1015" t="s">
        <v>6590</v>
      </c>
      <c r="G1015" t="s">
        <v>4768</v>
      </c>
    </row>
    <row r="1016" spans="1:7">
      <c r="A1016" t="s">
        <v>4630</v>
      </c>
      <c r="B1016" t="s">
        <v>6778</v>
      </c>
      <c r="C1016" t="s">
        <v>4884</v>
      </c>
      <c r="D1016">
        <v>286.75</v>
      </c>
      <c r="E1016" s="208">
        <v>45520</v>
      </c>
      <c r="F1016" t="s">
        <v>4804</v>
      </c>
      <c r="G1016" t="s">
        <v>4768</v>
      </c>
    </row>
    <row r="1017" spans="1:7">
      <c r="A1017" t="s">
        <v>6779</v>
      </c>
      <c r="B1017" t="s">
        <v>6780</v>
      </c>
      <c r="C1017" t="s">
        <v>4766</v>
      </c>
      <c r="D1017">
        <v>33.19</v>
      </c>
      <c r="E1017" s="208">
        <v>45519</v>
      </c>
      <c r="F1017" t="s">
        <v>4782</v>
      </c>
      <c r="G1017" t="s">
        <v>4768</v>
      </c>
    </row>
    <row r="1018" spans="1:7">
      <c r="A1018" t="s">
        <v>6781</v>
      </c>
      <c r="B1018" t="s">
        <v>6782</v>
      </c>
      <c r="C1018" t="s">
        <v>4806</v>
      </c>
      <c r="D1018">
        <v>30.6</v>
      </c>
      <c r="E1018" s="208">
        <v>45519</v>
      </c>
      <c r="F1018" t="s">
        <v>4804</v>
      </c>
      <c r="G1018" t="s">
        <v>4768</v>
      </c>
    </row>
    <row r="1019" spans="1:7">
      <c r="A1019" t="s">
        <v>6783</v>
      </c>
      <c r="B1019" t="s">
        <v>6784</v>
      </c>
      <c r="C1019" t="s">
        <v>6785</v>
      </c>
      <c r="D1019">
        <v>41.7</v>
      </c>
      <c r="E1019" s="208">
        <v>45519</v>
      </c>
      <c r="F1019" t="s">
        <v>4804</v>
      </c>
      <c r="G1019" t="s">
        <v>4768</v>
      </c>
    </row>
    <row r="1020" spans="1:7">
      <c r="A1020" t="s">
        <v>6786</v>
      </c>
      <c r="B1020" t="s">
        <v>6787</v>
      </c>
      <c r="C1020" t="s">
        <v>4766</v>
      </c>
      <c r="D1020">
        <v>11.8</v>
      </c>
      <c r="E1020" s="208">
        <v>45518</v>
      </c>
      <c r="F1020" t="s">
        <v>4832</v>
      </c>
      <c r="G1020" t="s">
        <v>4768</v>
      </c>
    </row>
    <row r="1021" spans="1:7">
      <c r="A1021" t="s">
        <v>6788</v>
      </c>
      <c r="B1021" t="s">
        <v>6789</v>
      </c>
      <c r="C1021" t="s">
        <v>4766</v>
      </c>
      <c r="D1021">
        <v>380.13</v>
      </c>
      <c r="E1021" s="208">
        <v>45517</v>
      </c>
      <c r="F1021" t="s">
        <v>4905</v>
      </c>
      <c r="G1021" t="s">
        <v>4768</v>
      </c>
    </row>
    <row r="1022" spans="1:7">
      <c r="A1022" t="s">
        <v>6790</v>
      </c>
      <c r="B1022" t="s">
        <v>6791</v>
      </c>
      <c r="C1022" t="s">
        <v>4766</v>
      </c>
      <c r="D1022">
        <v>21.38</v>
      </c>
      <c r="E1022" s="208">
        <v>45517</v>
      </c>
      <c r="F1022" t="s">
        <v>6576</v>
      </c>
      <c r="G1022" t="s">
        <v>4768</v>
      </c>
    </row>
    <row r="1023" spans="1:7">
      <c r="A1023" t="s">
        <v>6792</v>
      </c>
      <c r="B1023" t="s">
        <v>6793</v>
      </c>
      <c r="C1023" t="s">
        <v>4766</v>
      </c>
      <c r="D1023">
        <v>13.79</v>
      </c>
      <c r="E1023" s="208">
        <v>45516</v>
      </c>
      <c r="F1023" t="s">
        <v>4782</v>
      </c>
      <c r="G1023" t="s">
        <v>4768</v>
      </c>
    </row>
    <row r="1024" spans="1:7">
      <c r="A1024" t="s">
        <v>6794</v>
      </c>
      <c r="B1024" t="s">
        <v>6795</v>
      </c>
      <c r="C1024" t="s">
        <v>4766</v>
      </c>
      <c r="D1024">
        <v>3.75</v>
      </c>
      <c r="E1024" s="208">
        <v>45516</v>
      </c>
      <c r="F1024" t="s">
        <v>4782</v>
      </c>
      <c r="G1024" t="s">
        <v>4768</v>
      </c>
    </row>
    <row r="1025" spans="1:7">
      <c r="A1025" t="s">
        <v>6796</v>
      </c>
      <c r="B1025" t="s">
        <v>6797</v>
      </c>
      <c r="C1025" t="s">
        <v>4775</v>
      </c>
      <c r="D1025">
        <v>30</v>
      </c>
      <c r="E1025" s="208">
        <v>45513</v>
      </c>
      <c r="F1025" t="s">
        <v>4804</v>
      </c>
      <c r="G1025" t="s">
        <v>4768</v>
      </c>
    </row>
    <row r="1026" spans="1:7">
      <c r="A1026" t="s">
        <v>6798</v>
      </c>
      <c r="B1026" t="s">
        <v>6799</v>
      </c>
      <c r="C1026" t="s">
        <v>4766</v>
      </c>
      <c r="D1026">
        <v>8.25</v>
      </c>
      <c r="E1026" s="208">
        <v>45513</v>
      </c>
      <c r="F1026" t="s">
        <v>4772</v>
      </c>
      <c r="G1026" t="s">
        <v>4768</v>
      </c>
    </row>
    <row r="1027" spans="1:7">
      <c r="A1027" t="s">
        <v>6800</v>
      </c>
      <c r="B1027" t="s">
        <v>6801</v>
      </c>
      <c r="C1027" t="s">
        <v>4803</v>
      </c>
      <c r="D1027">
        <v>1653.9</v>
      </c>
      <c r="E1027" s="208">
        <v>45513</v>
      </c>
      <c r="F1027" t="s">
        <v>4804</v>
      </c>
      <c r="G1027" t="s">
        <v>4768</v>
      </c>
    </row>
    <row r="1028" spans="1:7">
      <c r="A1028" t="s">
        <v>6802</v>
      </c>
      <c r="B1028" t="s">
        <v>6803</v>
      </c>
      <c r="C1028" t="s">
        <v>4803</v>
      </c>
      <c r="D1028">
        <v>200</v>
      </c>
      <c r="E1028" s="208">
        <v>45513</v>
      </c>
      <c r="F1028" t="s">
        <v>4996</v>
      </c>
      <c r="G1028" t="s">
        <v>4768</v>
      </c>
    </row>
    <row r="1029" spans="1:7">
      <c r="A1029" t="s">
        <v>6804</v>
      </c>
      <c r="B1029" t="s">
        <v>6805</v>
      </c>
      <c r="C1029" t="s">
        <v>4766</v>
      </c>
      <c r="D1029">
        <v>113</v>
      </c>
      <c r="E1029" s="208">
        <v>45512</v>
      </c>
      <c r="F1029" t="s">
        <v>4832</v>
      </c>
      <c r="G1029" t="s">
        <v>4768</v>
      </c>
    </row>
    <row r="1030" spans="1:7">
      <c r="A1030" t="s">
        <v>6806</v>
      </c>
      <c r="B1030" t="s">
        <v>6807</v>
      </c>
      <c r="C1030" t="s">
        <v>4766</v>
      </c>
      <c r="D1030">
        <v>39.03</v>
      </c>
      <c r="E1030" s="208">
        <v>45512</v>
      </c>
      <c r="F1030" t="s">
        <v>4782</v>
      </c>
      <c r="G1030" t="s">
        <v>4768</v>
      </c>
    </row>
    <row r="1031" spans="1:7">
      <c r="A1031" t="s">
        <v>6808</v>
      </c>
      <c r="B1031" t="s">
        <v>6809</v>
      </c>
      <c r="C1031" t="s">
        <v>4806</v>
      </c>
      <c r="D1031">
        <v>44.1</v>
      </c>
      <c r="E1031" s="208">
        <v>45505</v>
      </c>
      <c r="F1031" t="s">
        <v>4804</v>
      </c>
      <c r="G1031" t="s">
        <v>4768</v>
      </c>
    </row>
    <row r="1032" spans="1:7">
      <c r="A1032" t="s">
        <v>6810</v>
      </c>
      <c r="B1032" t="s">
        <v>6811</v>
      </c>
      <c r="C1032" t="s">
        <v>4795</v>
      </c>
      <c r="D1032">
        <v>522.12959999999998</v>
      </c>
      <c r="E1032" s="208">
        <v>45504</v>
      </c>
      <c r="F1032" t="s">
        <v>4772</v>
      </c>
      <c r="G1032" t="s">
        <v>4768</v>
      </c>
    </row>
    <row r="1033" spans="1:7">
      <c r="A1033" t="s">
        <v>6812</v>
      </c>
      <c r="B1033" t="s">
        <v>6813</v>
      </c>
      <c r="C1033" t="s">
        <v>4962</v>
      </c>
      <c r="D1033">
        <v>10.75</v>
      </c>
      <c r="E1033" s="208">
        <v>45504</v>
      </c>
      <c r="F1033" t="s">
        <v>4772</v>
      </c>
      <c r="G1033" t="s">
        <v>4768</v>
      </c>
    </row>
    <row r="1034" spans="1:7">
      <c r="A1034" t="s">
        <v>6814</v>
      </c>
      <c r="B1034" t="s">
        <v>6815</v>
      </c>
      <c r="C1034" t="s">
        <v>4803</v>
      </c>
      <c r="D1034">
        <v>367.05</v>
      </c>
      <c r="E1034" s="208">
        <v>45504</v>
      </c>
      <c r="F1034" t="s">
        <v>4772</v>
      </c>
      <c r="G1034" t="s">
        <v>4768</v>
      </c>
    </row>
    <row r="1035" spans="1:7">
      <c r="A1035" t="s">
        <v>6816</v>
      </c>
      <c r="B1035" t="s">
        <v>6817</v>
      </c>
      <c r="C1035" t="s">
        <v>6613</v>
      </c>
      <c r="D1035">
        <v>100.82</v>
      </c>
      <c r="E1035" s="208">
        <v>45504</v>
      </c>
      <c r="F1035" t="s">
        <v>4772</v>
      </c>
      <c r="G1035" t="s">
        <v>4768</v>
      </c>
    </row>
    <row r="1036" spans="1:7">
      <c r="A1036" t="s">
        <v>6818</v>
      </c>
      <c r="B1036" t="s">
        <v>6819</v>
      </c>
      <c r="C1036" t="s">
        <v>4803</v>
      </c>
      <c r="D1036">
        <v>451.02</v>
      </c>
      <c r="E1036" s="208">
        <v>45504</v>
      </c>
      <c r="F1036" t="s">
        <v>4772</v>
      </c>
      <c r="G1036" t="s">
        <v>4768</v>
      </c>
    </row>
    <row r="1037" spans="1:7">
      <c r="A1037" t="s">
        <v>6820</v>
      </c>
      <c r="B1037" t="s">
        <v>6821</v>
      </c>
      <c r="C1037" t="s">
        <v>6822</v>
      </c>
      <c r="D1037">
        <v>6.91</v>
      </c>
      <c r="E1037" s="208">
        <v>45504</v>
      </c>
      <c r="F1037" t="s">
        <v>4772</v>
      </c>
      <c r="G1037" t="s">
        <v>4768</v>
      </c>
    </row>
    <row r="1038" spans="1:7">
      <c r="A1038" t="s">
        <v>6823</v>
      </c>
      <c r="B1038" t="s">
        <v>6824</v>
      </c>
      <c r="C1038" t="s">
        <v>4803</v>
      </c>
      <c r="D1038">
        <v>497.85</v>
      </c>
      <c r="E1038" s="208">
        <v>45504</v>
      </c>
      <c r="F1038" t="s">
        <v>4772</v>
      </c>
      <c r="G1038" t="s">
        <v>4768</v>
      </c>
    </row>
    <row r="1039" spans="1:7">
      <c r="A1039" t="s">
        <v>6825</v>
      </c>
      <c r="B1039" t="s">
        <v>6826</v>
      </c>
      <c r="C1039" t="s">
        <v>4884</v>
      </c>
      <c r="D1039">
        <v>218.64</v>
      </c>
      <c r="E1039" s="208">
        <v>45504</v>
      </c>
      <c r="F1039" t="s">
        <v>4772</v>
      </c>
      <c r="G1039" t="s">
        <v>4768</v>
      </c>
    </row>
    <row r="1040" spans="1:7">
      <c r="A1040" t="s">
        <v>6827</v>
      </c>
      <c r="B1040" t="s">
        <v>6828</v>
      </c>
      <c r="C1040" t="s">
        <v>4803</v>
      </c>
      <c r="D1040">
        <v>285</v>
      </c>
      <c r="E1040" s="208">
        <v>45504</v>
      </c>
      <c r="F1040" t="s">
        <v>6516</v>
      </c>
      <c r="G1040" t="s">
        <v>4768</v>
      </c>
    </row>
    <row r="1041" spans="1:7">
      <c r="A1041" t="s">
        <v>6829</v>
      </c>
      <c r="B1041" t="s">
        <v>6830</v>
      </c>
      <c r="C1041" t="s">
        <v>4766</v>
      </c>
      <c r="D1041">
        <v>843</v>
      </c>
      <c r="E1041" s="208">
        <v>45504</v>
      </c>
      <c r="F1041" t="s">
        <v>6516</v>
      </c>
      <c r="G1041" t="s">
        <v>4768</v>
      </c>
    </row>
    <row r="1042" spans="1:7">
      <c r="A1042" t="s">
        <v>6831</v>
      </c>
      <c r="B1042" t="s">
        <v>6832</v>
      </c>
      <c r="C1042" t="s">
        <v>4831</v>
      </c>
      <c r="D1042">
        <v>1722</v>
      </c>
      <c r="E1042" s="208">
        <v>45504</v>
      </c>
      <c r="F1042" t="s">
        <v>6516</v>
      </c>
      <c r="G1042" t="s">
        <v>4768</v>
      </c>
    </row>
    <row r="1043" spans="1:7">
      <c r="A1043" t="s">
        <v>6833</v>
      </c>
      <c r="B1043" t="s">
        <v>6834</v>
      </c>
      <c r="C1043" t="s">
        <v>4766</v>
      </c>
      <c r="D1043">
        <v>215</v>
      </c>
      <c r="E1043" s="208">
        <v>45504</v>
      </c>
      <c r="F1043" t="s">
        <v>6516</v>
      </c>
      <c r="G1043" t="s">
        <v>4768</v>
      </c>
    </row>
    <row r="1044" spans="1:7">
      <c r="A1044" t="s">
        <v>6835</v>
      </c>
      <c r="B1044" t="s">
        <v>6836</v>
      </c>
      <c r="C1044" t="s">
        <v>4766</v>
      </c>
      <c r="D1044">
        <v>1066</v>
      </c>
      <c r="E1044" s="208">
        <v>45503</v>
      </c>
      <c r="F1044" t="s">
        <v>4772</v>
      </c>
      <c r="G1044" t="s">
        <v>4768</v>
      </c>
    </row>
    <row r="1045" spans="1:7">
      <c r="A1045" t="s">
        <v>6837</v>
      </c>
      <c r="B1045" t="s">
        <v>6838</v>
      </c>
      <c r="C1045" t="s">
        <v>4806</v>
      </c>
      <c r="D1045">
        <v>0</v>
      </c>
      <c r="E1045" s="208">
        <v>45503</v>
      </c>
      <c r="F1045" t="s">
        <v>4804</v>
      </c>
      <c r="G1045" t="s">
        <v>4768</v>
      </c>
    </row>
    <row r="1046" spans="1:7">
      <c r="A1046" t="s">
        <v>6839</v>
      </c>
      <c r="B1046" t="s">
        <v>6840</v>
      </c>
      <c r="C1046" t="s">
        <v>4884</v>
      </c>
      <c r="D1046">
        <v>0</v>
      </c>
      <c r="E1046" s="208">
        <v>45503</v>
      </c>
      <c r="F1046" t="s">
        <v>4804</v>
      </c>
      <c r="G1046" t="s">
        <v>4768</v>
      </c>
    </row>
    <row r="1047" spans="1:7">
      <c r="A1047" t="s">
        <v>6841</v>
      </c>
      <c r="B1047" t="s">
        <v>6842</v>
      </c>
      <c r="C1047" t="s">
        <v>4766</v>
      </c>
      <c r="D1047">
        <v>18.559999999999999</v>
      </c>
      <c r="E1047" s="208">
        <v>45503</v>
      </c>
      <c r="F1047" t="s">
        <v>6843</v>
      </c>
      <c r="G1047" t="s">
        <v>4768</v>
      </c>
    </row>
    <row r="1048" spans="1:7">
      <c r="A1048" t="s">
        <v>6844</v>
      </c>
      <c r="B1048" t="s">
        <v>6845</v>
      </c>
      <c r="C1048" t="s">
        <v>5089</v>
      </c>
      <c r="D1048">
        <v>64.31</v>
      </c>
      <c r="E1048" s="208">
        <v>45503</v>
      </c>
      <c r="F1048" t="s">
        <v>4772</v>
      </c>
      <c r="G1048" t="s">
        <v>4768</v>
      </c>
    </row>
    <row r="1049" spans="1:7">
      <c r="A1049" t="s">
        <v>6846</v>
      </c>
      <c r="B1049" t="s">
        <v>6847</v>
      </c>
      <c r="C1049" t="s">
        <v>4766</v>
      </c>
      <c r="D1049">
        <v>53.99</v>
      </c>
      <c r="E1049" s="208">
        <v>45502</v>
      </c>
      <c r="F1049" t="s">
        <v>4782</v>
      </c>
      <c r="G1049" t="s">
        <v>4768</v>
      </c>
    </row>
    <row r="1050" spans="1:7">
      <c r="A1050" t="s">
        <v>6848</v>
      </c>
      <c r="B1050" t="s">
        <v>6849</v>
      </c>
      <c r="C1050" t="s">
        <v>6582</v>
      </c>
      <c r="D1050">
        <v>1.24</v>
      </c>
      <c r="E1050" s="208">
        <v>45499</v>
      </c>
      <c r="F1050" t="s">
        <v>4846</v>
      </c>
      <c r="G1050" t="s">
        <v>4768</v>
      </c>
    </row>
    <row r="1051" spans="1:7">
      <c r="A1051" t="s">
        <v>6850</v>
      </c>
      <c r="B1051" t="s">
        <v>6851</v>
      </c>
      <c r="C1051" t="s">
        <v>4775</v>
      </c>
      <c r="D1051">
        <v>44.68</v>
      </c>
      <c r="E1051" s="208">
        <v>45498</v>
      </c>
      <c r="F1051" t="s">
        <v>4772</v>
      </c>
      <c r="G1051" t="s">
        <v>4768</v>
      </c>
    </row>
    <row r="1052" spans="1:7">
      <c r="A1052" t="s">
        <v>6852</v>
      </c>
      <c r="B1052" t="s">
        <v>6853</v>
      </c>
      <c r="C1052" t="s">
        <v>4766</v>
      </c>
      <c r="D1052">
        <v>36.81</v>
      </c>
      <c r="E1052" s="208">
        <v>45498</v>
      </c>
      <c r="F1052" t="s">
        <v>4832</v>
      </c>
      <c r="G1052" t="s">
        <v>4768</v>
      </c>
    </row>
    <row r="1053" spans="1:7">
      <c r="A1053" t="s">
        <v>6854</v>
      </c>
      <c r="B1053" t="s">
        <v>6855</v>
      </c>
      <c r="C1053" t="s">
        <v>4985</v>
      </c>
      <c r="D1053">
        <v>149.85</v>
      </c>
      <c r="E1053" s="208">
        <v>45495</v>
      </c>
      <c r="F1053" t="s">
        <v>4804</v>
      </c>
      <c r="G1053" t="s">
        <v>4768</v>
      </c>
    </row>
    <row r="1054" spans="1:7">
      <c r="A1054" t="s">
        <v>6856</v>
      </c>
      <c r="B1054" t="s">
        <v>6857</v>
      </c>
      <c r="C1054" t="s">
        <v>4884</v>
      </c>
      <c r="D1054">
        <v>422</v>
      </c>
      <c r="E1054" s="208">
        <v>45495</v>
      </c>
      <c r="F1054" t="s">
        <v>6516</v>
      </c>
      <c r="G1054" t="s">
        <v>4768</v>
      </c>
    </row>
    <row r="1055" spans="1:7">
      <c r="A1055" t="s">
        <v>6858</v>
      </c>
      <c r="B1055" t="s">
        <v>6859</v>
      </c>
      <c r="C1055" t="s">
        <v>4795</v>
      </c>
      <c r="D1055">
        <v>561</v>
      </c>
      <c r="E1055" s="208">
        <v>45495</v>
      </c>
      <c r="F1055" t="s">
        <v>6516</v>
      </c>
      <c r="G1055" t="s">
        <v>4768</v>
      </c>
    </row>
    <row r="1056" spans="1:7">
      <c r="A1056" t="s">
        <v>6860</v>
      </c>
      <c r="B1056" t="s">
        <v>6861</v>
      </c>
      <c r="C1056" t="s">
        <v>4766</v>
      </c>
      <c r="D1056">
        <v>189</v>
      </c>
      <c r="E1056" s="208">
        <v>45495</v>
      </c>
      <c r="F1056" t="s">
        <v>6516</v>
      </c>
      <c r="G1056" t="s">
        <v>4768</v>
      </c>
    </row>
    <row r="1057" spans="1:7">
      <c r="A1057" t="s">
        <v>6862</v>
      </c>
      <c r="B1057" t="s">
        <v>6863</v>
      </c>
      <c r="C1057" t="s">
        <v>4766</v>
      </c>
      <c r="D1057">
        <v>64.724999999999994</v>
      </c>
      <c r="E1057" s="208">
        <v>45495</v>
      </c>
      <c r="F1057" t="s">
        <v>4772</v>
      </c>
      <c r="G1057" t="s">
        <v>4768</v>
      </c>
    </row>
    <row r="1058" spans="1:7">
      <c r="A1058" t="s">
        <v>6864</v>
      </c>
      <c r="B1058" t="s">
        <v>6865</v>
      </c>
      <c r="C1058" t="s">
        <v>6866</v>
      </c>
      <c r="D1058">
        <v>297.10000000000002</v>
      </c>
      <c r="E1058" s="208">
        <v>45492</v>
      </c>
      <c r="F1058" t="s">
        <v>4772</v>
      </c>
      <c r="G1058" t="s">
        <v>4768</v>
      </c>
    </row>
    <row r="1059" spans="1:7">
      <c r="A1059" t="s">
        <v>6867</v>
      </c>
      <c r="B1059" t="s">
        <v>6868</v>
      </c>
      <c r="C1059" t="s">
        <v>4766</v>
      </c>
      <c r="D1059">
        <v>13.79</v>
      </c>
      <c r="E1059" s="208">
        <v>45490</v>
      </c>
      <c r="F1059" t="s">
        <v>4782</v>
      </c>
      <c r="G1059" t="s">
        <v>4768</v>
      </c>
    </row>
    <row r="1060" spans="1:7">
      <c r="A1060" t="s">
        <v>6869</v>
      </c>
      <c r="B1060" t="s">
        <v>6870</v>
      </c>
      <c r="C1060" t="s">
        <v>4766</v>
      </c>
      <c r="D1060">
        <v>11.3</v>
      </c>
      <c r="E1060" s="208">
        <v>45490</v>
      </c>
      <c r="F1060" t="s">
        <v>4782</v>
      </c>
      <c r="G1060" t="s">
        <v>4768</v>
      </c>
    </row>
    <row r="1061" spans="1:7">
      <c r="A1061" t="s">
        <v>6871</v>
      </c>
      <c r="B1061" t="s">
        <v>6872</v>
      </c>
      <c r="C1061" t="s">
        <v>4884</v>
      </c>
      <c r="D1061">
        <v>35.15</v>
      </c>
      <c r="E1061" s="208">
        <v>45482</v>
      </c>
      <c r="F1061" t="s">
        <v>4772</v>
      </c>
      <c r="G1061" t="s">
        <v>4768</v>
      </c>
    </row>
    <row r="1062" spans="1:7">
      <c r="A1062" t="s">
        <v>6873</v>
      </c>
      <c r="B1062" t="s">
        <v>6874</v>
      </c>
      <c r="C1062" t="s">
        <v>4895</v>
      </c>
      <c r="D1062">
        <v>91.86</v>
      </c>
      <c r="E1062" s="208">
        <v>45482</v>
      </c>
      <c r="F1062" t="s">
        <v>4772</v>
      </c>
      <c r="G1062" t="s">
        <v>4768</v>
      </c>
    </row>
    <row r="1063" spans="1:7">
      <c r="A1063" t="s">
        <v>6875</v>
      </c>
      <c r="B1063" t="s">
        <v>6876</v>
      </c>
      <c r="C1063" t="s">
        <v>4806</v>
      </c>
      <c r="D1063">
        <v>9.5</v>
      </c>
      <c r="E1063" s="208">
        <v>45481</v>
      </c>
      <c r="F1063" t="s">
        <v>4767</v>
      </c>
      <c r="G1063" t="s">
        <v>4768</v>
      </c>
    </row>
    <row r="1064" spans="1:7">
      <c r="A1064" t="s">
        <v>6877</v>
      </c>
      <c r="B1064" t="s">
        <v>6878</v>
      </c>
      <c r="C1064" t="s">
        <v>5172</v>
      </c>
      <c r="D1064">
        <v>60.89</v>
      </c>
      <c r="E1064" s="208">
        <v>45477</v>
      </c>
      <c r="F1064" t="s">
        <v>4772</v>
      </c>
      <c r="G1064" t="s">
        <v>4768</v>
      </c>
    </row>
    <row r="1065" spans="1:7">
      <c r="A1065" t="s">
        <v>6879</v>
      </c>
      <c r="B1065" t="s">
        <v>6880</v>
      </c>
      <c r="C1065" t="s">
        <v>4775</v>
      </c>
      <c r="D1065">
        <v>41.45</v>
      </c>
      <c r="E1065" s="208">
        <v>45476</v>
      </c>
      <c r="F1065" t="s">
        <v>4767</v>
      </c>
      <c r="G1065" t="s">
        <v>4768</v>
      </c>
    </row>
    <row r="1066" spans="1:7">
      <c r="A1066" t="s">
        <v>6881</v>
      </c>
      <c r="B1066" t="s">
        <v>6882</v>
      </c>
      <c r="C1066" t="s">
        <v>4803</v>
      </c>
      <c r="D1066">
        <v>9.1</v>
      </c>
      <c r="E1066" s="208">
        <v>45476</v>
      </c>
      <c r="F1066" t="s">
        <v>4782</v>
      </c>
      <c r="G1066" t="s">
        <v>4768</v>
      </c>
    </row>
    <row r="1067" spans="1:7">
      <c r="A1067" t="s">
        <v>6883</v>
      </c>
      <c r="B1067" t="s">
        <v>6884</v>
      </c>
      <c r="C1067" t="s">
        <v>4845</v>
      </c>
      <c r="D1067">
        <v>26.5</v>
      </c>
      <c r="E1067" s="208">
        <v>45476</v>
      </c>
      <c r="F1067" t="s">
        <v>4767</v>
      </c>
      <c r="G1067" t="s">
        <v>4768</v>
      </c>
    </row>
    <row r="1068" spans="1:7">
      <c r="A1068" t="s">
        <v>6885</v>
      </c>
      <c r="B1068" t="s">
        <v>6886</v>
      </c>
      <c r="C1068" t="s">
        <v>4766</v>
      </c>
      <c r="D1068">
        <v>229</v>
      </c>
      <c r="E1068" s="208">
        <v>45473</v>
      </c>
      <c r="F1068" t="s">
        <v>4779</v>
      </c>
      <c r="G1068" t="s">
        <v>4768</v>
      </c>
    </row>
    <row r="1069" spans="1:7">
      <c r="A1069" t="s">
        <v>6887</v>
      </c>
      <c r="B1069" t="s">
        <v>6888</v>
      </c>
      <c r="C1069" t="s">
        <v>4803</v>
      </c>
      <c r="D1069">
        <v>469.5</v>
      </c>
      <c r="E1069" s="208">
        <v>45470</v>
      </c>
      <c r="F1069" t="s">
        <v>4804</v>
      </c>
      <c r="G1069" t="s">
        <v>4768</v>
      </c>
    </row>
    <row r="1070" spans="1:7">
      <c r="A1070" t="s">
        <v>6889</v>
      </c>
      <c r="B1070" t="s">
        <v>6890</v>
      </c>
      <c r="C1070" t="s">
        <v>4766</v>
      </c>
      <c r="D1070">
        <v>21.11</v>
      </c>
      <c r="E1070" s="208">
        <v>45469</v>
      </c>
      <c r="F1070" t="s">
        <v>4782</v>
      </c>
      <c r="G1070" t="s">
        <v>4768</v>
      </c>
    </row>
    <row r="1071" spans="1:7">
      <c r="A1071" t="s">
        <v>4689</v>
      </c>
      <c r="B1071" t="s">
        <v>6891</v>
      </c>
      <c r="C1071" t="s">
        <v>4985</v>
      </c>
      <c r="D1071">
        <v>90.6</v>
      </c>
      <c r="E1071" s="208">
        <v>45464</v>
      </c>
      <c r="F1071" t="s">
        <v>4804</v>
      </c>
      <c r="G1071" t="s">
        <v>4768</v>
      </c>
    </row>
    <row r="1072" spans="1:7">
      <c r="A1072" t="s">
        <v>6892</v>
      </c>
      <c r="B1072" t="s">
        <v>6893</v>
      </c>
      <c r="C1072" t="s">
        <v>4766</v>
      </c>
      <c r="D1072">
        <v>975</v>
      </c>
      <c r="E1072" s="208">
        <v>45462</v>
      </c>
      <c r="F1072" t="s">
        <v>6894</v>
      </c>
      <c r="G1072" t="s">
        <v>4768</v>
      </c>
    </row>
    <row r="1073" spans="1:7">
      <c r="A1073" t="s">
        <v>6895</v>
      </c>
      <c r="B1073" t="s">
        <v>6896</v>
      </c>
      <c r="C1073" t="s">
        <v>4803</v>
      </c>
      <c r="D1073">
        <v>74.510000000000005</v>
      </c>
      <c r="E1073" s="208">
        <v>45461</v>
      </c>
      <c r="F1073" t="s">
        <v>4767</v>
      </c>
      <c r="G1073" t="s">
        <v>4768</v>
      </c>
    </row>
    <row r="1074" spans="1:7">
      <c r="A1074" t="s">
        <v>6897</v>
      </c>
      <c r="B1074" t="s">
        <v>6898</v>
      </c>
      <c r="C1074" t="s">
        <v>4803</v>
      </c>
      <c r="D1074">
        <v>1</v>
      </c>
      <c r="E1074" s="208">
        <v>45461</v>
      </c>
      <c r="F1074" t="s">
        <v>6516</v>
      </c>
      <c r="G1074" t="s">
        <v>4768</v>
      </c>
    </row>
    <row r="1075" spans="1:7">
      <c r="A1075" t="s">
        <v>6899</v>
      </c>
      <c r="B1075" t="s">
        <v>6900</v>
      </c>
      <c r="C1075" t="s">
        <v>4803</v>
      </c>
      <c r="D1075">
        <v>1</v>
      </c>
      <c r="E1075" s="208">
        <v>45461</v>
      </c>
      <c r="F1075" t="s">
        <v>6516</v>
      </c>
      <c r="G1075" t="s">
        <v>4768</v>
      </c>
    </row>
    <row r="1076" spans="1:7">
      <c r="A1076" t="s">
        <v>6901</v>
      </c>
      <c r="B1076" t="s">
        <v>6902</v>
      </c>
      <c r="C1076" t="s">
        <v>4884</v>
      </c>
      <c r="D1076">
        <v>125</v>
      </c>
      <c r="E1076" s="208">
        <v>45461</v>
      </c>
      <c r="F1076" t="s">
        <v>4772</v>
      </c>
      <c r="G1076" t="s">
        <v>4768</v>
      </c>
    </row>
    <row r="1077" spans="1:7">
      <c r="A1077" t="s">
        <v>6903</v>
      </c>
      <c r="B1077" t="s">
        <v>6904</v>
      </c>
      <c r="C1077" t="s">
        <v>4884</v>
      </c>
      <c r="D1077">
        <v>7.95</v>
      </c>
      <c r="E1077" s="208">
        <v>45460</v>
      </c>
      <c r="F1077" t="s">
        <v>4767</v>
      </c>
      <c r="G1077" t="s">
        <v>4768</v>
      </c>
    </row>
    <row r="1078" spans="1:7">
      <c r="A1078" t="s">
        <v>4493</v>
      </c>
      <c r="B1078" t="s">
        <v>6905</v>
      </c>
      <c r="C1078" t="s">
        <v>4806</v>
      </c>
      <c r="D1078">
        <v>101.33</v>
      </c>
      <c r="E1078" s="208">
        <v>45456</v>
      </c>
      <c r="F1078" t="s">
        <v>4804</v>
      </c>
      <c r="G1078" t="s">
        <v>4768</v>
      </c>
    </row>
    <row r="1079" spans="1:7">
      <c r="A1079" t="s">
        <v>6906</v>
      </c>
      <c r="B1079" t="s">
        <v>6907</v>
      </c>
      <c r="C1079" t="s">
        <v>4766</v>
      </c>
      <c r="D1079">
        <v>55.3</v>
      </c>
      <c r="E1079" s="208">
        <v>45455</v>
      </c>
      <c r="F1079" t="s">
        <v>4905</v>
      </c>
      <c r="G1079" t="s">
        <v>4768</v>
      </c>
    </row>
    <row r="1080" spans="1:7">
      <c r="A1080" t="s">
        <v>6908</v>
      </c>
      <c r="B1080" t="s">
        <v>6909</v>
      </c>
      <c r="C1080" t="s">
        <v>4803</v>
      </c>
      <c r="D1080">
        <v>489.94</v>
      </c>
      <c r="E1080" s="208">
        <v>45454</v>
      </c>
      <c r="F1080" t="s">
        <v>4772</v>
      </c>
      <c r="G1080" t="s">
        <v>4768</v>
      </c>
    </row>
    <row r="1081" spans="1:7">
      <c r="A1081" t="s">
        <v>6910</v>
      </c>
      <c r="B1081" t="s">
        <v>6911</v>
      </c>
      <c r="C1081" t="s">
        <v>4766</v>
      </c>
      <c r="D1081">
        <v>1.43</v>
      </c>
      <c r="E1081" s="208">
        <v>45442</v>
      </c>
      <c r="F1081" t="s">
        <v>6912</v>
      </c>
      <c r="G1081" t="s">
        <v>4768</v>
      </c>
    </row>
    <row r="1082" spans="1:7">
      <c r="A1082" t="s">
        <v>6913</v>
      </c>
      <c r="B1082" t="s">
        <v>6914</v>
      </c>
      <c r="C1082" t="s">
        <v>4884</v>
      </c>
      <c r="D1082">
        <v>7.99</v>
      </c>
      <c r="E1082" s="208">
        <v>45442</v>
      </c>
      <c r="F1082" t="s">
        <v>4779</v>
      </c>
      <c r="G1082" t="s">
        <v>4768</v>
      </c>
    </row>
    <row r="1083" spans="1:7">
      <c r="A1083" t="s">
        <v>6915</v>
      </c>
      <c r="B1083" t="s">
        <v>6916</v>
      </c>
      <c r="C1083" t="s">
        <v>4803</v>
      </c>
      <c r="D1083">
        <v>34.200000000000003</v>
      </c>
      <c r="E1083" s="208">
        <v>45442</v>
      </c>
      <c r="F1083" t="s">
        <v>4779</v>
      </c>
      <c r="G1083" t="s">
        <v>4768</v>
      </c>
    </row>
    <row r="1084" spans="1:7">
      <c r="A1084" t="s">
        <v>6917</v>
      </c>
      <c r="B1084" t="s">
        <v>6918</v>
      </c>
      <c r="C1084" t="s">
        <v>4766</v>
      </c>
      <c r="D1084">
        <v>94.55</v>
      </c>
      <c r="E1084" s="208">
        <v>45442</v>
      </c>
      <c r="F1084" t="s">
        <v>4779</v>
      </c>
      <c r="G1084" t="s">
        <v>4768</v>
      </c>
    </row>
    <row r="1085" spans="1:7">
      <c r="A1085" t="s">
        <v>6919</v>
      </c>
      <c r="B1085" t="s">
        <v>6920</v>
      </c>
      <c r="C1085" t="s">
        <v>4766</v>
      </c>
      <c r="D1085">
        <v>29.74</v>
      </c>
      <c r="E1085" s="208">
        <v>45442</v>
      </c>
      <c r="F1085" t="s">
        <v>4779</v>
      </c>
      <c r="G1085" t="s">
        <v>4768</v>
      </c>
    </row>
    <row r="1086" spans="1:7">
      <c r="A1086" t="s">
        <v>6921</v>
      </c>
      <c r="B1086" t="s">
        <v>6922</v>
      </c>
      <c r="C1086" t="s">
        <v>4771</v>
      </c>
      <c r="D1086">
        <v>71</v>
      </c>
      <c r="E1086" s="208">
        <v>45441</v>
      </c>
      <c r="F1086" t="s">
        <v>4772</v>
      </c>
      <c r="G1086" t="s">
        <v>4768</v>
      </c>
    </row>
    <row r="1087" spans="1:7">
      <c r="A1087" t="s">
        <v>4640</v>
      </c>
      <c r="B1087" t="s">
        <v>6923</v>
      </c>
      <c r="C1087" t="s">
        <v>4771</v>
      </c>
      <c r="D1087">
        <v>154.69999999999999</v>
      </c>
      <c r="E1087" s="208">
        <v>45439</v>
      </c>
      <c r="F1087" t="s">
        <v>4772</v>
      </c>
      <c r="G1087" t="s">
        <v>4768</v>
      </c>
    </row>
    <row r="1088" spans="1:7">
      <c r="A1088" t="s">
        <v>6924</v>
      </c>
      <c r="B1088" t="s">
        <v>6925</v>
      </c>
      <c r="C1088" t="s">
        <v>4884</v>
      </c>
      <c r="D1088">
        <v>5.51</v>
      </c>
      <c r="E1088" s="208">
        <v>45435</v>
      </c>
      <c r="F1088" t="s">
        <v>4782</v>
      </c>
      <c r="G1088" t="s">
        <v>4768</v>
      </c>
    </row>
    <row r="1089" spans="1:7">
      <c r="A1089" t="s">
        <v>6926</v>
      </c>
      <c r="B1089" t="s">
        <v>6927</v>
      </c>
      <c r="C1089" t="s">
        <v>4766</v>
      </c>
      <c r="D1089">
        <v>1.07</v>
      </c>
      <c r="E1089" s="208">
        <v>45434</v>
      </c>
      <c r="F1089" t="s">
        <v>4782</v>
      </c>
      <c r="G1089" t="s">
        <v>4768</v>
      </c>
    </row>
    <row r="1090" spans="1:7">
      <c r="A1090" t="s">
        <v>6928</v>
      </c>
      <c r="B1090" t="s">
        <v>6929</v>
      </c>
      <c r="C1090" t="s">
        <v>4806</v>
      </c>
      <c r="D1090">
        <v>17.989999999999998</v>
      </c>
      <c r="E1090" s="208">
        <v>45434</v>
      </c>
      <c r="F1090" t="s">
        <v>4782</v>
      </c>
      <c r="G1090" t="s">
        <v>4768</v>
      </c>
    </row>
    <row r="1091" spans="1:7">
      <c r="A1091" t="s">
        <v>6930</v>
      </c>
      <c r="B1091" t="s">
        <v>6931</v>
      </c>
      <c r="C1091" t="s">
        <v>4806</v>
      </c>
      <c r="D1091">
        <v>477.27</v>
      </c>
      <c r="E1091" s="208">
        <v>45428</v>
      </c>
      <c r="F1091" t="s">
        <v>4772</v>
      </c>
      <c r="G1091" t="s">
        <v>4768</v>
      </c>
    </row>
    <row r="1092" spans="1:7">
      <c r="A1092" t="s">
        <v>6932</v>
      </c>
      <c r="B1092" t="s">
        <v>6933</v>
      </c>
      <c r="C1092" t="s">
        <v>4766</v>
      </c>
      <c r="D1092">
        <v>18.95</v>
      </c>
      <c r="E1092" s="208">
        <v>45426</v>
      </c>
      <c r="F1092" t="s">
        <v>4832</v>
      </c>
      <c r="G1092" t="s">
        <v>4768</v>
      </c>
    </row>
    <row r="1093" spans="1:7">
      <c r="A1093" t="s">
        <v>6934</v>
      </c>
      <c r="B1093" t="s">
        <v>6935</v>
      </c>
      <c r="C1093" t="s">
        <v>4806</v>
      </c>
      <c r="D1093">
        <v>7.7</v>
      </c>
      <c r="E1093" s="208">
        <v>45421</v>
      </c>
      <c r="F1093" t="s">
        <v>4877</v>
      </c>
      <c r="G1093" t="s">
        <v>4768</v>
      </c>
    </row>
    <row r="1094" spans="1:7">
      <c r="A1094" t="s">
        <v>6936</v>
      </c>
      <c r="B1094" t="s">
        <v>6937</v>
      </c>
      <c r="C1094" t="s">
        <v>5286</v>
      </c>
      <c r="D1094">
        <v>14.16</v>
      </c>
      <c r="E1094" s="208">
        <v>45418</v>
      </c>
      <c r="F1094" t="s">
        <v>4782</v>
      </c>
      <c r="G1094" t="s">
        <v>4768</v>
      </c>
    </row>
    <row r="1095" spans="1:7">
      <c r="A1095" t="s">
        <v>6938</v>
      </c>
      <c r="B1095" t="s">
        <v>6939</v>
      </c>
      <c r="C1095" t="s">
        <v>4799</v>
      </c>
      <c r="D1095">
        <v>10.39</v>
      </c>
      <c r="E1095" s="208">
        <v>45418</v>
      </c>
      <c r="F1095" t="s">
        <v>4782</v>
      </c>
      <c r="G1095" t="s">
        <v>4768</v>
      </c>
    </row>
    <row r="1096" spans="1:7">
      <c r="A1096" t="s">
        <v>6940</v>
      </c>
      <c r="B1096" t="s">
        <v>6941</v>
      </c>
      <c r="C1096" t="s">
        <v>4803</v>
      </c>
      <c r="D1096">
        <v>101.84</v>
      </c>
      <c r="E1096" s="208">
        <v>45418</v>
      </c>
      <c r="F1096" t="s">
        <v>4905</v>
      </c>
      <c r="G1096" t="s">
        <v>4768</v>
      </c>
    </row>
    <row r="1097" spans="1:7">
      <c r="A1097" t="s">
        <v>6942</v>
      </c>
      <c r="B1097" t="s">
        <v>6943</v>
      </c>
      <c r="C1097" t="s">
        <v>5689</v>
      </c>
      <c r="D1097">
        <v>7.96</v>
      </c>
      <c r="E1097" s="208">
        <v>45413</v>
      </c>
      <c r="G1097" t="s">
        <v>6944</v>
      </c>
    </row>
    <row r="1098" spans="1:7">
      <c r="A1098" t="s">
        <v>6945</v>
      </c>
      <c r="B1098" t="s">
        <v>6946</v>
      </c>
      <c r="C1098" t="s">
        <v>4838</v>
      </c>
      <c r="D1098">
        <v>31.3</v>
      </c>
      <c r="E1098" s="208">
        <v>45413</v>
      </c>
      <c r="G1098" t="s">
        <v>6944</v>
      </c>
    </row>
    <row r="1099" spans="1:7">
      <c r="A1099" t="s">
        <v>6947</v>
      </c>
      <c r="B1099" t="s">
        <v>4837</v>
      </c>
      <c r="C1099" t="s">
        <v>4838</v>
      </c>
      <c r="D1099">
        <v>33.200000000000003</v>
      </c>
      <c r="E1099" s="208">
        <v>45413</v>
      </c>
      <c r="G1099" t="s">
        <v>6944</v>
      </c>
    </row>
    <row r="1100" spans="1:7">
      <c r="A1100" t="s">
        <v>6948</v>
      </c>
      <c r="B1100" t="s">
        <v>6949</v>
      </c>
      <c r="C1100" t="s">
        <v>4838</v>
      </c>
      <c r="D1100">
        <v>35.549999999999997</v>
      </c>
      <c r="E1100" s="208">
        <v>45413</v>
      </c>
      <c r="G1100" t="s">
        <v>6944</v>
      </c>
    </row>
    <row r="1101" spans="1:7">
      <c r="A1101" t="s">
        <v>6950</v>
      </c>
      <c r="B1101" t="s">
        <v>6951</v>
      </c>
      <c r="C1101" t="s">
        <v>4895</v>
      </c>
      <c r="D1101">
        <v>296.52</v>
      </c>
      <c r="E1101" s="208">
        <v>45413</v>
      </c>
      <c r="G1101" t="s">
        <v>6944</v>
      </c>
    </row>
    <row r="1102" spans="1:7">
      <c r="A1102" t="s">
        <v>6952</v>
      </c>
      <c r="B1102" t="s">
        <v>6953</v>
      </c>
      <c r="C1102" t="s">
        <v>4895</v>
      </c>
      <c r="D1102">
        <v>263.39999999999998</v>
      </c>
      <c r="E1102" s="208">
        <v>45413</v>
      </c>
      <c r="G1102" t="s">
        <v>6944</v>
      </c>
    </row>
    <row r="1103" spans="1:7">
      <c r="A1103" t="s">
        <v>6954</v>
      </c>
      <c r="B1103" t="s">
        <v>6955</v>
      </c>
      <c r="C1103" t="s">
        <v>4895</v>
      </c>
      <c r="D1103">
        <v>365.29</v>
      </c>
      <c r="E1103" s="208">
        <v>45413</v>
      </c>
      <c r="G1103" t="s">
        <v>6944</v>
      </c>
    </row>
    <row r="1104" spans="1:7">
      <c r="A1104" t="s">
        <v>6956</v>
      </c>
      <c r="B1104" t="s">
        <v>6957</v>
      </c>
      <c r="C1104" t="s">
        <v>4895</v>
      </c>
      <c r="D1104">
        <v>730.54</v>
      </c>
      <c r="E1104" s="208">
        <v>45413</v>
      </c>
      <c r="G1104" t="s">
        <v>6944</v>
      </c>
    </row>
    <row r="1105" spans="1:7">
      <c r="A1105" t="s">
        <v>6958</v>
      </c>
      <c r="B1105" t="s">
        <v>6959</v>
      </c>
      <c r="C1105" t="s">
        <v>4895</v>
      </c>
      <c r="D1105">
        <v>307.86</v>
      </c>
      <c r="E1105" s="208">
        <v>45413</v>
      </c>
      <c r="G1105" t="s">
        <v>6944</v>
      </c>
    </row>
    <row r="1106" spans="1:7">
      <c r="A1106" t="s">
        <v>6960</v>
      </c>
      <c r="B1106" t="s">
        <v>6961</v>
      </c>
      <c r="C1106" t="s">
        <v>98</v>
      </c>
      <c r="D1106">
        <v>88.92</v>
      </c>
      <c r="E1106" s="208">
        <v>45413</v>
      </c>
      <c r="G1106" t="s">
        <v>6944</v>
      </c>
    </row>
    <row r="1107" spans="1:7">
      <c r="A1107" t="s">
        <v>6962</v>
      </c>
      <c r="B1107" t="s">
        <v>6963</v>
      </c>
      <c r="C1107" t="s">
        <v>4771</v>
      </c>
      <c r="D1107">
        <v>213.24</v>
      </c>
      <c r="E1107" s="208">
        <v>45413</v>
      </c>
      <c r="G1107" t="s">
        <v>6944</v>
      </c>
    </row>
    <row r="1108" spans="1:7">
      <c r="A1108" t="s">
        <v>6964</v>
      </c>
      <c r="B1108" t="s">
        <v>6965</v>
      </c>
      <c r="C1108" t="s">
        <v>4771</v>
      </c>
      <c r="D1108">
        <v>112.76</v>
      </c>
      <c r="E1108" s="208">
        <v>45413</v>
      </c>
      <c r="G1108" t="s">
        <v>6944</v>
      </c>
    </row>
    <row r="1109" spans="1:7">
      <c r="A1109" t="s">
        <v>6966</v>
      </c>
      <c r="B1109" t="s">
        <v>6967</v>
      </c>
      <c r="C1109" t="s">
        <v>4845</v>
      </c>
      <c r="D1109">
        <v>28.9</v>
      </c>
      <c r="E1109" s="208">
        <v>45413</v>
      </c>
      <c r="G1109" t="s">
        <v>6944</v>
      </c>
    </row>
    <row r="1110" spans="1:7">
      <c r="A1110" t="s">
        <v>6968</v>
      </c>
      <c r="B1110" t="s">
        <v>6969</v>
      </c>
      <c r="C1110" t="s">
        <v>4845</v>
      </c>
      <c r="D1110">
        <v>30.9</v>
      </c>
      <c r="E1110" s="208">
        <v>45413</v>
      </c>
      <c r="G1110" t="s">
        <v>6944</v>
      </c>
    </row>
    <row r="1111" spans="1:7">
      <c r="A1111" t="s">
        <v>6970</v>
      </c>
      <c r="B1111" t="s">
        <v>6971</v>
      </c>
      <c r="C1111" t="s">
        <v>4845</v>
      </c>
      <c r="D1111">
        <v>41.15</v>
      </c>
      <c r="E1111" s="208">
        <v>45413</v>
      </c>
      <c r="G1111" t="s">
        <v>6944</v>
      </c>
    </row>
    <row r="1112" spans="1:7">
      <c r="A1112" t="s">
        <v>6972</v>
      </c>
      <c r="B1112" t="s">
        <v>6973</v>
      </c>
      <c r="C1112" t="s">
        <v>4845</v>
      </c>
      <c r="D1112">
        <v>4.5999999999999996</v>
      </c>
      <c r="E1112" s="208">
        <v>45413</v>
      </c>
      <c r="G1112" t="s">
        <v>6944</v>
      </c>
    </row>
    <row r="1113" spans="1:7">
      <c r="A1113" t="s">
        <v>6974</v>
      </c>
      <c r="B1113" t="s">
        <v>6975</v>
      </c>
      <c r="C1113" t="s">
        <v>4845</v>
      </c>
      <c r="D1113">
        <v>9.15</v>
      </c>
      <c r="E1113" s="208">
        <v>45413</v>
      </c>
      <c r="G1113" t="s">
        <v>6944</v>
      </c>
    </row>
    <row r="1114" spans="1:7">
      <c r="A1114" t="s">
        <v>6976</v>
      </c>
      <c r="B1114" t="s">
        <v>6977</v>
      </c>
      <c r="C1114" t="s">
        <v>6978</v>
      </c>
      <c r="D1114">
        <v>102.5</v>
      </c>
      <c r="E1114" s="208">
        <v>45413</v>
      </c>
      <c r="G1114" t="s">
        <v>6944</v>
      </c>
    </row>
    <row r="1115" spans="1:7">
      <c r="A1115" t="s">
        <v>6979</v>
      </c>
      <c r="B1115" t="s">
        <v>6980</v>
      </c>
      <c r="C1115" t="s">
        <v>5689</v>
      </c>
      <c r="D1115">
        <v>47.85</v>
      </c>
      <c r="E1115" s="208">
        <v>45413</v>
      </c>
      <c r="G1115" t="s">
        <v>6944</v>
      </c>
    </row>
    <row r="1116" spans="1:7">
      <c r="A1116" t="s">
        <v>6981</v>
      </c>
      <c r="B1116" t="s">
        <v>6982</v>
      </c>
      <c r="C1116" t="s">
        <v>4838</v>
      </c>
      <c r="D1116">
        <v>13.25</v>
      </c>
      <c r="E1116" s="208">
        <v>45413</v>
      </c>
      <c r="G1116" t="s">
        <v>6944</v>
      </c>
    </row>
    <row r="1117" spans="1:7">
      <c r="A1117" t="s">
        <v>6983</v>
      </c>
      <c r="B1117" t="s">
        <v>6984</v>
      </c>
      <c r="C1117" t="s">
        <v>4838</v>
      </c>
      <c r="D1117">
        <v>20.8</v>
      </c>
      <c r="E1117" s="208">
        <v>45413</v>
      </c>
      <c r="G1117" t="s">
        <v>6944</v>
      </c>
    </row>
    <row r="1118" spans="1:7">
      <c r="A1118" t="s">
        <v>6985</v>
      </c>
      <c r="B1118" t="s">
        <v>6986</v>
      </c>
      <c r="C1118" t="s">
        <v>4838</v>
      </c>
      <c r="D1118">
        <v>18.399999999999999</v>
      </c>
      <c r="E1118" s="208">
        <v>45413</v>
      </c>
      <c r="G1118" t="s">
        <v>6944</v>
      </c>
    </row>
    <row r="1119" spans="1:7">
      <c r="A1119" t="s">
        <v>6987</v>
      </c>
      <c r="B1119" t="s">
        <v>6988</v>
      </c>
      <c r="C1119" t="s">
        <v>4838</v>
      </c>
      <c r="D1119">
        <v>55.6</v>
      </c>
      <c r="E1119" s="208">
        <v>45413</v>
      </c>
      <c r="G1119" t="s">
        <v>6944</v>
      </c>
    </row>
    <row r="1120" spans="1:7">
      <c r="A1120" t="s">
        <v>6989</v>
      </c>
      <c r="B1120" t="s">
        <v>6990</v>
      </c>
      <c r="C1120" t="s">
        <v>4838</v>
      </c>
      <c r="D1120">
        <v>59.1</v>
      </c>
      <c r="E1120" s="208">
        <v>45413</v>
      </c>
      <c r="G1120" t="s">
        <v>6944</v>
      </c>
    </row>
    <row r="1121" spans="1:7">
      <c r="A1121" t="s">
        <v>6991</v>
      </c>
      <c r="B1121" t="s">
        <v>6992</v>
      </c>
      <c r="C1121" t="s">
        <v>4838</v>
      </c>
      <c r="D1121">
        <v>69.3</v>
      </c>
      <c r="E1121" s="208">
        <v>45413</v>
      </c>
      <c r="G1121" t="s">
        <v>6944</v>
      </c>
    </row>
    <row r="1122" spans="1:7">
      <c r="A1122" t="s">
        <v>6993</v>
      </c>
      <c r="B1122" t="s">
        <v>6994</v>
      </c>
      <c r="C1122" t="s">
        <v>4895</v>
      </c>
      <c r="D1122">
        <v>31.25</v>
      </c>
      <c r="E1122" s="208">
        <v>45413</v>
      </c>
      <c r="G1122" t="s">
        <v>6944</v>
      </c>
    </row>
    <row r="1123" spans="1:7">
      <c r="A1123" t="s">
        <v>6995</v>
      </c>
      <c r="B1123" t="s">
        <v>6996</v>
      </c>
      <c r="C1123" t="s">
        <v>4895</v>
      </c>
      <c r="D1123">
        <v>50.6</v>
      </c>
      <c r="E1123" s="208">
        <v>45413</v>
      </c>
      <c r="G1123" t="s">
        <v>6944</v>
      </c>
    </row>
    <row r="1124" spans="1:7">
      <c r="A1124" t="s">
        <v>6997</v>
      </c>
      <c r="B1124" t="s">
        <v>6347</v>
      </c>
      <c r="C1124" t="s">
        <v>4845</v>
      </c>
      <c r="D1124">
        <v>1168.55</v>
      </c>
      <c r="E1124" s="208">
        <v>45413</v>
      </c>
      <c r="G1124" t="s">
        <v>6944</v>
      </c>
    </row>
    <row r="1125" spans="1:7">
      <c r="A1125" t="s">
        <v>6998</v>
      </c>
      <c r="B1125" t="s">
        <v>6999</v>
      </c>
      <c r="C1125" t="s">
        <v>4845</v>
      </c>
      <c r="D1125">
        <v>1455.85</v>
      </c>
      <c r="E1125" s="208">
        <v>45413</v>
      </c>
      <c r="G1125" t="s">
        <v>6944</v>
      </c>
    </row>
    <row r="1126" spans="1:7">
      <c r="A1126" t="s">
        <v>7000</v>
      </c>
      <c r="B1126" t="s">
        <v>7001</v>
      </c>
      <c r="C1126" t="s">
        <v>4845</v>
      </c>
      <c r="D1126">
        <v>1883.35</v>
      </c>
      <c r="E1126" s="208">
        <v>45413</v>
      </c>
      <c r="G1126" t="s">
        <v>6944</v>
      </c>
    </row>
    <row r="1127" spans="1:7">
      <c r="A1127" t="s">
        <v>7002</v>
      </c>
      <c r="B1127" t="s">
        <v>7003</v>
      </c>
      <c r="C1127" t="s">
        <v>4845</v>
      </c>
      <c r="D1127">
        <v>1993.1</v>
      </c>
      <c r="E1127" s="208">
        <v>45413</v>
      </c>
      <c r="G1127" t="s">
        <v>6944</v>
      </c>
    </row>
    <row r="1128" spans="1:7">
      <c r="A1128" t="s">
        <v>7004</v>
      </c>
      <c r="B1128" t="s">
        <v>7005</v>
      </c>
      <c r="C1128" t="s">
        <v>4845</v>
      </c>
      <c r="D1128">
        <v>1588.7</v>
      </c>
      <c r="E1128" s="208">
        <v>45413</v>
      </c>
      <c r="G1128" t="s">
        <v>6944</v>
      </c>
    </row>
    <row r="1129" spans="1:7">
      <c r="A1129" t="s">
        <v>7006</v>
      </c>
      <c r="B1129" t="s">
        <v>7007</v>
      </c>
      <c r="C1129" t="s">
        <v>4845</v>
      </c>
      <c r="D1129">
        <v>3622.25</v>
      </c>
      <c r="E1129" s="208">
        <v>45413</v>
      </c>
      <c r="G1129" t="s">
        <v>6944</v>
      </c>
    </row>
    <row r="1130" spans="1:7">
      <c r="A1130" t="s">
        <v>7008</v>
      </c>
      <c r="B1130" t="s">
        <v>7009</v>
      </c>
      <c r="C1130" t="s">
        <v>4845</v>
      </c>
      <c r="D1130">
        <v>2601.65</v>
      </c>
      <c r="E1130" s="208">
        <v>45413</v>
      </c>
      <c r="G1130" t="s">
        <v>6944</v>
      </c>
    </row>
    <row r="1131" spans="1:7">
      <c r="A1131" t="s">
        <v>7010</v>
      </c>
      <c r="B1131" t="s">
        <v>7011</v>
      </c>
      <c r="C1131" t="s">
        <v>4845</v>
      </c>
      <c r="D1131">
        <v>7.2</v>
      </c>
      <c r="E1131" s="208">
        <v>45413</v>
      </c>
      <c r="G1131" t="s">
        <v>6944</v>
      </c>
    </row>
    <row r="1132" spans="1:7">
      <c r="A1132" t="s">
        <v>7012</v>
      </c>
      <c r="B1132" t="s">
        <v>7013</v>
      </c>
      <c r="C1132" t="s">
        <v>4845</v>
      </c>
      <c r="D1132">
        <v>7.97</v>
      </c>
      <c r="E1132" s="208">
        <v>45413</v>
      </c>
      <c r="G1132" t="s">
        <v>6944</v>
      </c>
    </row>
    <row r="1133" spans="1:7">
      <c r="A1133" t="s">
        <v>7014</v>
      </c>
      <c r="B1133" t="s">
        <v>7015</v>
      </c>
      <c r="C1133" t="s">
        <v>4845</v>
      </c>
      <c r="D1133">
        <v>14.76</v>
      </c>
      <c r="E1133" s="208">
        <v>45413</v>
      </c>
      <c r="G1133" t="s">
        <v>6944</v>
      </c>
    </row>
    <row r="1134" spans="1:7">
      <c r="A1134" t="s">
        <v>7016</v>
      </c>
      <c r="B1134" t="s">
        <v>7017</v>
      </c>
      <c r="C1134" t="s">
        <v>4845</v>
      </c>
      <c r="D1134">
        <v>25.11</v>
      </c>
      <c r="E1134" s="208">
        <v>45413</v>
      </c>
      <c r="G1134" t="s">
        <v>6944</v>
      </c>
    </row>
    <row r="1135" spans="1:7">
      <c r="A1135" t="s">
        <v>7018</v>
      </c>
      <c r="B1135" t="s">
        <v>7019</v>
      </c>
      <c r="C1135" t="s">
        <v>4845</v>
      </c>
      <c r="D1135">
        <v>101.74</v>
      </c>
      <c r="E1135" s="208">
        <v>45413</v>
      </c>
      <c r="G1135" t="s">
        <v>6944</v>
      </c>
    </row>
    <row r="1136" spans="1:7">
      <c r="A1136" t="s">
        <v>7020</v>
      </c>
      <c r="B1136" t="s">
        <v>7021</v>
      </c>
      <c r="C1136" t="s">
        <v>4845</v>
      </c>
      <c r="D1136">
        <v>101.74</v>
      </c>
      <c r="E1136" s="208">
        <v>45413</v>
      </c>
      <c r="G1136" t="s">
        <v>6944</v>
      </c>
    </row>
    <row r="1137" spans="1:7">
      <c r="A1137" t="s">
        <v>7022</v>
      </c>
      <c r="B1137" t="s">
        <v>7023</v>
      </c>
      <c r="C1137" t="s">
        <v>4845</v>
      </c>
      <c r="D1137">
        <v>14.18</v>
      </c>
      <c r="E1137" s="208">
        <v>45413</v>
      </c>
      <c r="G1137" t="s">
        <v>6944</v>
      </c>
    </row>
    <row r="1138" spans="1:7">
      <c r="A1138" t="s">
        <v>7024</v>
      </c>
      <c r="B1138" t="s">
        <v>7025</v>
      </c>
      <c r="C1138" t="s">
        <v>4871</v>
      </c>
      <c r="D1138">
        <v>15.2</v>
      </c>
      <c r="E1138" s="208">
        <v>45413</v>
      </c>
      <c r="G1138" t="s">
        <v>6944</v>
      </c>
    </row>
    <row r="1139" spans="1:7">
      <c r="A1139" t="s">
        <v>7026</v>
      </c>
      <c r="B1139" t="s">
        <v>7027</v>
      </c>
      <c r="C1139" t="s">
        <v>4895</v>
      </c>
      <c r="D1139">
        <v>350.85</v>
      </c>
      <c r="E1139" s="208">
        <v>45413</v>
      </c>
      <c r="G1139" t="s">
        <v>6944</v>
      </c>
    </row>
    <row r="1140" spans="1:7">
      <c r="A1140" t="s">
        <v>7028</v>
      </c>
      <c r="B1140" t="s">
        <v>7029</v>
      </c>
      <c r="C1140" t="s">
        <v>4895</v>
      </c>
      <c r="D1140">
        <v>209.1</v>
      </c>
      <c r="E1140" s="208">
        <v>45413</v>
      </c>
      <c r="G1140" t="s">
        <v>6944</v>
      </c>
    </row>
    <row r="1141" spans="1:7">
      <c r="A1141" t="s">
        <v>7030</v>
      </c>
      <c r="B1141" t="s">
        <v>7031</v>
      </c>
      <c r="C1141" t="s">
        <v>4871</v>
      </c>
      <c r="D1141">
        <v>15.2</v>
      </c>
      <c r="E1141" s="208">
        <v>45413</v>
      </c>
      <c r="G1141" t="s">
        <v>6944</v>
      </c>
    </row>
    <row r="1142" spans="1:7">
      <c r="A1142" t="s">
        <v>7032</v>
      </c>
      <c r="B1142" t="s">
        <v>7033</v>
      </c>
      <c r="C1142" t="s">
        <v>4895</v>
      </c>
      <c r="D1142">
        <v>350.85</v>
      </c>
      <c r="E1142" s="208">
        <v>45413</v>
      </c>
      <c r="G1142" t="s">
        <v>6944</v>
      </c>
    </row>
    <row r="1143" spans="1:7">
      <c r="A1143" t="s">
        <v>7034</v>
      </c>
      <c r="B1143" t="s">
        <v>7035</v>
      </c>
      <c r="C1143" t="s">
        <v>4871</v>
      </c>
      <c r="D1143">
        <v>15.2</v>
      </c>
      <c r="E1143" s="208">
        <v>45413</v>
      </c>
      <c r="G1143" t="s">
        <v>6944</v>
      </c>
    </row>
    <row r="1144" spans="1:7">
      <c r="A1144" t="s">
        <v>7036</v>
      </c>
      <c r="B1144" t="s">
        <v>7037</v>
      </c>
      <c r="C1144" t="s">
        <v>4895</v>
      </c>
      <c r="D1144">
        <v>350.85</v>
      </c>
      <c r="E1144" s="208">
        <v>45413</v>
      </c>
      <c r="G1144" t="s">
        <v>6944</v>
      </c>
    </row>
    <row r="1145" spans="1:7">
      <c r="A1145" t="s">
        <v>7038</v>
      </c>
      <c r="B1145" t="s">
        <v>7039</v>
      </c>
      <c r="C1145" t="s">
        <v>4895</v>
      </c>
      <c r="D1145">
        <v>209.1</v>
      </c>
      <c r="E1145" s="208">
        <v>45413</v>
      </c>
      <c r="G1145" t="s">
        <v>6944</v>
      </c>
    </row>
    <row r="1146" spans="1:7">
      <c r="A1146" t="s">
        <v>7040</v>
      </c>
      <c r="B1146" t="s">
        <v>7041</v>
      </c>
      <c r="C1146" t="s">
        <v>4895</v>
      </c>
      <c r="D1146">
        <v>320.60000000000002</v>
      </c>
      <c r="E1146" s="208">
        <v>45413</v>
      </c>
      <c r="G1146" t="s">
        <v>6944</v>
      </c>
    </row>
    <row r="1147" spans="1:7">
      <c r="A1147" t="s">
        <v>7042</v>
      </c>
      <c r="B1147" t="s">
        <v>7043</v>
      </c>
      <c r="C1147" t="s">
        <v>4895</v>
      </c>
      <c r="D1147">
        <v>3061.7</v>
      </c>
      <c r="E1147" s="208">
        <v>45413</v>
      </c>
      <c r="G1147" t="s">
        <v>6944</v>
      </c>
    </row>
    <row r="1148" spans="1:7">
      <c r="A1148" t="s">
        <v>7044</v>
      </c>
      <c r="B1148" t="s">
        <v>7045</v>
      </c>
      <c r="C1148" t="s">
        <v>4895</v>
      </c>
      <c r="D1148">
        <v>320.60000000000002</v>
      </c>
      <c r="E1148" s="208">
        <v>45413</v>
      </c>
      <c r="G1148" t="s">
        <v>6944</v>
      </c>
    </row>
    <row r="1149" spans="1:7">
      <c r="A1149" t="s">
        <v>7046</v>
      </c>
      <c r="B1149" t="s">
        <v>7047</v>
      </c>
      <c r="C1149" t="s">
        <v>4895</v>
      </c>
      <c r="D1149">
        <v>3061.7</v>
      </c>
      <c r="E1149" s="208">
        <v>45413</v>
      </c>
      <c r="G1149" t="s">
        <v>6944</v>
      </c>
    </row>
    <row r="1150" spans="1:7">
      <c r="A1150" t="s">
        <v>7048</v>
      </c>
      <c r="B1150" t="s">
        <v>7049</v>
      </c>
      <c r="C1150" t="s">
        <v>4895</v>
      </c>
      <c r="D1150">
        <v>320.60000000000002</v>
      </c>
      <c r="E1150" s="208">
        <v>45413</v>
      </c>
      <c r="G1150" t="s">
        <v>6944</v>
      </c>
    </row>
    <row r="1151" spans="1:7">
      <c r="A1151" t="s">
        <v>7050</v>
      </c>
      <c r="B1151" t="s">
        <v>7051</v>
      </c>
      <c r="C1151" t="s">
        <v>4895</v>
      </c>
      <c r="D1151">
        <v>3061.7</v>
      </c>
      <c r="E1151" s="208">
        <v>45413</v>
      </c>
      <c r="G1151" t="s">
        <v>6944</v>
      </c>
    </row>
    <row r="1152" spans="1:7">
      <c r="A1152" t="s">
        <v>7052</v>
      </c>
      <c r="B1152" t="s">
        <v>7053</v>
      </c>
      <c r="C1152" t="s">
        <v>4895</v>
      </c>
      <c r="D1152">
        <v>320.60000000000002</v>
      </c>
      <c r="E1152" s="208">
        <v>45413</v>
      </c>
      <c r="G1152" t="s">
        <v>6944</v>
      </c>
    </row>
    <row r="1153" spans="1:7">
      <c r="A1153" t="s">
        <v>7054</v>
      </c>
      <c r="B1153" t="s">
        <v>7055</v>
      </c>
      <c r="C1153" t="s">
        <v>4895</v>
      </c>
      <c r="D1153">
        <v>3061.7</v>
      </c>
      <c r="E1153" s="208">
        <v>45413</v>
      </c>
      <c r="G1153" t="s">
        <v>6944</v>
      </c>
    </row>
    <row r="1154" spans="1:7">
      <c r="A1154" t="s">
        <v>7056</v>
      </c>
      <c r="B1154" t="s">
        <v>7057</v>
      </c>
      <c r="C1154" t="s">
        <v>4895</v>
      </c>
      <c r="D1154">
        <v>320.60000000000002</v>
      </c>
      <c r="E1154" s="208">
        <v>45413</v>
      </c>
      <c r="G1154" t="s">
        <v>6944</v>
      </c>
    </row>
    <row r="1155" spans="1:7">
      <c r="A1155" t="s">
        <v>7058</v>
      </c>
      <c r="B1155" t="s">
        <v>7059</v>
      </c>
      <c r="C1155" t="s">
        <v>4895</v>
      </c>
      <c r="D1155">
        <v>3061.7</v>
      </c>
      <c r="E1155" s="208">
        <v>45413</v>
      </c>
      <c r="G1155" t="s">
        <v>6944</v>
      </c>
    </row>
    <row r="1156" spans="1:7">
      <c r="A1156" t="s">
        <v>7060</v>
      </c>
      <c r="B1156" t="s">
        <v>7061</v>
      </c>
      <c r="C1156" t="s">
        <v>5344</v>
      </c>
      <c r="D1156">
        <v>40.5</v>
      </c>
      <c r="E1156" s="208">
        <v>45413</v>
      </c>
      <c r="G1156" t="s">
        <v>6944</v>
      </c>
    </row>
    <row r="1157" spans="1:7">
      <c r="A1157" t="s">
        <v>7062</v>
      </c>
      <c r="B1157" t="s">
        <v>7063</v>
      </c>
      <c r="C1157" t="s">
        <v>5344</v>
      </c>
      <c r="D1157">
        <v>60.5</v>
      </c>
      <c r="E1157" s="208">
        <v>45413</v>
      </c>
      <c r="G1157" t="s">
        <v>6944</v>
      </c>
    </row>
    <row r="1158" spans="1:7">
      <c r="A1158" t="s">
        <v>7064</v>
      </c>
      <c r="B1158" t="s">
        <v>7065</v>
      </c>
      <c r="C1158" t="s">
        <v>4838</v>
      </c>
      <c r="D1158">
        <v>80.5</v>
      </c>
      <c r="E1158" s="208">
        <v>45413</v>
      </c>
      <c r="G1158" t="s">
        <v>6944</v>
      </c>
    </row>
    <row r="1159" spans="1:7">
      <c r="A1159" t="s">
        <v>7066</v>
      </c>
      <c r="B1159" t="s">
        <v>7067</v>
      </c>
      <c r="C1159" t="s">
        <v>5344</v>
      </c>
      <c r="D1159">
        <v>19.5</v>
      </c>
      <c r="E1159" s="208">
        <v>45413</v>
      </c>
      <c r="G1159" t="s">
        <v>6944</v>
      </c>
    </row>
    <row r="1160" spans="1:7">
      <c r="A1160" t="s">
        <v>7068</v>
      </c>
      <c r="B1160" t="s">
        <v>7069</v>
      </c>
      <c r="C1160" t="s">
        <v>4845</v>
      </c>
      <c r="D1160">
        <v>8.5299999999999994</v>
      </c>
      <c r="E1160" s="208">
        <v>45413</v>
      </c>
      <c r="G1160" t="s">
        <v>6944</v>
      </c>
    </row>
    <row r="1161" spans="1:7">
      <c r="A1161" t="s">
        <v>7070</v>
      </c>
      <c r="B1161" t="s">
        <v>7071</v>
      </c>
      <c r="C1161" t="s">
        <v>7072</v>
      </c>
      <c r="D1161">
        <v>13.86</v>
      </c>
      <c r="E1161" s="208">
        <v>45413</v>
      </c>
      <c r="G1161" t="s">
        <v>6944</v>
      </c>
    </row>
    <row r="1162" spans="1:7">
      <c r="A1162" t="s">
        <v>7073</v>
      </c>
      <c r="B1162" t="s">
        <v>7074</v>
      </c>
      <c r="C1162" t="s">
        <v>4845</v>
      </c>
      <c r="D1162">
        <v>5.78</v>
      </c>
      <c r="E1162" s="208">
        <v>45413</v>
      </c>
      <c r="G1162" t="s">
        <v>6944</v>
      </c>
    </row>
    <row r="1163" spans="1:7">
      <c r="A1163" t="s">
        <v>7075</v>
      </c>
      <c r="B1163" t="s">
        <v>7076</v>
      </c>
      <c r="C1163" t="s">
        <v>4845</v>
      </c>
      <c r="D1163">
        <v>22.18</v>
      </c>
      <c r="E1163" s="208">
        <v>45413</v>
      </c>
      <c r="G1163" t="s">
        <v>6944</v>
      </c>
    </row>
    <row r="1164" spans="1:7">
      <c r="A1164" t="s">
        <v>7077</v>
      </c>
      <c r="B1164" t="s">
        <v>7078</v>
      </c>
      <c r="C1164" t="s">
        <v>4845</v>
      </c>
      <c r="D1164">
        <v>7.34</v>
      </c>
      <c r="E1164" s="208">
        <v>45413</v>
      </c>
      <c r="G1164" t="s">
        <v>6944</v>
      </c>
    </row>
    <row r="1165" spans="1:7">
      <c r="A1165" t="s">
        <v>7079</v>
      </c>
      <c r="B1165" t="s">
        <v>7080</v>
      </c>
      <c r="C1165" t="s">
        <v>4845</v>
      </c>
      <c r="D1165">
        <v>2.34</v>
      </c>
      <c r="E1165" s="208">
        <v>45413</v>
      </c>
      <c r="G1165" t="s">
        <v>6944</v>
      </c>
    </row>
    <row r="1166" spans="1:7">
      <c r="A1166" t="s">
        <v>7081</v>
      </c>
      <c r="B1166" t="s">
        <v>7082</v>
      </c>
      <c r="C1166" t="s">
        <v>4845</v>
      </c>
      <c r="D1166">
        <v>31.32</v>
      </c>
      <c r="E1166" s="208">
        <v>45413</v>
      </c>
      <c r="G1166" t="s">
        <v>6944</v>
      </c>
    </row>
    <row r="1167" spans="1:7">
      <c r="A1167" t="s">
        <v>7083</v>
      </c>
      <c r="B1167" t="s">
        <v>7084</v>
      </c>
      <c r="C1167" t="s">
        <v>7072</v>
      </c>
      <c r="D1167">
        <v>8.2100000000000009</v>
      </c>
      <c r="E1167" s="208">
        <v>45413</v>
      </c>
      <c r="G1167" t="s">
        <v>6944</v>
      </c>
    </row>
    <row r="1168" spans="1:7">
      <c r="A1168" t="s">
        <v>7085</v>
      </c>
      <c r="B1168" t="s">
        <v>7086</v>
      </c>
      <c r="C1168" t="s">
        <v>7072</v>
      </c>
      <c r="D1168">
        <v>79.37</v>
      </c>
      <c r="E1168" s="208">
        <v>45413</v>
      </c>
      <c r="G1168" t="s">
        <v>6944</v>
      </c>
    </row>
    <row r="1169" spans="1:7">
      <c r="A1169" t="s">
        <v>7087</v>
      </c>
      <c r="B1169" t="s">
        <v>7088</v>
      </c>
      <c r="C1169" t="s">
        <v>5551</v>
      </c>
      <c r="D1169">
        <v>160.69999999999999</v>
      </c>
      <c r="E1169" s="208">
        <v>45413</v>
      </c>
      <c r="G1169" t="s">
        <v>6944</v>
      </c>
    </row>
    <row r="1170" spans="1:7">
      <c r="A1170" t="s">
        <v>7089</v>
      </c>
      <c r="B1170" t="s">
        <v>7090</v>
      </c>
      <c r="C1170" t="s">
        <v>6331</v>
      </c>
      <c r="D1170">
        <v>192.2</v>
      </c>
      <c r="E1170" s="208">
        <v>45413</v>
      </c>
      <c r="G1170" t="s">
        <v>6944</v>
      </c>
    </row>
    <row r="1171" spans="1:7">
      <c r="A1171" t="s">
        <v>7091</v>
      </c>
      <c r="B1171" t="s">
        <v>7092</v>
      </c>
      <c r="C1171" t="s">
        <v>6331</v>
      </c>
      <c r="D1171">
        <v>255.45</v>
      </c>
      <c r="E1171" s="208">
        <v>45413</v>
      </c>
      <c r="G1171" t="s">
        <v>6944</v>
      </c>
    </row>
    <row r="1172" spans="1:7">
      <c r="A1172" t="s">
        <v>7093</v>
      </c>
      <c r="B1172" t="s">
        <v>7094</v>
      </c>
      <c r="C1172" t="s">
        <v>6331</v>
      </c>
      <c r="D1172">
        <v>184.3</v>
      </c>
      <c r="E1172" s="208">
        <v>45413</v>
      </c>
      <c r="G1172" t="s">
        <v>6944</v>
      </c>
    </row>
    <row r="1173" spans="1:7">
      <c r="A1173" t="s">
        <v>7095</v>
      </c>
      <c r="B1173" t="s">
        <v>7096</v>
      </c>
      <c r="C1173" t="s">
        <v>6331</v>
      </c>
      <c r="D1173">
        <v>202.65</v>
      </c>
      <c r="E1173" s="208">
        <v>45413</v>
      </c>
      <c r="G1173" t="s">
        <v>6944</v>
      </c>
    </row>
    <row r="1174" spans="1:7">
      <c r="A1174" t="s">
        <v>7097</v>
      </c>
      <c r="B1174" t="s">
        <v>7098</v>
      </c>
      <c r="C1174" t="s">
        <v>5551</v>
      </c>
      <c r="D1174">
        <v>244.2</v>
      </c>
      <c r="E1174" s="208">
        <v>45413</v>
      </c>
      <c r="G1174" t="s">
        <v>6944</v>
      </c>
    </row>
    <row r="1175" spans="1:7">
      <c r="A1175" t="s">
        <v>7099</v>
      </c>
      <c r="B1175" t="s">
        <v>7100</v>
      </c>
      <c r="C1175" t="s">
        <v>6331</v>
      </c>
      <c r="D1175">
        <v>62.6</v>
      </c>
      <c r="E1175" s="208">
        <v>45413</v>
      </c>
      <c r="G1175" t="s">
        <v>6944</v>
      </c>
    </row>
    <row r="1176" spans="1:7">
      <c r="A1176" t="s">
        <v>7101</v>
      </c>
      <c r="B1176" t="s">
        <v>7102</v>
      </c>
      <c r="C1176" t="s">
        <v>5551</v>
      </c>
      <c r="D1176">
        <v>101.2</v>
      </c>
      <c r="E1176" s="208">
        <v>45413</v>
      </c>
      <c r="G1176" t="s">
        <v>6944</v>
      </c>
    </row>
    <row r="1177" spans="1:7">
      <c r="A1177" t="s">
        <v>7103</v>
      </c>
      <c r="B1177" t="s">
        <v>7104</v>
      </c>
      <c r="C1177" t="s">
        <v>6331</v>
      </c>
      <c r="D1177">
        <v>70.5</v>
      </c>
      <c r="E1177" s="208">
        <v>45413</v>
      </c>
      <c r="G1177" t="s">
        <v>6944</v>
      </c>
    </row>
    <row r="1178" spans="1:7">
      <c r="A1178" t="s">
        <v>7105</v>
      </c>
      <c r="B1178" t="s">
        <v>7106</v>
      </c>
      <c r="C1178" t="s">
        <v>4845</v>
      </c>
      <c r="D1178">
        <v>644.96</v>
      </c>
      <c r="E1178" s="208">
        <v>45413</v>
      </c>
      <c r="G1178" t="s">
        <v>6944</v>
      </c>
    </row>
    <row r="1179" spans="1:7">
      <c r="A1179" t="s">
        <v>7107</v>
      </c>
      <c r="B1179" t="s">
        <v>7108</v>
      </c>
      <c r="C1179" t="s">
        <v>4871</v>
      </c>
      <c r="D1179">
        <v>6.85</v>
      </c>
      <c r="E1179" s="208">
        <v>45413</v>
      </c>
      <c r="G1179" t="s">
        <v>6944</v>
      </c>
    </row>
    <row r="1180" spans="1:7">
      <c r="A1180" t="s">
        <v>7109</v>
      </c>
      <c r="B1180" t="s">
        <v>7110</v>
      </c>
      <c r="C1180" t="s">
        <v>6331</v>
      </c>
      <c r="D1180">
        <v>94.55</v>
      </c>
      <c r="E1180" s="208">
        <v>45413</v>
      </c>
      <c r="G1180" t="s">
        <v>6944</v>
      </c>
    </row>
    <row r="1181" spans="1:7">
      <c r="A1181" t="s">
        <v>7111</v>
      </c>
      <c r="B1181" t="s">
        <v>7112</v>
      </c>
      <c r="C1181" t="s">
        <v>4895</v>
      </c>
      <c r="D1181">
        <v>194.95</v>
      </c>
      <c r="E1181" s="208">
        <v>45413</v>
      </c>
      <c r="G1181" t="s">
        <v>6944</v>
      </c>
    </row>
    <row r="1182" spans="1:7">
      <c r="A1182" t="s">
        <v>7113</v>
      </c>
      <c r="B1182" t="s">
        <v>6389</v>
      </c>
      <c r="C1182" t="s">
        <v>4895</v>
      </c>
      <c r="D1182">
        <v>168.75</v>
      </c>
      <c r="E1182" s="208">
        <v>45413</v>
      </c>
      <c r="G1182" t="s">
        <v>6944</v>
      </c>
    </row>
    <row r="1183" spans="1:7">
      <c r="A1183" t="s">
        <v>7114</v>
      </c>
      <c r="B1183" t="s">
        <v>7115</v>
      </c>
      <c r="C1183" t="s">
        <v>4871</v>
      </c>
      <c r="D1183">
        <v>4.8</v>
      </c>
      <c r="E1183" s="208">
        <v>45413</v>
      </c>
      <c r="G1183" t="s">
        <v>6944</v>
      </c>
    </row>
    <row r="1184" spans="1:7">
      <c r="A1184" t="s">
        <v>7116</v>
      </c>
      <c r="B1184" t="s">
        <v>5676</v>
      </c>
      <c r="C1184" t="s">
        <v>4895</v>
      </c>
      <c r="D1184">
        <v>157</v>
      </c>
      <c r="E1184" s="208">
        <v>45413</v>
      </c>
      <c r="G1184" t="s">
        <v>6944</v>
      </c>
    </row>
    <row r="1185" spans="1:7">
      <c r="A1185" t="s">
        <v>7117</v>
      </c>
      <c r="B1185" t="s">
        <v>7118</v>
      </c>
      <c r="C1185" t="s">
        <v>5551</v>
      </c>
      <c r="D1185">
        <v>376</v>
      </c>
      <c r="E1185" s="208">
        <v>45413</v>
      </c>
      <c r="G1185" t="s">
        <v>6944</v>
      </c>
    </row>
    <row r="1186" spans="1:7">
      <c r="A1186" t="s">
        <v>7119</v>
      </c>
      <c r="B1186" t="s">
        <v>7120</v>
      </c>
      <c r="C1186" t="s">
        <v>4845</v>
      </c>
      <c r="D1186">
        <v>6.95</v>
      </c>
      <c r="E1186" s="208">
        <v>45413</v>
      </c>
      <c r="G1186" t="s">
        <v>6944</v>
      </c>
    </row>
    <row r="1187" spans="1:7">
      <c r="A1187" t="s">
        <v>7121</v>
      </c>
      <c r="B1187" t="s">
        <v>7122</v>
      </c>
      <c r="C1187" t="s">
        <v>4895</v>
      </c>
      <c r="D1187">
        <v>98.65</v>
      </c>
      <c r="E1187" s="208">
        <v>45413</v>
      </c>
      <c r="G1187" t="s">
        <v>6944</v>
      </c>
    </row>
    <row r="1188" spans="1:7">
      <c r="A1188" t="s">
        <v>7123</v>
      </c>
      <c r="B1188" t="s">
        <v>7124</v>
      </c>
      <c r="C1188" t="s">
        <v>4895</v>
      </c>
      <c r="D1188">
        <v>278.5</v>
      </c>
      <c r="E1188" s="208">
        <v>45413</v>
      </c>
      <c r="G1188" t="s">
        <v>6944</v>
      </c>
    </row>
    <row r="1189" spans="1:7">
      <c r="A1189" t="s">
        <v>7125</v>
      </c>
      <c r="B1189" t="s">
        <v>7126</v>
      </c>
      <c r="C1189" t="s">
        <v>4895</v>
      </c>
      <c r="D1189">
        <v>335.5</v>
      </c>
      <c r="E1189" s="208">
        <v>45413</v>
      </c>
      <c r="G1189" t="s">
        <v>6944</v>
      </c>
    </row>
    <row r="1190" spans="1:7">
      <c r="A1190" t="s">
        <v>7127</v>
      </c>
      <c r="B1190" t="s">
        <v>6507</v>
      </c>
      <c r="C1190" t="s">
        <v>6508</v>
      </c>
      <c r="D1190">
        <v>245.45</v>
      </c>
      <c r="E1190" s="208">
        <v>45413</v>
      </c>
      <c r="G1190" t="s">
        <v>6944</v>
      </c>
    </row>
    <row r="1191" spans="1:7">
      <c r="A1191" t="s">
        <v>7128</v>
      </c>
      <c r="B1191" t="s">
        <v>7129</v>
      </c>
      <c r="C1191" t="s">
        <v>5551</v>
      </c>
      <c r="D1191">
        <v>411.3</v>
      </c>
      <c r="E1191" s="208">
        <v>45413</v>
      </c>
      <c r="G1191" t="s">
        <v>6944</v>
      </c>
    </row>
    <row r="1192" spans="1:7">
      <c r="A1192" t="s">
        <v>7130</v>
      </c>
      <c r="B1192" t="s">
        <v>7131</v>
      </c>
      <c r="C1192" t="s">
        <v>5551</v>
      </c>
      <c r="D1192">
        <v>411.3</v>
      </c>
      <c r="E1192" s="208">
        <v>45413</v>
      </c>
      <c r="G1192" t="s">
        <v>6944</v>
      </c>
    </row>
    <row r="1193" spans="1:7">
      <c r="A1193" t="s">
        <v>7132</v>
      </c>
      <c r="B1193" t="s">
        <v>7133</v>
      </c>
      <c r="C1193" t="s">
        <v>4845</v>
      </c>
      <c r="D1193">
        <v>3367.95</v>
      </c>
      <c r="E1193" s="208">
        <v>45413</v>
      </c>
      <c r="G1193" t="s">
        <v>6944</v>
      </c>
    </row>
    <row r="1194" spans="1:7">
      <c r="A1194" t="s">
        <v>7134</v>
      </c>
      <c r="B1194" t="s">
        <v>7135</v>
      </c>
      <c r="C1194" t="s">
        <v>4845</v>
      </c>
      <c r="D1194">
        <v>3367.1</v>
      </c>
      <c r="E1194" s="208">
        <v>45413</v>
      </c>
      <c r="G1194" t="s">
        <v>6944</v>
      </c>
    </row>
    <row r="1195" spans="1:7">
      <c r="A1195" t="s">
        <v>7136</v>
      </c>
      <c r="B1195" t="s">
        <v>7137</v>
      </c>
      <c r="C1195" t="s">
        <v>4845</v>
      </c>
      <c r="D1195">
        <v>1346</v>
      </c>
      <c r="E1195" s="208">
        <v>45413</v>
      </c>
      <c r="G1195" t="s">
        <v>6944</v>
      </c>
    </row>
    <row r="1196" spans="1:7">
      <c r="A1196" t="s">
        <v>7138</v>
      </c>
      <c r="B1196" t="s">
        <v>7139</v>
      </c>
      <c r="C1196" t="s">
        <v>4845</v>
      </c>
      <c r="D1196">
        <v>193</v>
      </c>
      <c r="E1196" s="208">
        <v>45413</v>
      </c>
      <c r="G1196" t="s">
        <v>6944</v>
      </c>
    </row>
    <row r="1197" spans="1:7">
      <c r="A1197" t="s">
        <v>7140</v>
      </c>
      <c r="B1197" t="s">
        <v>7141</v>
      </c>
      <c r="C1197" t="s">
        <v>4845</v>
      </c>
      <c r="D1197">
        <v>172</v>
      </c>
      <c r="E1197" s="208">
        <v>45413</v>
      </c>
      <c r="G1197" t="s">
        <v>6944</v>
      </c>
    </row>
    <row r="1198" spans="1:7">
      <c r="A1198" t="s">
        <v>7142</v>
      </c>
      <c r="B1198" t="s">
        <v>7143</v>
      </c>
      <c r="C1198" t="s">
        <v>4895</v>
      </c>
      <c r="D1198">
        <v>411.7</v>
      </c>
      <c r="E1198" s="208">
        <v>45413</v>
      </c>
      <c r="G1198" t="s">
        <v>6944</v>
      </c>
    </row>
    <row r="1199" spans="1:7">
      <c r="A1199" t="s">
        <v>7144</v>
      </c>
      <c r="B1199" t="s">
        <v>7145</v>
      </c>
      <c r="C1199" t="s">
        <v>4845</v>
      </c>
      <c r="D1199">
        <v>130.25</v>
      </c>
      <c r="E1199" s="208">
        <v>45413</v>
      </c>
      <c r="G1199" t="s">
        <v>6944</v>
      </c>
    </row>
    <row r="1200" spans="1:7">
      <c r="A1200" t="s">
        <v>7146</v>
      </c>
      <c r="B1200" t="s">
        <v>7147</v>
      </c>
      <c r="C1200" t="s">
        <v>4845</v>
      </c>
      <c r="D1200">
        <v>226.6</v>
      </c>
      <c r="E1200" s="208">
        <v>45413</v>
      </c>
      <c r="G1200" t="s">
        <v>6944</v>
      </c>
    </row>
    <row r="1201" spans="1:7">
      <c r="A1201" t="s">
        <v>7148</v>
      </c>
      <c r="B1201" t="s">
        <v>7149</v>
      </c>
      <c r="C1201" t="s">
        <v>4845</v>
      </c>
      <c r="D1201">
        <v>59.05</v>
      </c>
      <c r="E1201" s="208">
        <v>45413</v>
      </c>
      <c r="G1201" t="s">
        <v>6944</v>
      </c>
    </row>
    <row r="1202" spans="1:7">
      <c r="A1202" t="s">
        <v>7150</v>
      </c>
      <c r="B1202" t="s">
        <v>7151</v>
      </c>
      <c r="C1202" t="s">
        <v>4845</v>
      </c>
      <c r="D1202">
        <v>16.649999999999999</v>
      </c>
      <c r="E1202" s="208">
        <v>45413</v>
      </c>
      <c r="G1202" t="s">
        <v>6944</v>
      </c>
    </row>
    <row r="1203" spans="1:7">
      <c r="A1203" t="s">
        <v>7152</v>
      </c>
      <c r="B1203" t="s">
        <v>7153</v>
      </c>
      <c r="C1203" t="s">
        <v>4845</v>
      </c>
      <c r="D1203">
        <v>49.85</v>
      </c>
      <c r="E1203" s="208">
        <v>45413</v>
      </c>
      <c r="G1203" t="s">
        <v>6944</v>
      </c>
    </row>
    <row r="1204" spans="1:7">
      <c r="A1204" t="s">
        <v>7154</v>
      </c>
      <c r="B1204" t="s">
        <v>7155</v>
      </c>
      <c r="C1204" t="s">
        <v>4845</v>
      </c>
      <c r="D1204">
        <v>97.68</v>
      </c>
      <c r="E1204" s="208">
        <v>45413</v>
      </c>
      <c r="G1204" t="s">
        <v>6944</v>
      </c>
    </row>
    <row r="1205" spans="1:7">
      <c r="A1205" t="s">
        <v>7156</v>
      </c>
      <c r="B1205" t="s">
        <v>4862</v>
      </c>
      <c r="C1205" t="s">
        <v>4845</v>
      </c>
      <c r="D1205">
        <v>97.68</v>
      </c>
      <c r="E1205" s="208">
        <v>45413</v>
      </c>
      <c r="G1205" t="s">
        <v>6944</v>
      </c>
    </row>
    <row r="1206" spans="1:7">
      <c r="A1206" t="s">
        <v>7157</v>
      </c>
      <c r="B1206" t="s">
        <v>7158</v>
      </c>
      <c r="C1206" t="s">
        <v>4845</v>
      </c>
      <c r="D1206">
        <v>148.83000000000001</v>
      </c>
      <c r="E1206" s="208">
        <v>45413</v>
      </c>
      <c r="G1206" t="s">
        <v>6944</v>
      </c>
    </row>
    <row r="1207" spans="1:7">
      <c r="A1207" t="s">
        <v>7159</v>
      </c>
      <c r="B1207" t="s">
        <v>7160</v>
      </c>
      <c r="C1207" t="s">
        <v>4845</v>
      </c>
      <c r="D1207">
        <v>130.22999999999999</v>
      </c>
      <c r="E1207" s="208">
        <v>45413</v>
      </c>
      <c r="G1207" t="s">
        <v>6944</v>
      </c>
    </row>
    <row r="1208" spans="1:7">
      <c r="A1208" t="s">
        <v>7161</v>
      </c>
      <c r="B1208" t="s">
        <v>7162</v>
      </c>
      <c r="C1208" t="s">
        <v>4845</v>
      </c>
      <c r="D1208">
        <v>144.44999999999999</v>
      </c>
      <c r="E1208" s="208">
        <v>45413</v>
      </c>
      <c r="G1208" t="s">
        <v>6944</v>
      </c>
    </row>
    <row r="1209" spans="1:7">
      <c r="A1209" t="s">
        <v>7163</v>
      </c>
      <c r="B1209" t="s">
        <v>7164</v>
      </c>
      <c r="C1209" t="s">
        <v>7072</v>
      </c>
      <c r="D1209">
        <v>14.64</v>
      </c>
      <c r="E1209" s="208">
        <v>45413</v>
      </c>
      <c r="G1209" t="s">
        <v>6944</v>
      </c>
    </row>
    <row r="1210" spans="1:7">
      <c r="A1210" t="s">
        <v>7165</v>
      </c>
      <c r="B1210" t="s">
        <v>7166</v>
      </c>
      <c r="C1210" t="s">
        <v>4845</v>
      </c>
      <c r="D1210">
        <v>37.65</v>
      </c>
      <c r="E1210" s="208">
        <v>45413</v>
      </c>
      <c r="G1210" t="s">
        <v>6944</v>
      </c>
    </row>
    <row r="1211" spans="1:7">
      <c r="A1211" t="s">
        <v>7167</v>
      </c>
      <c r="B1211" t="s">
        <v>7168</v>
      </c>
      <c r="C1211" t="s">
        <v>4838</v>
      </c>
      <c r="D1211">
        <v>40.049999999999997</v>
      </c>
      <c r="E1211" s="208">
        <v>45413</v>
      </c>
      <c r="G1211" t="s">
        <v>6944</v>
      </c>
    </row>
    <row r="1212" spans="1:7">
      <c r="A1212" t="s">
        <v>7169</v>
      </c>
      <c r="B1212" t="s">
        <v>7170</v>
      </c>
      <c r="C1212" t="s">
        <v>4838</v>
      </c>
      <c r="D1212">
        <v>13.83</v>
      </c>
      <c r="E1212" s="208">
        <v>45413</v>
      </c>
      <c r="G1212" t="s">
        <v>6944</v>
      </c>
    </row>
    <row r="1213" spans="1:7">
      <c r="A1213" t="s">
        <v>7171</v>
      </c>
      <c r="B1213" t="s">
        <v>7172</v>
      </c>
      <c r="C1213" t="s">
        <v>4838</v>
      </c>
      <c r="D1213">
        <v>15.6</v>
      </c>
      <c r="E1213" s="208">
        <v>45413</v>
      </c>
      <c r="G1213" t="s">
        <v>6944</v>
      </c>
    </row>
    <row r="1214" spans="1:7">
      <c r="A1214" t="s">
        <v>7173</v>
      </c>
      <c r="B1214" t="s">
        <v>6435</v>
      </c>
      <c r="C1214" t="s">
        <v>4838</v>
      </c>
      <c r="D1214">
        <v>20.8</v>
      </c>
      <c r="E1214" s="208">
        <v>45413</v>
      </c>
      <c r="G1214" t="s">
        <v>6944</v>
      </c>
    </row>
    <row r="1215" spans="1:7">
      <c r="A1215" t="s">
        <v>7174</v>
      </c>
      <c r="B1215" t="s">
        <v>7175</v>
      </c>
      <c r="C1215" t="s">
        <v>4838</v>
      </c>
      <c r="D1215">
        <v>26</v>
      </c>
      <c r="E1215" s="208">
        <v>45413</v>
      </c>
      <c r="G1215" t="s">
        <v>6944</v>
      </c>
    </row>
    <row r="1216" spans="1:7">
      <c r="A1216" t="s">
        <v>7176</v>
      </c>
      <c r="B1216" t="s">
        <v>4954</v>
      </c>
      <c r="C1216" t="s">
        <v>4838</v>
      </c>
      <c r="D1216">
        <v>31.2</v>
      </c>
      <c r="E1216" s="208">
        <v>45413</v>
      </c>
      <c r="G1216" t="s">
        <v>6944</v>
      </c>
    </row>
    <row r="1217" spans="1:7">
      <c r="A1217" t="s">
        <v>7177</v>
      </c>
      <c r="B1217" t="s">
        <v>7178</v>
      </c>
      <c r="C1217" t="s">
        <v>4838</v>
      </c>
      <c r="D1217">
        <v>36.4</v>
      </c>
      <c r="E1217" s="208">
        <v>45413</v>
      </c>
      <c r="G1217" t="s">
        <v>6944</v>
      </c>
    </row>
    <row r="1218" spans="1:7">
      <c r="A1218" t="s">
        <v>7179</v>
      </c>
      <c r="B1218" t="s">
        <v>7180</v>
      </c>
      <c r="C1218" t="s">
        <v>4838</v>
      </c>
      <c r="D1218">
        <v>41.6</v>
      </c>
      <c r="E1218" s="208">
        <v>45413</v>
      </c>
      <c r="G1218" t="s">
        <v>6944</v>
      </c>
    </row>
    <row r="1219" spans="1:7">
      <c r="A1219" t="s">
        <v>7181</v>
      </c>
      <c r="B1219" t="s">
        <v>5243</v>
      </c>
      <c r="C1219" t="s">
        <v>4838</v>
      </c>
      <c r="D1219">
        <v>16.239999999999998</v>
      </c>
      <c r="E1219" s="208">
        <v>45413</v>
      </c>
      <c r="G1219" t="s">
        <v>6944</v>
      </c>
    </row>
    <row r="1220" spans="1:7">
      <c r="A1220" t="s">
        <v>7182</v>
      </c>
      <c r="B1220" t="s">
        <v>4839</v>
      </c>
      <c r="C1220" t="s">
        <v>4838</v>
      </c>
      <c r="D1220">
        <v>17.97</v>
      </c>
      <c r="E1220" s="208">
        <v>45413</v>
      </c>
      <c r="G1220" t="s">
        <v>6944</v>
      </c>
    </row>
    <row r="1221" spans="1:7">
      <c r="A1221" t="s">
        <v>7183</v>
      </c>
      <c r="B1221" t="s">
        <v>7184</v>
      </c>
      <c r="C1221" t="s">
        <v>4838</v>
      </c>
      <c r="D1221">
        <v>23.04</v>
      </c>
      <c r="E1221" s="208">
        <v>45413</v>
      </c>
      <c r="G1221" t="s">
        <v>6944</v>
      </c>
    </row>
    <row r="1222" spans="1:7">
      <c r="A1222" t="s">
        <v>7185</v>
      </c>
      <c r="B1222" t="s">
        <v>6666</v>
      </c>
      <c r="C1222" t="s">
        <v>4838</v>
      </c>
      <c r="D1222">
        <v>28.8</v>
      </c>
      <c r="E1222" s="208">
        <v>45413</v>
      </c>
      <c r="G1222" t="s">
        <v>6944</v>
      </c>
    </row>
    <row r="1223" spans="1:7">
      <c r="A1223" t="s">
        <v>7186</v>
      </c>
      <c r="B1223" t="s">
        <v>6384</v>
      </c>
      <c r="C1223" t="s">
        <v>4838</v>
      </c>
      <c r="D1223">
        <v>34.56</v>
      </c>
      <c r="E1223" s="208">
        <v>45413</v>
      </c>
      <c r="G1223" t="s">
        <v>6944</v>
      </c>
    </row>
    <row r="1224" spans="1:7">
      <c r="A1224" t="s">
        <v>7187</v>
      </c>
      <c r="B1224" t="s">
        <v>7188</v>
      </c>
      <c r="C1224" t="s">
        <v>4838</v>
      </c>
      <c r="D1224">
        <v>40.32</v>
      </c>
      <c r="E1224" s="208">
        <v>45413</v>
      </c>
      <c r="G1224" t="s">
        <v>6944</v>
      </c>
    </row>
    <row r="1225" spans="1:7">
      <c r="A1225" t="s">
        <v>7189</v>
      </c>
      <c r="B1225" t="s">
        <v>7190</v>
      </c>
      <c r="C1225" t="s">
        <v>4838</v>
      </c>
      <c r="D1225">
        <v>46.08</v>
      </c>
      <c r="E1225" s="208">
        <v>45413</v>
      </c>
      <c r="G1225" t="s">
        <v>6944</v>
      </c>
    </row>
    <row r="1226" spans="1:7">
      <c r="A1226" t="s">
        <v>7191</v>
      </c>
      <c r="B1226" t="s">
        <v>5246</v>
      </c>
      <c r="C1226" t="s">
        <v>4838</v>
      </c>
      <c r="D1226">
        <v>16</v>
      </c>
      <c r="E1226" s="208">
        <v>45413</v>
      </c>
      <c r="G1226" t="s">
        <v>6944</v>
      </c>
    </row>
    <row r="1227" spans="1:7">
      <c r="A1227" t="s">
        <v>7192</v>
      </c>
      <c r="B1227" t="s">
        <v>6487</v>
      </c>
      <c r="C1227" t="s">
        <v>4838</v>
      </c>
      <c r="D1227">
        <v>26.7</v>
      </c>
      <c r="E1227" s="208">
        <v>45413</v>
      </c>
      <c r="G1227" t="s">
        <v>6944</v>
      </c>
    </row>
    <row r="1228" spans="1:7">
      <c r="A1228" t="s">
        <v>7193</v>
      </c>
      <c r="B1228" t="s">
        <v>5194</v>
      </c>
      <c r="C1228" t="s">
        <v>4838</v>
      </c>
      <c r="D1228">
        <v>37.450000000000003</v>
      </c>
      <c r="E1228" s="208">
        <v>45413</v>
      </c>
      <c r="G1228" t="s">
        <v>6944</v>
      </c>
    </row>
    <row r="1229" spans="1:7">
      <c r="A1229" t="s">
        <v>7194</v>
      </c>
      <c r="B1229" t="s">
        <v>6489</v>
      </c>
      <c r="C1229" t="s">
        <v>4838</v>
      </c>
      <c r="D1229">
        <v>48.15</v>
      </c>
      <c r="E1229" s="208">
        <v>45413</v>
      </c>
      <c r="G1229" t="s">
        <v>6944</v>
      </c>
    </row>
    <row r="1230" spans="1:7">
      <c r="A1230" t="s">
        <v>7195</v>
      </c>
      <c r="B1230" t="s">
        <v>4956</v>
      </c>
      <c r="C1230" t="s">
        <v>4838</v>
      </c>
      <c r="D1230">
        <v>21.35</v>
      </c>
      <c r="E1230" s="208">
        <v>45413</v>
      </c>
      <c r="G1230" t="s">
        <v>6944</v>
      </c>
    </row>
    <row r="1231" spans="1:7">
      <c r="A1231" t="s">
        <v>7196</v>
      </c>
      <c r="B1231" t="s">
        <v>5154</v>
      </c>
      <c r="C1231" t="s">
        <v>4838</v>
      </c>
      <c r="D1231">
        <v>42.7</v>
      </c>
      <c r="E1231" s="208">
        <v>45413</v>
      </c>
      <c r="G1231" t="s">
        <v>6944</v>
      </c>
    </row>
    <row r="1232" spans="1:7">
      <c r="A1232" t="s">
        <v>7197</v>
      </c>
      <c r="B1232" t="s">
        <v>5156</v>
      </c>
      <c r="C1232" t="s">
        <v>4838</v>
      </c>
      <c r="D1232">
        <v>32.049999999999997</v>
      </c>
      <c r="E1232" s="208">
        <v>45413</v>
      </c>
      <c r="G1232" t="s">
        <v>6944</v>
      </c>
    </row>
    <row r="1233" spans="1:7">
      <c r="A1233" t="s">
        <v>7198</v>
      </c>
      <c r="B1233" t="s">
        <v>7199</v>
      </c>
      <c r="C1233" t="s">
        <v>4845</v>
      </c>
      <c r="D1233">
        <v>63.2</v>
      </c>
      <c r="E1233" s="208">
        <v>45413</v>
      </c>
      <c r="G1233" t="s">
        <v>6944</v>
      </c>
    </row>
    <row r="1234" spans="1:7">
      <c r="A1234" t="s">
        <v>7200</v>
      </c>
      <c r="B1234" t="s">
        <v>7201</v>
      </c>
      <c r="C1234" t="s">
        <v>4845</v>
      </c>
      <c r="D1234">
        <v>105.95</v>
      </c>
      <c r="E1234" s="208">
        <v>45413</v>
      </c>
      <c r="G1234" t="s">
        <v>6944</v>
      </c>
    </row>
    <row r="1235" spans="1:7">
      <c r="A1235" t="s">
        <v>7202</v>
      </c>
      <c r="B1235" t="s">
        <v>7203</v>
      </c>
      <c r="C1235" t="s">
        <v>4845</v>
      </c>
      <c r="D1235">
        <v>9.6</v>
      </c>
      <c r="E1235" s="208">
        <v>45413</v>
      </c>
      <c r="G1235" t="s">
        <v>6944</v>
      </c>
    </row>
    <row r="1236" spans="1:7">
      <c r="A1236" t="s">
        <v>7204</v>
      </c>
      <c r="B1236" t="s">
        <v>7205</v>
      </c>
      <c r="C1236" t="s">
        <v>4845</v>
      </c>
      <c r="D1236">
        <v>9.6</v>
      </c>
      <c r="E1236" s="208">
        <v>45413</v>
      </c>
      <c r="G1236" t="s">
        <v>6944</v>
      </c>
    </row>
    <row r="1237" spans="1:7">
      <c r="A1237" t="s">
        <v>7206</v>
      </c>
      <c r="B1237" t="s">
        <v>7207</v>
      </c>
      <c r="C1237" t="s">
        <v>4845</v>
      </c>
      <c r="D1237">
        <v>33.5</v>
      </c>
      <c r="E1237" s="208">
        <v>45413</v>
      </c>
      <c r="G1237" t="s">
        <v>6944</v>
      </c>
    </row>
    <row r="1238" spans="1:7">
      <c r="A1238" t="s">
        <v>7208</v>
      </c>
      <c r="B1238" t="s">
        <v>7209</v>
      </c>
      <c r="C1238" t="s">
        <v>4845</v>
      </c>
      <c r="D1238">
        <v>12.95</v>
      </c>
      <c r="E1238" s="208">
        <v>45413</v>
      </c>
      <c r="G1238" t="s">
        <v>6944</v>
      </c>
    </row>
    <row r="1239" spans="1:7">
      <c r="A1239" t="s">
        <v>4759</v>
      </c>
      <c r="B1239" t="s">
        <v>7210</v>
      </c>
      <c r="C1239" t="s">
        <v>6085</v>
      </c>
      <c r="D1239">
        <v>1040</v>
      </c>
      <c r="E1239" s="208">
        <v>45413</v>
      </c>
      <c r="G1239" t="s">
        <v>6944</v>
      </c>
    </row>
    <row r="1240" spans="1:7">
      <c r="A1240" t="s">
        <v>4761</v>
      </c>
      <c r="B1240" t="s">
        <v>7211</v>
      </c>
      <c r="C1240" t="s">
        <v>6085</v>
      </c>
      <c r="D1240">
        <v>1040</v>
      </c>
      <c r="E1240" s="208">
        <v>45413</v>
      </c>
      <c r="G1240" t="s">
        <v>6944</v>
      </c>
    </row>
    <row r="1241" spans="1:7">
      <c r="A1241" t="s">
        <v>7212</v>
      </c>
      <c r="B1241" t="s">
        <v>7213</v>
      </c>
      <c r="C1241" t="s">
        <v>4895</v>
      </c>
      <c r="D1241">
        <v>60.95</v>
      </c>
      <c r="E1241" s="208">
        <v>45413</v>
      </c>
      <c r="G1241" t="s">
        <v>6944</v>
      </c>
    </row>
    <row r="1242" spans="1:7">
      <c r="A1242" t="s">
        <v>4763</v>
      </c>
      <c r="B1242" t="s">
        <v>7214</v>
      </c>
      <c r="C1242" t="s">
        <v>6085</v>
      </c>
      <c r="D1242">
        <v>1770</v>
      </c>
      <c r="E1242" s="208">
        <v>45413</v>
      </c>
      <c r="G1242" t="s">
        <v>6944</v>
      </c>
    </row>
    <row r="1243" spans="1:7">
      <c r="A1243" t="s">
        <v>7215</v>
      </c>
      <c r="B1243" t="s">
        <v>7216</v>
      </c>
      <c r="C1243" t="s">
        <v>4845</v>
      </c>
      <c r="D1243">
        <v>5.45</v>
      </c>
      <c r="E1243" s="208">
        <v>45413</v>
      </c>
      <c r="G1243" t="s">
        <v>6944</v>
      </c>
    </row>
    <row r="1244" spans="1:7">
      <c r="A1244" t="s">
        <v>7217</v>
      </c>
      <c r="B1244" t="s">
        <v>7218</v>
      </c>
      <c r="C1244" t="s">
        <v>4845</v>
      </c>
      <c r="D1244">
        <v>6.54</v>
      </c>
      <c r="E1244" s="208">
        <v>45413</v>
      </c>
      <c r="G1244" t="s">
        <v>6944</v>
      </c>
    </row>
    <row r="1245" spans="1:7">
      <c r="A1245" t="s">
        <v>7219</v>
      </c>
      <c r="B1245" t="s">
        <v>7220</v>
      </c>
      <c r="C1245" t="s">
        <v>4845</v>
      </c>
      <c r="D1245">
        <v>7.63</v>
      </c>
      <c r="E1245" s="208">
        <v>45413</v>
      </c>
      <c r="G1245" t="s">
        <v>6944</v>
      </c>
    </row>
    <row r="1246" spans="1:7">
      <c r="A1246" t="s">
        <v>7221</v>
      </c>
      <c r="B1246" t="s">
        <v>7222</v>
      </c>
      <c r="C1246" t="s">
        <v>4845</v>
      </c>
      <c r="D1246">
        <v>9.81</v>
      </c>
      <c r="E1246" s="208">
        <v>45413</v>
      </c>
      <c r="G1246" t="s">
        <v>6944</v>
      </c>
    </row>
    <row r="1247" spans="1:7">
      <c r="A1247" t="s">
        <v>7223</v>
      </c>
      <c r="B1247" t="s">
        <v>7224</v>
      </c>
      <c r="C1247" t="s">
        <v>4845</v>
      </c>
      <c r="D1247">
        <v>10.9</v>
      </c>
      <c r="E1247" s="208">
        <v>45413</v>
      </c>
      <c r="G1247" t="s">
        <v>6944</v>
      </c>
    </row>
    <row r="1248" spans="1:7">
      <c r="A1248" t="s">
        <v>7225</v>
      </c>
      <c r="B1248" t="s">
        <v>7226</v>
      </c>
      <c r="C1248" t="s">
        <v>4845</v>
      </c>
      <c r="D1248">
        <v>14.17</v>
      </c>
      <c r="E1248" s="208">
        <v>45413</v>
      </c>
      <c r="G1248" t="s">
        <v>6944</v>
      </c>
    </row>
    <row r="1249" spans="1:7">
      <c r="A1249" t="s">
        <v>7227</v>
      </c>
      <c r="B1249" t="s">
        <v>7228</v>
      </c>
      <c r="C1249" t="s">
        <v>4845</v>
      </c>
      <c r="D1249">
        <v>237.95</v>
      </c>
      <c r="E1249" s="208">
        <v>45413</v>
      </c>
      <c r="G1249" t="s">
        <v>6944</v>
      </c>
    </row>
    <row r="1250" spans="1:7">
      <c r="A1250" t="s">
        <v>7229</v>
      </c>
      <c r="B1250" t="s">
        <v>7230</v>
      </c>
      <c r="C1250" t="s">
        <v>4845</v>
      </c>
      <c r="D1250">
        <v>871.45</v>
      </c>
      <c r="E1250" s="208">
        <v>45413</v>
      </c>
      <c r="G1250" t="s">
        <v>6944</v>
      </c>
    </row>
    <row r="1251" spans="1:7">
      <c r="A1251" t="s">
        <v>7231</v>
      </c>
      <c r="B1251" t="s">
        <v>7232</v>
      </c>
      <c r="C1251" t="s">
        <v>4845</v>
      </c>
      <c r="D1251">
        <v>12.8</v>
      </c>
      <c r="E1251" s="208">
        <v>45413</v>
      </c>
      <c r="G1251" t="s">
        <v>6944</v>
      </c>
    </row>
    <row r="1252" spans="1:7">
      <c r="A1252" t="s">
        <v>7233</v>
      </c>
      <c r="B1252" t="s">
        <v>7234</v>
      </c>
      <c r="C1252" t="s">
        <v>4845</v>
      </c>
      <c r="D1252">
        <v>5.55</v>
      </c>
      <c r="E1252" s="208">
        <v>45413</v>
      </c>
      <c r="G1252" t="s">
        <v>6944</v>
      </c>
    </row>
    <row r="1253" spans="1:7">
      <c r="A1253" t="s">
        <v>7235</v>
      </c>
      <c r="B1253" t="s">
        <v>7236</v>
      </c>
      <c r="C1253" t="s">
        <v>4845</v>
      </c>
      <c r="D1253">
        <v>264.60000000000002</v>
      </c>
      <c r="E1253" s="208">
        <v>45413</v>
      </c>
      <c r="G1253" t="s">
        <v>6944</v>
      </c>
    </row>
    <row r="1254" spans="1:7">
      <c r="A1254" t="s">
        <v>7237</v>
      </c>
      <c r="B1254" t="s">
        <v>7238</v>
      </c>
      <c r="C1254" t="s">
        <v>4845</v>
      </c>
      <c r="D1254">
        <v>244.1</v>
      </c>
      <c r="E1254" s="208">
        <v>45413</v>
      </c>
      <c r="G1254" t="s">
        <v>6944</v>
      </c>
    </row>
    <row r="1255" spans="1:7">
      <c r="A1255" t="s">
        <v>7239</v>
      </c>
      <c r="B1255" t="s">
        <v>7240</v>
      </c>
      <c r="C1255" t="s">
        <v>4845</v>
      </c>
      <c r="D1255">
        <v>72</v>
      </c>
      <c r="E1255" s="208">
        <v>45413</v>
      </c>
      <c r="G1255" t="s">
        <v>6944</v>
      </c>
    </row>
    <row r="1256" spans="1:7">
      <c r="A1256" t="s">
        <v>7241</v>
      </c>
      <c r="B1256" t="s">
        <v>7242</v>
      </c>
      <c r="C1256" t="s">
        <v>4838</v>
      </c>
      <c r="D1256">
        <v>28.6</v>
      </c>
      <c r="E1256" s="208">
        <v>45413</v>
      </c>
      <c r="G1256" t="s">
        <v>6944</v>
      </c>
    </row>
    <row r="1257" spans="1:7">
      <c r="A1257" t="s">
        <v>7243</v>
      </c>
      <c r="B1257" t="s">
        <v>7244</v>
      </c>
      <c r="C1257" t="s">
        <v>4838</v>
      </c>
      <c r="D1257">
        <v>31.45</v>
      </c>
      <c r="E1257" s="208">
        <v>45413</v>
      </c>
      <c r="G1257" t="s">
        <v>6944</v>
      </c>
    </row>
    <row r="1258" spans="1:7">
      <c r="A1258" t="s">
        <v>7245</v>
      </c>
      <c r="B1258" t="s">
        <v>5107</v>
      </c>
      <c r="C1258" t="s">
        <v>4895</v>
      </c>
      <c r="D1258">
        <v>59.95</v>
      </c>
      <c r="E1258" s="208">
        <v>45413</v>
      </c>
      <c r="G1258" t="s">
        <v>6944</v>
      </c>
    </row>
    <row r="1259" spans="1:7">
      <c r="A1259" t="s">
        <v>7246</v>
      </c>
      <c r="B1259" t="s">
        <v>7247</v>
      </c>
      <c r="C1259" t="s">
        <v>4845</v>
      </c>
      <c r="D1259">
        <v>12.25</v>
      </c>
      <c r="E1259" s="208">
        <v>45413</v>
      </c>
      <c r="G1259" t="s">
        <v>6944</v>
      </c>
    </row>
    <row r="1260" spans="1:7">
      <c r="A1260" t="s">
        <v>7248</v>
      </c>
      <c r="B1260" t="s">
        <v>7249</v>
      </c>
      <c r="C1260" t="s">
        <v>4771</v>
      </c>
      <c r="D1260">
        <v>286.14999999999998</v>
      </c>
      <c r="E1260" s="208">
        <v>45413</v>
      </c>
      <c r="G1260" t="s">
        <v>6944</v>
      </c>
    </row>
    <row r="1261" spans="1:7">
      <c r="A1261" t="s">
        <v>7250</v>
      </c>
      <c r="B1261" t="s">
        <v>7251</v>
      </c>
      <c r="C1261" t="s">
        <v>4845</v>
      </c>
      <c r="D1261">
        <v>43.25</v>
      </c>
      <c r="E1261" s="208">
        <v>45413</v>
      </c>
      <c r="G1261" t="s">
        <v>6944</v>
      </c>
    </row>
    <row r="1262" spans="1:7">
      <c r="A1262" t="s">
        <v>7252</v>
      </c>
      <c r="B1262" t="s">
        <v>7253</v>
      </c>
      <c r="C1262" t="s">
        <v>4845</v>
      </c>
      <c r="D1262">
        <v>1.25</v>
      </c>
      <c r="E1262" s="208">
        <v>45413</v>
      </c>
      <c r="G1262" t="s">
        <v>6944</v>
      </c>
    </row>
    <row r="1263" spans="1:7">
      <c r="A1263" t="s">
        <v>7254</v>
      </c>
      <c r="B1263" t="s">
        <v>7255</v>
      </c>
      <c r="C1263" t="s">
        <v>4845</v>
      </c>
      <c r="D1263">
        <v>47.65</v>
      </c>
      <c r="E1263" s="208">
        <v>45413</v>
      </c>
      <c r="G1263" t="s">
        <v>6944</v>
      </c>
    </row>
    <row r="1264" spans="1:7">
      <c r="A1264" t="s">
        <v>7256</v>
      </c>
      <c r="B1264" t="s">
        <v>7257</v>
      </c>
      <c r="C1264" t="s">
        <v>5344</v>
      </c>
      <c r="D1264">
        <v>392.75</v>
      </c>
      <c r="E1264" s="208">
        <v>45413</v>
      </c>
      <c r="G1264" t="s">
        <v>6944</v>
      </c>
    </row>
    <row r="1265" spans="1:7">
      <c r="A1265" t="s">
        <v>7258</v>
      </c>
      <c r="B1265" t="s">
        <v>7259</v>
      </c>
      <c r="C1265" t="s">
        <v>4771</v>
      </c>
      <c r="D1265">
        <v>1048.5</v>
      </c>
      <c r="E1265" s="208">
        <v>45413</v>
      </c>
      <c r="G1265" t="s">
        <v>6944</v>
      </c>
    </row>
    <row r="1266" spans="1:7">
      <c r="A1266" t="s">
        <v>7260</v>
      </c>
      <c r="B1266" t="s">
        <v>7261</v>
      </c>
      <c r="C1266" t="s">
        <v>4771</v>
      </c>
      <c r="D1266">
        <v>390.4</v>
      </c>
      <c r="E1266" s="208">
        <v>45413</v>
      </c>
      <c r="G1266" t="s">
        <v>6944</v>
      </c>
    </row>
    <row r="1267" spans="1:7">
      <c r="A1267" t="s">
        <v>7262</v>
      </c>
      <c r="B1267" t="s">
        <v>7263</v>
      </c>
      <c r="C1267" t="s">
        <v>4895</v>
      </c>
      <c r="D1267">
        <v>52.95</v>
      </c>
      <c r="E1267" s="208">
        <v>45413</v>
      </c>
      <c r="G1267" t="s">
        <v>6944</v>
      </c>
    </row>
    <row r="1268" spans="1:7">
      <c r="A1268" t="s">
        <v>7264</v>
      </c>
      <c r="B1268" t="s">
        <v>7265</v>
      </c>
      <c r="C1268" t="s">
        <v>4895</v>
      </c>
      <c r="D1268">
        <v>36.950000000000003</v>
      </c>
      <c r="E1268" s="208">
        <v>45413</v>
      </c>
      <c r="G1268" t="s">
        <v>6944</v>
      </c>
    </row>
    <row r="1269" spans="1:7">
      <c r="A1269" t="s">
        <v>7266</v>
      </c>
      <c r="B1269" t="s">
        <v>7267</v>
      </c>
      <c r="C1269" t="s">
        <v>4771</v>
      </c>
      <c r="D1269">
        <v>497.15</v>
      </c>
      <c r="E1269" s="208">
        <v>45413</v>
      </c>
      <c r="G1269" t="s">
        <v>6944</v>
      </c>
    </row>
    <row r="1270" spans="1:7">
      <c r="A1270" t="s">
        <v>7268</v>
      </c>
      <c r="B1270" t="s">
        <v>7269</v>
      </c>
      <c r="C1270" t="s">
        <v>4895</v>
      </c>
      <c r="D1270">
        <v>401.1</v>
      </c>
      <c r="E1270" s="208">
        <v>45413</v>
      </c>
      <c r="G1270" t="s">
        <v>6944</v>
      </c>
    </row>
    <row r="1271" spans="1:7">
      <c r="A1271" t="s">
        <v>7270</v>
      </c>
      <c r="B1271" t="s">
        <v>7271</v>
      </c>
      <c r="C1271" t="s">
        <v>4895</v>
      </c>
      <c r="D1271">
        <v>133.19999999999999</v>
      </c>
      <c r="E1271" s="208">
        <v>45413</v>
      </c>
      <c r="G1271" t="s">
        <v>6944</v>
      </c>
    </row>
    <row r="1272" spans="1:7">
      <c r="A1272" t="s">
        <v>7272</v>
      </c>
      <c r="B1272" t="s">
        <v>7273</v>
      </c>
      <c r="C1272" t="s">
        <v>4895</v>
      </c>
      <c r="D1272">
        <v>160.75</v>
      </c>
      <c r="E1272" s="208">
        <v>45413</v>
      </c>
      <c r="G1272" t="s">
        <v>6944</v>
      </c>
    </row>
    <row r="1273" spans="1:7">
      <c r="A1273" t="s">
        <v>7274</v>
      </c>
      <c r="B1273" t="s">
        <v>7275</v>
      </c>
      <c r="C1273" t="s">
        <v>4895</v>
      </c>
      <c r="D1273">
        <v>204.6</v>
      </c>
      <c r="E1273" s="208">
        <v>45413</v>
      </c>
      <c r="G1273" t="s">
        <v>6944</v>
      </c>
    </row>
    <row r="1274" spans="1:7">
      <c r="A1274" t="s">
        <v>7276</v>
      </c>
      <c r="B1274" t="s">
        <v>7277</v>
      </c>
      <c r="C1274" t="s">
        <v>4895</v>
      </c>
      <c r="D1274">
        <v>327.55</v>
      </c>
      <c r="E1274" s="208">
        <v>45413</v>
      </c>
      <c r="G1274" t="s">
        <v>6944</v>
      </c>
    </row>
    <row r="1275" spans="1:7">
      <c r="A1275" t="s">
        <v>7278</v>
      </c>
      <c r="B1275" t="s">
        <v>7279</v>
      </c>
      <c r="C1275" t="s">
        <v>4895</v>
      </c>
      <c r="D1275">
        <v>402.65</v>
      </c>
      <c r="E1275" s="208">
        <v>45413</v>
      </c>
      <c r="G1275" t="s">
        <v>6944</v>
      </c>
    </row>
    <row r="1276" spans="1:7">
      <c r="A1276" t="s">
        <v>7280</v>
      </c>
      <c r="B1276" t="s">
        <v>7281</v>
      </c>
      <c r="C1276" t="s">
        <v>4895</v>
      </c>
      <c r="D1276">
        <v>495.75</v>
      </c>
      <c r="E1276" s="208">
        <v>45413</v>
      </c>
      <c r="G1276" t="s">
        <v>6944</v>
      </c>
    </row>
    <row r="1277" spans="1:7">
      <c r="A1277" t="s">
        <v>7282</v>
      </c>
      <c r="B1277" t="s">
        <v>7283</v>
      </c>
      <c r="C1277" t="s">
        <v>4895</v>
      </c>
      <c r="D1277">
        <v>367.75</v>
      </c>
      <c r="E1277" s="208">
        <v>45413</v>
      </c>
      <c r="G1277" t="s">
        <v>6944</v>
      </c>
    </row>
    <row r="1278" spans="1:7">
      <c r="A1278" t="s">
        <v>7284</v>
      </c>
      <c r="B1278" t="s">
        <v>7285</v>
      </c>
      <c r="C1278" t="s">
        <v>4895</v>
      </c>
      <c r="D1278">
        <v>407.05</v>
      </c>
      <c r="E1278" s="208">
        <v>45413</v>
      </c>
      <c r="G1278" t="s">
        <v>6944</v>
      </c>
    </row>
    <row r="1279" spans="1:7">
      <c r="A1279" t="s">
        <v>7286</v>
      </c>
      <c r="B1279" t="s">
        <v>7287</v>
      </c>
      <c r="C1279" t="s">
        <v>4895</v>
      </c>
      <c r="D1279">
        <v>654.79999999999995</v>
      </c>
      <c r="E1279" s="208">
        <v>45413</v>
      </c>
      <c r="G1279" t="s">
        <v>6944</v>
      </c>
    </row>
    <row r="1280" spans="1:7">
      <c r="A1280" t="s">
        <v>7288</v>
      </c>
      <c r="B1280" t="s">
        <v>7289</v>
      </c>
      <c r="C1280" t="s">
        <v>4895</v>
      </c>
      <c r="D1280">
        <v>223</v>
      </c>
      <c r="E1280" s="208">
        <v>45413</v>
      </c>
      <c r="G1280" t="s">
        <v>6944</v>
      </c>
    </row>
    <row r="1281" spans="1:7">
      <c r="A1281" t="s">
        <v>7290</v>
      </c>
      <c r="B1281" t="s">
        <v>7291</v>
      </c>
      <c r="C1281" t="s">
        <v>4895</v>
      </c>
      <c r="D1281">
        <v>274.3</v>
      </c>
      <c r="E1281" s="208">
        <v>45413</v>
      </c>
      <c r="G1281" t="s">
        <v>6944</v>
      </c>
    </row>
    <row r="1282" spans="1:7">
      <c r="A1282" t="s">
        <v>7292</v>
      </c>
      <c r="B1282" t="s">
        <v>7293</v>
      </c>
      <c r="C1282" t="s">
        <v>4895</v>
      </c>
      <c r="D1282">
        <v>360.65</v>
      </c>
      <c r="E1282" s="208">
        <v>45413</v>
      </c>
      <c r="G1282" t="s">
        <v>6944</v>
      </c>
    </row>
    <row r="1283" spans="1:7">
      <c r="A1283" t="s">
        <v>7294</v>
      </c>
      <c r="B1283" t="s">
        <v>7295</v>
      </c>
      <c r="C1283" t="s">
        <v>4895</v>
      </c>
      <c r="D1283">
        <v>430.85</v>
      </c>
      <c r="E1283" s="208">
        <v>45413</v>
      </c>
      <c r="G1283" t="s">
        <v>6944</v>
      </c>
    </row>
    <row r="1284" spans="1:7">
      <c r="A1284" t="s">
        <v>7296</v>
      </c>
      <c r="B1284" t="s">
        <v>7297</v>
      </c>
      <c r="C1284" t="s">
        <v>4895</v>
      </c>
      <c r="D1284">
        <v>324.25</v>
      </c>
      <c r="E1284" s="208">
        <v>45413</v>
      </c>
      <c r="G1284" t="s">
        <v>6944</v>
      </c>
    </row>
    <row r="1285" spans="1:7">
      <c r="A1285" t="s">
        <v>7298</v>
      </c>
      <c r="B1285" t="s">
        <v>7299</v>
      </c>
      <c r="C1285" t="s">
        <v>4895</v>
      </c>
      <c r="D1285">
        <v>406.75</v>
      </c>
      <c r="E1285" s="208">
        <v>45413</v>
      </c>
      <c r="G1285" t="s">
        <v>6944</v>
      </c>
    </row>
    <row r="1286" spans="1:7">
      <c r="A1286" t="s">
        <v>7300</v>
      </c>
      <c r="B1286" t="s">
        <v>7301</v>
      </c>
      <c r="C1286" t="s">
        <v>4895</v>
      </c>
      <c r="D1286">
        <v>506.1</v>
      </c>
      <c r="E1286" s="208">
        <v>45413</v>
      </c>
      <c r="G1286" t="s">
        <v>6944</v>
      </c>
    </row>
    <row r="1287" spans="1:7">
      <c r="A1287" t="s">
        <v>7302</v>
      </c>
      <c r="B1287" t="s">
        <v>7303</v>
      </c>
      <c r="C1287" t="s">
        <v>4895</v>
      </c>
      <c r="D1287">
        <v>608.04999999999995</v>
      </c>
      <c r="E1287" s="208">
        <v>45413</v>
      </c>
      <c r="G1287" t="s">
        <v>6944</v>
      </c>
    </row>
    <row r="1288" spans="1:7">
      <c r="A1288" t="s">
        <v>7304</v>
      </c>
      <c r="B1288" t="s">
        <v>7305</v>
      </c>
      <c r="C1288" t="s">
        <v>4895</v>
      </c>
      <c r="D1288">
        <v>662.9</v>
      </c>
      <c r="E1288" s="208">
        <v>45413</v>
      </c>
      <c r="G1288" t="s">
        <v>6944</v>
      </c>
    </row>
    <row r="1289" spans="1:7">
      <c r="A1289" t="s">
        <v>7306</v>
      </c>
      <c r="B1289" t="s">
        <v>7307</v>
      </c>
      <c r="C1289" t="s">
        <v>4895</v>
      </c>
      <c r="D1289">
        <v>478.35</v>
      </c>
      <c r="E1289" s="208">
        <v>45413</v>
      </c>
      <c r="G1289" t="s">
        <v>6944</v>
      </c>
    </row>
    <row r="1290" spans="1:7">
      <c r="A1290" t="s">
        <v>7308</v>
      </c>
      <c r="B1290" t="s">
        <v>7309</v>
      </c>
      <c r="C1290" t="s">
        <v>4895</v>
      </c>
      <c r="D1290">
        <v>569.6</v>
      </c>
      <c r="E1290" s="208">
        <v>45413</v>
      </c>
      <c r="G1290" t="s">
        <v>6944</v>
      </c>
    </row>
    <row r="1291" spans="1:7">
      <c r="A1291" t="s">
        <v>7310</v>
      </c>
      <c r="B1291" t="s">
        <v>7311</v>
      </c>
      <c r="C1291" t="s">
        <v>4895</v>
      </c>
      <c r="D1291">
        <v>760.85</v>
      </c>
      <c r="E1291" s="208">
        <v>45413</v>
      </c>
      <c r="G1291" t="s">
        <v>6944</v>
      </c>
    </row>
    <row r="1292" spans="1:7">
      <c r="A1292" t="s">
        <v>7312</v>
      </c>
      <c r="B1292" t="s">
        <v>7313</v>
      </c>
      <c r="C1292" t="s">
        <v>4895</v>
      </c>
      <c r="D1292">
        <v>299.5</v>
      </c>
      <c r="E1292" s="208">
        <v>45413</v>
      </c>
      <c r="G1292" t="s">
        <v>6944</v>
      </c>
    </row>
    <row r="1293" spans="1:7">
      <c r="A1293" t="s">
        <v>7314</v>
      </c>
      <c r="B1293" t="s">
        <v>7315</v>
      </c>
      <c r="C1293" t="s">
        <v>4895</v>
      </c>
      <c r="D1293">
        <v>546.79999999999995</v>
      </c>
      <c r="E1293" s="208">
        <v>45413</v>
      </c>
      <c r="G1293" t="s">
        <v>6944</v>
      </c>
    </row>
    <row r="1294" spans="1:7">
      <c r="A1294" t="s">
        <v>7316</v>
      </c>
      <c r="B1294" t="s">
        <v>7317</v>
      </c>
      <c r="C1294" t="s">
        <v>4845</v>
      </c>
      <c r="D1294">
        <v>452.15</v>
      </c>
      <c r="E1294" s="208">
        <v>45413</v>
      </c>
      <c r="G1294" t="s">
        <v>6944</v>
      </c>
    </row>
    <row r="1295" spans="1:7">
      <c r="A1295" t="s">
        <v>7318</v>
      </c>
      <c r="B1295" t="s">
        <v>7319</v>
      </c>
      <c r="C1295" t="s">
        <v>4845</v>
      </c>
      <c r="D1295">
        <v>292.64999999999998</v>
      </c>
      <c r="E1295" s="208">
        <v>45413</v>
      </c>
      <c r="G1295" t="s">
        <v>6944</v>
      </c>
    </row>
    <row r="1296" spans="1:7">
      <c r="A1296" t="s">
        <v>7320</v>
      </c>
      <c r="B1296" t="s">
        <v>7321</v>
      </c>
      <c r="C1296" t="s">
        <v>4845</v>
      </c>
      <c r="D1296">
        <v>91.65</v>
      </c>
      <c r="E1296" s="208">
        <v>45413</v>
      </c>
      <c r="G1296" t="s">
        <v>6944</v>
      </c>
    </row>
    <row r="1297" spans="1:7">
      <c r="A1297" t="s">
        <v>7322</v>
      </c>
      <c r="B1297" t="s">
        <v>7323</v>
      </c>
      <c r="C1297" t="s">
        <v>4845</v>
      </c>
      <c r="D1297">
        <v>116.8</v>
      </c>
      <c r="E1297" s="208">
        <v>45413</v>
      </c>
      <c r="G1297" t="s">
        <v>6944</v>
      </c>
    </row>
    <row r="1298" spans="1:7">
      <c r="A1298" t="s">
        <v>7324</v>
      </c>
      <c r="B1298" t="s">
        <v>7325</v>
      </c>
      <c r="C1298" t="s">
        <v>4845</v>
      </c>
      <c r="D1298">
        <v>152.25</v>
      </c>
      <c r="E1298" s="208">
        <v>45413</v>
      </c>
      <c r="G1298" t="s">
        <v>6944</v>
      </c>
    </row>
    <row r="1299" spans="1:7">
      <c r="A1299" t="s">
        <v>7326</v>
      </c>
      <c r="B1299" t="s">
        <v>7327</v>
      </c>
      <c r="C1299" t="s">
        <v>4845</v>
      </c>
      <c r="D1299">
        <v>16.05</v>
      </c>
      <c r="E1299" s="208">
        <v>45413</v>
      </c>
      <c r="G1299" t="s">
        <v>6944</v>
      </c>
    </row>
    <row r="1300" spans="1:7">
      <c r="A1300" t="s">
        <v>7328</v>
      </c>
      <c r="B1300" t="s">
        <v>7329</v>
      </c>
      <c r="C1300" t="s">
        <v>4845</v>
      </c>
      <c r="D1300">
        <v>17.2</v>
      </c>
      <c r="E1300" s="208">
        <v>45413</v>
      </c>
      <c r="G1300" t="s">
        <v>6944</v>
      </c>
    </row>
    <row r="1301" spans="1:7">
      <c r="A1301" t="s">
        <v>7330</v>
      </c>
      <c r="B1301" t="s">
        <v>7331</v>
      </c>
      <c r="C1301" t="s">
        <v>6331</v>
      </c>
      <c r="D1301">
        <v>166.35</v>
      </c>
      <c r="E1301" s="208">
        <v>45413</v>
      </c>
      <c r="G1301" t="s">
        <v>6944</v>
      </c>
    </row>
    <row r="1302" spans="1:7">
      <c r="A1302" t="s">
        <v>7332</v>
      </c>
      <c r="B1302" t="s">
        <v>7333</v>
      </c>
      <c r="C1302" t="s">
        <v>4845</v>
      </c>
      <c r="D1302">
        <v>70.95</v>
      </c>
      <c r="E1302" s="208">
        <v>45413</v>
      </c>
      <c r="G1302" t="s">
        <v>6944</v>
      </c>
    </row>
    <row r="1303" spans="1:7">
      <c r="A1303" t="s">
        <v>7334</v>
      </c>
      <c r="B1303" t="s">
        <v>6904</v>
      </c>
      <c r="C1303" t="s">
        <v>4895</v>
      </c>
      <c r="D1303">
        <v>52.95</v>
      </c>
      <c r="E1303" s="208">
        <v>45413</v>
      </c>
      <c r="G1303" t="s">
        <v>6944</v>
      </c>
    </row>
    <row r="1304" spans="1:7">
      <c r="A1304" t="s">
        <v>7335</v>
      </c>
      <c r="B1304" t="s">
        <v>7336</v>
      </c>
      <c r="C1304" t="s">
        <v>4895</v>
      </c>
      <c r="D1304">
        <v>97.95</v>
      </c>
      <c r="E1304" s="208">
        <v>45413</v>
      </c>
      <c r="G1304" t="s">
        <v>6944</v>
      </c>
    </row>
    <row r="1305" spans="1:7">
      <c r="A1305" t="s">
        <v>7337</v>
      </c>
      <c r="B1305" t="s">
        <v>7338</v>
      </c>
      <c r="C1305" t="s">
        <v>4871</v>
      </c>
      <c r="D1305">
        <v>6.95</v>
      </c>
      <c r="E1305" s="208">
        <v>45413</v>
      </c>
      <c r="G1305" t="s">
        <v>6944</v>
      </c>
    </row>
    <row r="1306" spans="1:7">
      <c r="A1306" t="s">
        <v>7339</v>
      </c>
      <c r="B1306" t="s">
        <v>7340</v>
      </c>
      <c r="C1306" t="s">
        <v>4845</v>
      </c>
      <c r="D1306">
        <v>35.950000000000003</v>
      </c>
      <c r="E1306" s="208">
        <v>45413</v>
      </c>
      <c r="G1306" t="s">
        <v>6944</v>
      </c>
    </row>
    <row r="1307" spans="1:7">
      <c r="A1307" t="s">
        <v>7341</v>
      </c>
      <c r="B1307" t="s">
        <v>7342</v>
      </c>
      <c r="C1307" t="s">
        <v>4771</v>
      </c>
      <c r="D1307">
        <v>94.55</v>
      </c>
      <c r="E1307" s="208">
        <v>45413</v>
      </c>
      <c r="G1307" t="s">
        <v>6944</v>
      </c>
    </row>
    <row r="1308" spans="1:7">
      <c r="A1308" t="s">
        <v>7343</v>
      </c>
      <c r="B1308" t="s">
        <v>7344</v>
      </c>
      <c r="C1308" t="s">
        <v>4771</v>
      </c>
      <c r="D1308">
        <v>73.2</v>
      </c>
      <c r="E1308" s="208">
        <v>45413</v>
      </c>
      <c r="G1308" t="s">
        <v>6944</v>
      </c>
    </row>
    <row r="1309" spans="1:7">
      <c r="A1309" t="s">
        <v>7345</v>
      </c>
      <c r="B1309" t="s">
        <v>7346</v>
      </c>
      <c r="C1309" t="s">
        <v>4771</v>
      </c>
      <c r="D1309">
        <v>82.05</v>
      </c>
      <c r="E1309" s="208">
        <v>45413</v>
      </c>
      <c r="G1309" t="s">
        <v>6944</v>
      </c>
    </row>
    <row r="1310" spans="1:7">
      <c r="A1310" t="s">
        <v>7347</v>
      </c>
      <c r="B1310" t="s">
        <v>7348</v>
      </c>
      <c r="C1310" t="s">
        <v>4771</v>
      </c>
      <c r="D1310">
        <v>62.65</v>
      </c>
      <c r="E1310" s="208">
        <v>45413</v>
      </c>
      <c r="G1310" t="s">
        <v>6944</v>
      </c>
    </row>
    <row r="1311" spans="1:7">
      <c r="A1311" t="s">
        <v>7349</v>
      </c>
      <c r="B1311" t="s">
        <v>7350</v>
      </c>
      <c r="C1311" t="s">
        <v>4771</v>
      </c>
      <c r="D1311">
        <v>68.849999999999994</v>
      </c>
      <c r="E1311" s="208">
        <v>45413</v>
      </c>
      <c r="G1311" t="s">
        <v>6944</v>
      </c>
    </row>
    <row r="1312" spans="1:7">
      <c r="A1312" t="s">
        <v>7351</v>
      </c>
      <c r="B1312" t="s">
        <v>7352</v>
      </c>
      <c r="C1312" t="s">
        <v>4771</v>
      </c>
      <c r="D1312">
        <v>26.3</v>
      </c>
      <c r="E1312" s="208">
        <v>45413</v>
      </c>
      <c r="G1312" t="s">
        <v>6944</v>
      </c>
    </row>
    <row r="1313" spans="1:7">
      <c r="A1313" t="s">
        <v>7353</v>
      </c>
      <c r="B1313" t="s">
        <v>7354</v>
      </c>
      <c r="C1313" t="s">
        <v>4771</v>
      </c>
      <c r="D1313">
        <v>90.75</v>
      </c>
      <c r="E1313" s="208">
        <v>45413</v>
      </c>
      <c r="G1313" t="s">
        <v>6944</v>
      </c>
    </row>
    <row r="1314" spans="1:7">
      <c r="A1314" t="s">
        <v>7355</v>
      </c>
      <c r="B1314" t="s">
        <v>7356</v>
      </c>
      <c r="C1314" t="s">
        <v>4771</v>
      </c>
      <c r="D1314">
        <v>98.35</v>
      </c>
      <c r="E1314" s="208">
        <v>45413</v>
      </c>
      <c r="G1314" t="s">
        <v>6944</v>
      </c>
    </row>
    <row r="1315" spans="1:7">
      <c r="A1315" t="s">
        <v>7357</v>
      </c>
      <c r="B1315" t="s">
        <v>7358</v>
      </c>
      <c r="C1315" t="s">
        <v>4771</v>
      </c>
      <c r="D1315">
        <v>80.8</v>
      </c>
      <c r="E1315" s="208">
        <v>45413</v>
      </c>
      <c r="G1315" t="s">
        <v>6944</v>
      </c>
    </row>
    <row r="1316" spans="1:7">
      <c r="A1316" t="s">
        <v>7359</v>
      </c>
      <c r="B1316" t="s">
        <v>7360</v>
      </c>
      <c r="C1316" t="s">
        <v>4771</v>
      </c>
      <c r="D1316">
        <v>56.8</v>
      </c>
      <c r="E1316" s="208">
        <v>45413</v>
      </c>
      <c r="G1316" t="s">
        <v>6944</v>
      </c>
    </row>
    <row r="1317" spans="1:7">
      <c r="A1317" t="s">
        <v>7361</v>
      </c>
      <c r="B1317" t="s">
        <v>7362</v>
      </c>
      <c r="C1317" t="s">
        <v>4771</v>
      </c>
      <c r="D1317">
        <v>81.400000000000006</v>
      </c>
      <c r="E1317" s="208">
        <v>45413</v>
      </c>
      <c r="G1317" t="s">
        <v>6944</v>
      </c>
    </row>
    <row r="1318" spans="1:7">
      <c r="A1318" t="s">
        <v>7363</v>
      </c>
      <c r="B1318" t="s">
        <v>7364</v>
      </c>
      <c r="C1318" t="s">
        <v>4771</v>
      </c>
      <c r="D1318">
        <v>76.05</v>
      </c>
      <c r="E1318" s="208">
        <v>45413</v>
      </c>
      <c r="G1318" t="s">
        <v>6944</v>
      </c>
    </row>
    <row r="1319" spans="1:7">
      <c r="A1319" t="s">
        <v>7365</v>
      </c>
      <c r="B1319" t="s">
        <v>7366</v>
      </c>
      <c r="C1319" t="s">
        <v>4771</v>
      </c>
      <c r="D1319">
        <v>112.85</v>
      </c>
      <c r="E1319" s="208">
        <v>45413</v>
      </c>
      <c r="G1319" t="s">
        <v>6944</v>
      </c>
    </row>
    <row r="1320" spans="1:7">
      <c r="A1320" t="s">
        <v>7367</v>
      </c>
      <c r="B1320" t="s">
        <v>7368</v>
      </c>
      <c r="C1320" t="s">
        <v>4771</v>
      </c>
      <c r="D1320">
        <v>42.15</v>
      </c>
      <c r="E1320" s="208">
        <v>45413</v>
      </c>
      <c r="G1320" t="s">
        <v>6944</v>
      </c>
    </row>
    <row r="1321" spans="1:7">
      <c r="A1321" t="s">
        <v>7369</v>
      </c>
      <c r="B1321" t="s">
        <v>7370</v>
      </c>
      <c r="C1321" t="s">
        <v>4771</v>
      </c>
      <c r="D1321">
        <v>97.7</v>
      </c>
      <c r="E1321" s="208">
        <v>45413</v>
      </c>
      <c r="G1321" t="s">
        <v>6944</v>
      </c>
    </row>
    <row r="1322" spans="1:7">
      <c r="A1322" t="s">
        <v>7371</v>
      </c>
      <c r="B1322" t="s">
        <v>7372</v>
      </c>
      <c r="C1322" t="s">
        <v>4845</v>
      </c>
      <c r="D1322">
        <v>329.1</v>
      </c>
      <c r="E1322" s="208">
        <v>45413</v>
      </c>
      <c r="G1322" t="s">
        <v>6944</v>
      </c>
    </row>
    <row r="1323" spans="1:7">
      <c r="A1323" t="s">
        <v>7373</v>
      </c>
      <c r="B1323" t="s">
        <v>7374</v>
      </c>
      <c r="C1323" t="s">
        <v>4845</v>
      </c>
      <c r="D1323">
        <v>511.85</v>
      </c>
      <c r="E1323" s="208">
        <v>45413</v>
      </c>
      <c r="G1323" t="s">
        <v>6944</v>
      </c>
    </row>
    <row r="1324" spans="1:7">
      <c r="A1324" t="s">
        <v>7375</v>
      </c>
      <c r="B1324" t="s">
        <v>7376</v>
      </c>
      <c r="C1324" t="s">
        <v>4895</v>
      </c>
      <c r="D1324">
        <v>115</v>
      </c>
      <c r="E1324" s="208">
        <v>45413</v>
      </c>
      <c r="G1324" t="s">
        <v>6944</v>
      </c>
    </row>
    <row r="1325" spans="1:7">
      <c r="A1325" t="s">
        <v>7377</v>
      </c>
      <c r="B1325" t="s">
        <v>5229</v>
      </c>
      <c r="C1325" t="s">
        <v>4845</v>
      </c>
      <c r="D1325">
        <v>15.5</v>
      </c>
      <c r="E1325" s="208">
        <v>45413</v>
      </c>
      <c r="G1325" t="s">
        <v>6944</v>
      </c>
    </row>
    <row r="1326" spans="1:7">
      <c r="A1326" t="s">
        <v>7378</v>
      </c>
      <c r="B1326" t="s">
        <v>7379</v>
      </c>
      <c r="C1326" t="s">
        <v>6331</v>
      </c>
      <c r="D1326">
        <v>446.4</v>
      </c>
      <c r="E1326" s="208">
        <v>45413</v>
      </c>
      <c r="G1326" t="s">
        <v>6944</v>
      </c>
    </row>
    <row r="1327" spans="1:7">
      <c r="A1327" t="s">
        <v>7380</v>
      </c>
      <c r="B1327" t="s">
        <v>7381</v>
      </c>
      <c r="C1327" t="s">
        <v>6331</v>
      </c>
      <c r="D1327">
        <v>270.75</v>
      </c>
      <c r="E1327" s="208">
        <v>45413</v>
      </c>
      <c r="G1327" t="s">
        <v>6944</v>
      </c>
    </row>
    <row r="1328" spans="1:7">
      <c r="A1328" t="s">
        <v>7382</v>
      </c>
      <c r="B1328" t="s">
        <v>7383</v>
      </c>
      <c r="C1328" t="s">
        <v>6331</v>
      </c>
      <c r="D1328">
        <v>307.14999999999998</v>
      </c>
      <c r="E1328" s="208">
        <v>45413</v>
      </c>
      <c r="G1328" t="s">
        <v>6944</v>
      </c>
    </row>
    <row r="1329" spans="1:7">
      <c r="A1329" t="s">
        <v>7384</v>
      </c>
      <c r="B1329" t="s">
        <v>7385</v>
      </c>
      <c r="C1329" t="s">
        <v>6331</v>
      </c>
      <c r="D1329">
        <v>440.2</v>
      </c>
      <c r="E1329" s="208">
        <v>45413</v>
      </c>
      <c r="G1329" t="s">
        <v>6944</v>
      </c>
    </row>
    <row r="1330" spans="1:7">
      <c r="A1330" t="s">
        <v>7386</v>
      </c>
      <c r="B1330" t="s">
        <v>7387</v>
      </c>
      <c r="C1330" t="s">
        <v>5551</v>
      </c>
      <c r="D1330">
        <v>1066.6500000000001</v>
      </c>
      <c r="E1330" s="208">
        <v>45413</v>
      </c>
      <c r="G1330" t="s">
        <v>6944</v>
      </c>
    </row>
    <row r="1331" spans="1:7">
      <c r="A1331" t="s">
        <v>7388</v>
      </c>
      <c r="B1331" t="s">
        <v>7389</v>
      </c>
      <c r="C1331" t="s">
        <v>4771</v>
      </c>
      <c r="D1331">
        <v>133.05000000000001</v>
      </c>
      <c r="E1331" s="208">
        <v>45413</v>
      </c>
      <c r="G1331" t="s">
        <v>6944</v>
      </c>
    </row>
    <row r="1332" spans="1:7">
      <c r="A1332" t="s">
        <v>7390</v>
      </c>
      <c r="B1332" t="s">
        <v>7391</v>
      </c>
      <c r="C1332" t="s">
        <v>4771</v>
      </c>
      <c r="D1332">
        <v>126.1</v>
      </c>
      <c r="E1332" s="208">
        <v>45413</v>
      </c>
      <c r="G1332" t="s">
        <v>6944</v>
      </c>
    </row>
    <row r="1333" spans="1:7">
      <c r="A1333" t="s">
        <v>7392</v>
      </c>
      <c r="B1333" t="s">
        <v>7393</v>
      </c>
      <c r="C1333" t="s">
        <v>4771</v>
      </c>
      <c r="D1333">
        <v>126.2</v>
      </c>
      <c r="E1333" s="208">
        <v>45413</v>
      </c>
      <c r="G1333" t="s">
        <v>6944</v>
      </c>
    </row>
    <row r="1334" spans="1:7">
      <c r="A1334" t="s">
        <v>7394</v>
      </c>
      <c r="B1334" t="s">
        <v>7395</v>
      </c>
      <c r="C1334" t="s">
        <v>4771</v>
      </c>
      <c r="D1334">
        <v>140.5</v>
      </c>
      <c r="E1334" s="208">
        <v>45413</v>
      </c>
      <c r="G1334" t="s">
        <v>6944</v>
      </c>
    </row>
    <row r="1335" spans="1:7">
      <c r="A1335" t="s">
        <v>7396</v>
      </c>
      <c r="B1335" t="s">
        <v>7397</v>
      </c>
      <c r="C1335" t="s">
        <v>4771</v>
      </c>
      <c r="D1335">
        <v>137.25</v>
      </c>
      <c r="E1335" s="208">
        <v>45413</v>
      </c>
      <c r="G1335" t="s">
        <v>6944</v>
      </c>
    </row>
    <row r="1336" spans="1:7">
      <c r="A1336" t="s">
        <v>7398</v>
      </c>
      <c r="B1336" t="s">
        <v>7399</v>
      </c>
      <c r="C1336" t="s">
        <v>4771</v>
      </c>
      <c r="D1336">
        <v>132.30000000000001</v>
      </c>
      <c r="E1336" s="208">
        <v>45413</v>
      </c>
      <c r="G1336" t="s">
        <v>6944</v>
      </c>
    </row>
    <row r="1337" spans="1:7">
      <c r="A1337" t="s">
        <v>7400</v>
      </c>
      <c r="B1337" t="s">
        <v>7401</v>
      </c>
      <c r="C1337" t="s">
        <v>4771</v>
      </c>
      <c r="D1337">
        <v>220.4</v>
      </c>
      <c r="E1337" s="208">
        <v>45413</v>
      </c>
      <c r="G1337" t="s">
        <v>6944</v>
      </c>
    </row>
    <row r="1338" spans="1:7">
      <c r="A1338" t="s">
        <v>7402</v>
      </c>
      <c r="B1338" t="s">
        <v>7403</v>
      </c>
      <c r="C1338" t="s">
        <v>4771</v>
      </c>
      <c r="D1338">
        <v>148.6</v>
      </c>
      <c r="E1338" s="208">
        <v>45413</v>
      </c>
      <c r="G1338" t="s">
        <v>6944</v>
      </c>
    </row>
    <row r="1339" spans="1:7">
      <c r="A1339" t="s">
        <v>7404</v>
      </c>
      <c r="B1339" t="s">
        <v>5129</v>
      </c>
      <c r="C1339" t="s">
        <v>4838</v>
      </c>
      <c r="D1339">
        <v>9.5</v>
      </c>
      <c r="E1339" s="208">
        <v>45413</v>
      </c>
      <c r="G1339" t="s">
        <v>6944</v>
      </c>
    </row>
    <row r="1340" spans="1:7">
      <c r="A1340" t="s">
        <v>7405</v>
      </c>
      <c r="B1340" t="s">
        <v>7406</v>
      </c>
      <c r="C1340" t="s">
        <v>4838</v>
      </c>
      <c r="D1340">
        <v>19.100000000000001</v>
      </c>
      <c r="E1340" s="208">
        <v>45413</v>
      </c>
      <c r="G1340" t="s">
        <v>6944</v>
      </c>
    </row>
    <row r="1341" spans="1:7">
      <c r="A1341" t="s">
        <v>7407</v>
      </c>
      <c r="B1341" t="s">
        <v>7408</v>
      </c>
      <c r="C1341" t="s">
        <v>4895</v>
      </c>
      <c r="D1341">
        <v>315.45</v>
      </c>
      <c r="E1341" s="208">
        <v>45413</v>
      </c>
      <c r="G1341" t="s">
        <v>6944</v>
      </c>
    </row>
    <row r="1342" spans="1:7">
      <c r="A1342" t="s">
        <v>7409</v>
      </c>
      <c r="B1342" t="s">
        <v>7410</v>
      </c>
      <c r="C1342" t="s">
        <v>4845</v>
      </c>
      <c r="D1342">
        <v>29.33</v>
      </c>
      <c r="E1342" s="208">
        <v>45413</v>
      </c>
      <c r="G1342" t="s">
        <v>6944</v>
      </c>
    </row>
    <row r="1343" spans="1:7">
      <c r="A1343" t="s">
        <v>7411</v>
      </c>
      <c r="B1343" t="s">
        <v>7412</v>
      </c>
      <c r="C1343" t="s">
        <v>5344</v>
      </c>
      <c r="D1343">
        <v>29.33</v>
      </c>
      <c r="E1343" s="208">
        <v>45413</v>
      </c>
      <c r="G1343" t="s">
        <v>6944</v>
      </c>
    </row>
    <row r="1344" spans="1:7">
      <c r="A1344" t="s">
        <v>7413</v>
      </c>
      <c r="B1344" t="s">
        <v>7414</v>
      </c>
      <c r="C1344" t="s">
        <v>4845</v>
      </c>
      <c r="D1344">
        <v>193.3</v>
      </c>
      <c r="E1344" s="208">
        <v>45413</v>
      </c>
      <c r="G1344" t="s">
        <v>6944</v>
      </c>
    </row>
    <row r="1345" spans="1:7">
      <c r="A1345" t="s">
        <v>7415</v>
      </c>
      <c r="B1345" t="s">
        <v>7416</v>
      </c>
      <c r="C1345" t="s">
        <v>4771</v>
      </c>
      <c r="D1345">
        <v>439.55</v>
      </c>
      <c r="E1345" s="208">
        <v>45413</v>
      </c>
      <c r="G1345" t="s">
        <v>6944</v>
      </c>
    </row>
    <row r="1346" spans="1:7">
      <c r="A1346" t="s">
        <v>7417</v>
      </c>
      <c r="B1346" t="s">
        <v>7418</v>
      </c>
      <c r="C1346" t="s">
        <v>4845</v>
      </c>
      <c r="D1346">
        <v>379.1</v>
      </c>
      <c r="E1346" s="208">
        <v>45413</v>
      </c>
      <c r="G1346" t="s">
        <v>6944</v>
      </c>
    </row>
    <row r="1347" spans="1:7">
      <c r="A1347" t="s">
        <v>7419</v>
      </c>
      <c r="B1347" t="s">
        <v>7420</v>
      </c>
      <c r="C1347" t="s">
        <v>4845</v>
      </c>
      <c r="D1347">
        <v>7.3</v>
      </c>
      <c r="E1347" s="208">
        <v>45413</v>
      </c>
      <c r="G1347" t="s">
        <v>6944</v>
      </c>
    </row>
    <row r="1348" spans="1:7">
      <c r="A1348" t="s">
        <v>7421</v>
      </c>
      <c r="B1348" t="s">
        <v>7422</v>
      </c>
      <c r="C1348" t="s">
        <v>4845</v>
      </c>
      <c r="D1348">
        <v>30.48</v>
      </c>
      <c r="E1348" s="208">
        <v>45413</v>
      </c>
      <c r="G1348" t="s">
        <v>6944</v>
      </c>
    </row>
    <row r="1349" spans="1:7">
      <c r="A1349" t="s">
        <v>7423</v>
      </c>
      <c r="B1349" t="s">
        <v>7424</v>
      </c>
      <c r="C1349" t="s">
        <v>4845</v>
      </c>
      <c r="D1349">
        <v>31.75</v>
      </c>
      <c r="E1349" s="208">
        <v>45413</v>
      </c>
      <c r="G1349" t="s">
        <v>6944</v>
      </c>
    </row>
    <row r="1350" spans="1:7">
      <c r="A1350" t="s">
        <v>7425</v>
      </c>
      <c r="B1350" t="s">
        <v>7426</v>
      </c>
      <c r="C1350" t="s">
        <v>4845</v>
      </c>
      <c r="D1350">
        <v>31.75</v>
      </c>
      <c r="E1350" s="208">
        <v>45413</v>
      </c>
      <c r="G1350" t="s">
        <v>6944</v>
      </c>
    </row>
    <row r="1351" spans="1:7">
      <c r="A1351" t="s">
        <v>7427</v>
      </c>
      <c r="B1351" t="s">
        <v>7428</v>
      </c>
      <c r="C1351" t="s">
        <v>4845</v>
      </c>
      <c r="D1351">
        <v>39.369999999999997</v>
      </c>
      <c r="E1351" s="208">
        <v>45413</v>
      </c>
      <c r="G1351" t="s">
        <v>6944</v>
      </c>
    </row>
    <row r="1352" spans="1:7">
      <c r="A1352" t="s">
        <v>7429</v>
      </c>
      <c r="B1352" t="s">
        <v>7430</v>
      </c>
      <c r="C1352" t="s">
        <v>4845</v>
      </c>
      <c r="D1352">
        <v>31.75</v>
      </c>
      <c r="E1352" s="208">
        <v>45413</v>
      </c>
      <c r="G1352" t="s">
        <v>6944</v>
      </c>
    </row>
    <row r="1353" spans="1:7">
      <c r="A1353" t="s">
        <v>7431</v>
      </c>
      <c r="B1353" t="s">
        <v>7432</v>
      </c>
      <c r="C1353" t="s">
        <v>4845</v>
      </c>
      <c r="D1353">
        <v>54.55</v>
      </c>
      <c r="E1353" s="208">
        <v>45413</v>
      </c>
      <c r="G1353" t="s">
        <v>6944</v>
      </c>
    </row>
    <row r="1354" spans="1:7">
      <c r="A1354" t="s">
        <v>7433</v>
      </c>
      <c r="B1354" t="s">
        <v>7434</v>
      </c>
      <c r="C1354" t="s">
        <v>4845</v>
      </c>
      <c r="D1354">
        <v>475.93</v>
      </c>
      <c r="E1354" s="208">
        <v>45413</v>
      </c>
      <c r="G1354" t="s">
        <v>6944</v>
      </c>
    </row>
    <row r="1355" spans="1:7">
      <c r="A1355" t="s">
        <v>7435</v>
      </c>
      <c r="B1355" t="s">
        <v>7436</v>
      </c>
      <c r="C1355" t="s">
        <v>4845</v>
      </c>
      <c r="D1355">
        <v>577.75</v>
      </c>
      <c r="E1355" s="208">
        <v>45413</v>
      </c>
      <c r="G1355" t="s">
        <v>6944</v>
      </c>
    </row>
    <row r="1356" spans="1:7">
      <c r="A1356" t="s">
        <v>7437</v>
      </c>
      <c r="B1356" t="s">
        <v>7438</v>
      </c>
      <c r="C1356" t="s">
        <v>4845</v>
      </c>
      <c r="D1356">
        <v>25.3</v>
      </c>
      <c r="E1356" s="208">
        <v>45413</v>
      </c>
      <c r="G1356" t="s">
        <v>6944</v>
      </c>
    </row>
    <row r="1357" spans="1:7">
      <c r="A1357" t="s">
        <v>7439</v>
      </c>
      <c r="B1357" t="s">
        <v>7440</v>
      </c>
      <c r="C1357" t="s">
        <v>4845</v>
      </c>
      <c r="D1357">
        <v>31.65</v>
      </c>
      <c r="E1357" s="208">
        <v>45413</v>
      </c>
      <c r="G1357" t="s">
        <v>6944</v>
      </c>
    </row>
    <row r="1358" spans="1:7">
      <c r="A1358" t="s">
        <v>7441</v>
      </c>
      <c r="B1358" t="s">
        <v>7442</v>
      </c>
      <c r="C1358" t="s">
        <v>4845</v>
      </c>
      <c r="D1358">
        <v>47.45</v>
      </c>
      <c r="E1358" s="208">
        <v>45413</v>
      </c>
      <c r="G1358" t="s">
        <v>6944</v>
      </c>
    </row>
    <row r="1359" spans="1:7">
      <c r="A1359" t="s">
        <v>7443</v>
      </c>
      <c r="B1359" t="s">
        <v>7444</v>
      </c>
      <c r="C1359" t="s">
        <v>4845</v>
      </c>
      <c r="D1359">
        <v>65.25</v>
      </c>
      <c r="E1359" s="208">
        <v>45413</v>
      </c>
      <c r="G1359" t="s">
        <v>6944</v>
      </c>
    </row>
    <row r="1360" spans="1:7">
      <c r="A1360" t="s">
        <v>7445</v>
      </c>
      <c r="B1360" t="s">
        <v>7446</v>
      </c>
      <c r="C1360" t="s">
        <v>4845</v>
      </c>
      <c r="D1360">
        <v>42.25</v>
      </c>
      <c r="E1360" s="208">
        <v>45413</v>
      </c>
      <c r="G1360" t="s">
        <v>6944</v>
      </c>
    </row>
    <row r="1361" spans="1:7">
      <c r="A1361" t="s">
        <v>7447</v>
      </c>
      <c r="B1361" t="s">
        <v>7448</v>
      </c>
      <c r="C1361" t="s">
        <v>4845</v>
      </c>
      <c r="D1361">
        <v>51.15</v>
      </c>
      <c r="E1361" s="208">
        <v>45413</v>
      </c>
      <c r="G1361" t="s">
        <v>6944</v>
      </c>
    </row>
    <row r="1362" spans="1:7">
      <c r="A1362" t="s">
        <v>7449</v>
      </c>
      <c r="B1362" t="s">
        <v>7450</v>
      </c>
      <c r="C1362" t="s">
        <v>4845</v>
      </c>
      <c r="D1362">
        <v>28.75</v>
      </c>
      <c r="E1362" s="208">
        <v>45413</v>
      </c>
      <c r="G1362" t="s">
        <v>6944</v>
      </c>
    </row>
    <row r="1363" spans="1:7">
      <c r="A1363" t="s">
        <v>7451</v>
      </c>
      <c r="B1363" t="s">
        <v>7452</v>
      </c>
      <c r="C1363" t="s">
        <v>4845</v>
      </c>
      <c r="D1363">
        <v>60.1</v>
      </c>
      <c r="E1363" s="208">
        <v>45413</v>
      </c>
      <c r="G1363" t="s">
        <v>6944</v>
      </c>
    </row>
    <row r="1364" spans="1:7">
      <c r="A1364" t="s">
        <v>7453</v>
      </c>
      <c r="B1364" t="s">
        <v>7454</v>
      </c>
      <c r="C1364" t="s">
        <v>4845</v>
      </c>
      <c r="D1364">
        <v>34.1</v>
      </c>
      <c r="E1364" s="208">
        <v>45413</v>
      </c>
      <c r="G1364" t="s">
        <v>6944</v>
      </c>
    </row>
    <row r="1365" spans="1:7">
      <c r="A1365" t="s">
        <v>7455</v>
      </c>
      <c r="B1365" t="s">
        <v>7456</v>
      </c>
      <c r="C1365" t="s">
        <v>4845</v>
      </c>
      <c r="D1365">
        <v>10.8</v>
      </c>
      <c r="E1365" s="208">
        <v>45413</v>
      </c>
      <c r="G1365" t="s">
        <v>6944</v>
      </c>
    </row>
    <row r="1366" spans="1:7">
      <c r="A1366" t="s">
        <v>7457</v>
      </c>
      <c r="B1366" t="s">
        <v>7458</v>
      </c>
      <c r="C1366" t="s">
        <v>4845</v>
      </c>
      <c r="D1366">
        <v>106</v>
      </c>
      <c r="E1366" s="208">
        <v>45413</v>
      </c>
      <c r="G1366" t="s">
        <v>6944</v>
      </c>
    </row>
    <row r="1367" spans="1:7">
      <c r="A1367" t="s">
        <v>7459</v>
      </c>
      <c r="B1367" t="s">
        <v>7460</v>
      </c>
      <c r="C1367" t="s">
        <v>4845</v>
      </c>
      <c r="D1367">
        <v>434.07</v>
      </c>
      <c r="E1367" s="208">
        <v>45413</v>
      </c>
      <c r="G1367" t="s">
        <v>6944</v>
      </c>
    </row>
    <row r="1368" spans="1:7">
      <c r="A1368" t="s">
        <v>7461</v>
      </c>
      <c r="B1368" t="s">
        <v>7462</v>
      </c>
      <c r="C1368" t="s">
        <v>4845</v>
      </c>
      <c r="D1368">
        <v>106</v>
      </c>
      <c r="E1368" s="208">
        <v>45413</v>
      </c>
      <c r="G1368" t="s">
        <v>6944</v>
      </c>
    </row>
    <row r="1369" spans="1:7">
      <c r="A1369" t="s">
        <v>7463</v>
      </c>
      <c r="B1369" t="s">
        <v>7464</v>
      </c>
      <c r="C1369" t="s">
        <v>4845</v>
      </c>
      <c r="D1369">
        <v>463.75</v>
      </c>
      <c r="E1369" s="208">
        <v>45413</v>
      </c>
      <c r="G1369" t="s">
        <v>6944</v>
      </c>
    </row>
    <row r="1370" spans="1:7">
      <c r="A1370" t="s">
        <v>7465</v>
      </c>
      <c r="B1370" t="s">
        <v>7466</v>
      </c>
      <c r="C1370" t="s">
        <v>4845</v>
      </c>
      <c r="D1370">
        <v>106</v>
      </c>
      <c r="E1370" s="208">
        <v>45413</v>
      </c>
      <c r="G1370" t="s">
        <v>6944</v>
      </c>
    </row>
    <row r="1371" spans="1:7">
      <c r="A1371" t="s">
        <v>7467</v>
      </c>
      <c r="B1371" t="s">
        <v>7468</v>
      </c>
      <c r="C1371" t="s">
        <v>4845</v>
      </c>
      <c r="D1371">
        <v>505.09</v>
      </c>
      <c r="E1371" s="208">
        <v>45413</v>
      </c>
      <c r="G1371" t="s">
        <v>6944</v>
      </c>
    </row>
    <row r="1372" spans="1:7">
      <c r="A1372" t="s">
        <v>7469</v>
      </c>
      <c r="B1372" t="s">
        <v>7470</v>
      </c>
      <c r="C1372" t="s">
        <v>4845</v>
      </c>
      <c r="D1372">
        <v>106</v>
      </c>
      <c r="E1372" s="208">
        <v>45413</v>
      </c>
      <c r="G1372" t="s">
        <v>6944</v>
      </c>
    </row>
    <row r="1373" spans="1:7">
      <c r="A1373" t="s">
        <v>7471</v>
      </c>
      <c r="B1373" t="s">
        <v>7472</v>
      </c>
      <c r="C1373" t="s">
        <v>4845</v>
      </c>
      <c r="D1373">
        <v>505.09</v>
      </c>
      <c r="E1373" s="208">
        <v>45413</v>
      </c>
      <c r="G1373" t="s">
        <v>6944</v>
      </c>
    </row>
    <row r="1374" spans="1:7">
      <c r="A1374" t="s">
        <v>7473</v>
      </c>
      <c r="B1374" t="s">
        <v>7474</v>
      </c>
      <c r="C1374" t="s">
        <v>4895</v>
      </c>
      <c r="D1374">
        <v>52.47</v>
      </c>
      <c r="E1374" s="208">
        <v>45413</v>
      </c>
      <c r="G1374" t="s">
        <v>6944</v>
      </c>
    </row>
    <row r="1375" spans="1:7">
      <c r="A1375" t="s">
        <v>7475</v>
      </c>
      <c r="B1375" t="s">
        <v>7476</v>
      </c>
      <c r="C1375" t="s">
        <v>4845</v>
      </c>
      <c r="D1375">
        <v>314.60000000000002</v>
      </c>
      <c r="E1375" s="208">
        <v>45413</v>
      </c>
      <c r="G1375" t="s">
        <v>6944</v>
      </c>
    </row>
    <row r="1376" spans="1:7">
      <c r="A1376" t="s">
        <v>7477</v>
      </c>
      <c r="B1376" t="s">
        <v>7478</v>
      </c>
      <c r="C1376" t="s">
        <v>4845</v>
      </c>
      <c r="D1376">
        <v>314.60000000000002</v>
      </c>
      <c r="E1376" s="208">
        <v>45413</v>
      </c>
      <c r="G1376" t="s">
        <v>6944</v>
      </c>
    </row>
    <row r="1377" spans="1:7">
      <c r="A1377" t="s">
        <v>7479</v>
      </c>
      <c r="B1377" t="s">
        <v>7480</v>
      </c>
      <c r="C1377" t="s">
        <v>4845</v>
      </c>
      <c r="D1377">
        <v>314.60000000000002</v>
      </c>
      <c r="E1377" s="208">
        <v>45413</v>
      </c>
      <c r="G1377" t="s">
        <v>6944</v>
      </c>
    </row>
    <row r="1378" spans="1:7">
      <c r="A1378" t="s">
        <v>7481</v>
      </c>
      <c r="B1378" t="s">
        <v>7482</v>
      </c>
      <c r="C1378" t="s">
        <v>4845</v>
      </c>
      <c r="D1378">
        <v>314.60000000000002</v>
      </c>
      <c r="E1378" s="208">
        <v>45413</v>
      </c>
      <c r="G1378" t="s">
        <v>6944</v>
      </c>
    </row>
    <row r="1379" spans="1:7">
      <c r="A1379" t="s">
        <v>7483</v>
      </c>
      <c r="B1379" t="s">
        <v>7484</v>
      </c>
      <c r="C1379" t="s">
        <v>4845</v>
      </c>
      <c r="D1379">
        <v>314.60000000000002</v>
      </c>
      <c r="E1379" s="208">
        <v>45413</v>
      </c>
      <c r="G1379" t="s">
        <v>6944</v>
      </c>
    </row>
    <row r="1380" spans="1:7">
      <c r="A1380" t="s">
        <v>7485</v>
      </c>
      <c r="B1380" t="s">
        <v>7486</v>
      </c>
      <c r="C1380" t="s">
        <v>4845</v>
      </c>
      <c r="D1380">
        <v>314.60000000000002</v>
      </c>
      <c r="E1380" s="208">
        <v>45413</v>
      </c>
      <c r="G1380" t="s">
        <v>6944</v>
      </c>
    </row>
    <row r="1381" spans="1:7">
      <c r="A1381" t="s">
        <v>7487</v>
      </c>
      <c r="B1381" t="s">
        <v>7488</v>
      </c>
      <c r="C1381" t="s">
        <v>4845</v>
      </c>
      <c r="D1381">
        <v>361.9</v>
      </c>
      <c r="E1381" s="208">
        <v>45413</v>
      </c>
      <c r="G1381" t="s">
        <v>6944</v>
      </c>
    </row>
    <row r="1382" spans="1:7">
      <c r="A1382" t="s">
        <v>7489</v>
      </c>
      <c r="B1382" t="s">
        <v>7490</v>
      </c>
      <c r="C1382" t="s">
        <v>4845</v>
      </c>
      <c r="D1382">
        <v>63.25</v>
      </c>
      <c r="E1382" s="208">
        <v>45413</v>
      </c>
      <c r="G1382" t="s">
        <v>6944</v>
      </c>
    </row>
    <row r="1383" spans="1:7">
      <c r="A1383" t="s">
        <v>7491</v>
      </c>
      <c r="B1383" t="s">
        <v>7492</v>
      </c>
      <c r="C1383" t="s">
        <v>4845</v>
      </c>
      <c r="D1383">
        <v>63.25</v>
      </c>
      <c r="E1383" s="208">
        <v>45413</v>
      </c>
      <c r="G1383" t="s">
        <v>6944</v>
      </c>
    </row>
    <row r="1384" spans="1:7">
      <c r="A1384" t="s">
        <v>7493</v>
      </c>
      <c r="B1384" t="s">
        <v>7494</v>
      </c>
      <c r="C1384" t="s">
        <v>4845</v>
      </c>
      <c r="D1384">
        <v>59.85</v>
      </c>
      <c r="E1384" s="208">
        <v>45413</v>
      </c>
      <c r="G1384" t="s">
        <v>6944</v>
      </c>
    </row>
    <row r="1385" spans="1:7">
      <c r="A1385" t="s">
        <v>7495</v>
      </c>
      <c r="B1385" t="s">
        <v>7496</v>
      </c>
      <c r="C1385" t="s">
        <v>4845</v>
      </c>
      <c r="D1385">
        <v>70.400000000000006</v>
      </c>
      <c r="E1385" s="208">
        <v>45413</v>
      </c>
      <c r="G1385" t="s">
        <v>6944</v>
      </c>
    </row>
    <row r="1386" spans="1:7">
      <c r="A1386" t="s">
        <v>7497</v>
      </c>
      <c r="B1386" t="s">
        <v>7498</v>
      </c>
      <c r="C1386" t="s">
        <v>4845</v>
      </c>
      <c r="D1386">
        <v>72.05</v>
      </c>
      <c r="E1386" s="208">
        <v>45413</v>
      </c>
      <c r="G1386" t="s">
        <v>6944</v>
      </c>
    </row>
    <row r="1387" spans="1:7">
      <c r="A1387" t="s">
        <v>7499</v>
      </c>
      <c r="B1387" t="s">
        <v>7500</v>
      </c>
      <c r="C1387" t="s">
        <v>4845</v>
      </c>
      <c r="D1387">
        <v>72.05</v>
      </c>
      <c r="E1387" s="208">
        <v>45413</v>
      </c>
      <c r="G1387" t="s">
        <v>6944</v>
      </c>
    </row>
    <row r="1388" spans="1:7">
      <c r="A1388" t="s">
        <v>7501</v>
      </c>
      <c r="B1388" t="s">
        <v>5250</v>
      </c>
      <c r="C1388" t="s">
        <v>4845</v>
      </c>
      <c r="D1388">
        <v>77.55</v>
      </c>
      <c r="E1388" s="208">
        <v>45413</v>
      </c>
      <c r="G1388" t="s">
        <v>6944</v>
      </c>
    </row>
    <row r="1389" spans="1:7">
      <c r="A1389" t="s">
        <v>7502</v>
      </c>
      <c r="B1389" t="s">
        <v>7503</v>
      </c>
      <c r="C1389" t="s">
        <v>4845</v>
      </c>
      <c r="D1389">
        <v>2247.3000000000002</v>
      </c>
      <c r="E1389" s="208">
        <v>45413</v>
      </c>
      <c r="G1389" t="s">
        <v>6944</v>
      </c>
    </row>
    <row r="1390" spans="1:7">
      <c r="A1390" t="s">
        <v>7504</v>
      </c>
      <c r="B1390" t="s">
        <v>7505</v>
      </c>
      <c r="C1390" t="s">
        <v>4845</v>
      </c>
      <c r="D1390">
        <v>3061.7</v>
      </c>
      <c r="E1390" s="208">
        <v>45413</v>
      </c>
      <c r="G1390" t="s">
        <v>6944</v>
      </c>
    </row>
    <row r="1391" spans="1:7">
      <c r="A1391" t="s">
        <v>7506</v>
      </c>
      <c r="B1391" t="s">
        <v>6285</v>
      </c>
      <c r="C1391" t="s">
        <v>4771</v>
      </c>
      <c r="D1391">
        <v>150</v>
      </c>
      <c r="E1391" s="208">
        <v>45413</v>
      </c>
      <c r="G1391" t="s">
        <v>6944</v>
      </c>
    </row>
    <row r="1392" spans="1:7">
      <c r="A1392" t="s">
        <v>7507</v>
      </c>
      <c r="B1392" t="s">
        <v>6403</v>
      </c>
      <c r="C1392" t="s">
        <v>4845</v>
      </c>
      <c r="D1392">
        <v>15.9</v>
      </c>
      <c r="E1392" s="208">
        <v>45413</v>
      </c>
      <c r="G1392" t="s">
        <v>6944</v>
      </c>
    </row>
    <row r="1393" spans="1:7">
      <c r="A1393" t="s">
        <v>7508</v>
      </c>
      <c r="B1393" t="s">
        <v>7509</v>
      </c>
      <c r="C1393" t="s">
        <v>4845</v>
      </c>
      <c r="D1393">
        <v>5.8</v>
      </c>
      <c r="E1393" s="208">
        <v>45413</v>
      </c>
      <c r="G1393" t="s">
        <v>6944</v>
      </c>
    </row>
    <row r="1394" spans="1:7">
      <c r="A1394" t="s">
        <v>7510</v>
      </c>
      <c r="B1394" t="s">
        <v>7511</v>
      </c>
      <c r="C1394" t="s">
        <v>4845</v>
      </c>
      <c r="D1394">
        <v>87.98</v>
      </c>
      <c r="E1394" s="208">
        <v>45413</v>
      </c>
      <c r="G1394" t="s">
        <v>6944</v>
      </c>
    </row>
    <row r="1395" spans="1:7">
      <c r="A1395" t="s">
        <v>7512</v>
      </c>
      <c r="B1395" t="s">
        <v>7513</v>
      </c>
      <c r="C1395" t="s">
        <v>4845</v>
      </c>
      <c r="D1395">
        <v>38.159999999999997</v>
      </c>
      <c r="E1395" s="208">
        <v>45413</v>
      </c>
      <c r="G1395" t="s">
        <v>6944</v>
      </c>
    </row>
    <row r="1396" spans="1:7">
      <c r="A1396" t="s">
        <v>7514</v>
      </c>
      <c r="B1396" t="s">
        <v>7515</v>
      </c>
      <c r="C1396" t="s">
        <v>4845</v>
      </c>
      <c r="D1396">
        <v>81.62</v>
      </c>
      <c r="E1396" s="208">
        <v>45413</v>
      </c>
      <c r="G1396" t="s">
        <v>6944</v>
      </c>
    </row>
    <row r="1397" spans="1:7">
      <c r="A1397" t="s">
        <v>7516</v>
      </c>
      <c r="B1397" t="s">
        <v>7517</v>
      </c>
      <c r="C1397" t="s">
        <v>4845</v>
      </c>
      <c r="D1397">
        <v>45.72</v>
      </c>
      <c r="E1397" s="208">
        <v>45413</v>
      </c>
      <c r="G1397" t="s">
        <v>6944</v>
      </c>
    </row>
    <row r="1398" spans="1:7">
      <c r="A1398" t="s">
        <v>7518</v>
      </c>
      <c r="B1398" t="s">
        <v>7519</v>
      </c>
      <c r="C1398" t="s">
        <v>4845</v>
      </c>
      <c r="D1398">
        <v>30.48</v>
      </c>
      <c r="E1398" s="208">
        <v>45413</v>
      </c>
      <c r="G1398" t="s">
        <v>6944</v>
      </c>
    </row>
    <row r="1399" spans="1:7">
      <c r="A1399" t="s">
        <v>7520</v>
      </c>
      <c r="B1399" t="s">
        <v>7521</v>
      </c>
      <c r="C1399" t="s">
        <v>4845</v>
      </c>
      <c r="D1399">
        <v>87.45</v>
      </c>
      <c r="E1399" s="208">
        <v>45413</v>
      </c>
      <c r="G1399" t="s">
        <v>6944</v>
      </c>
    </row>
    <row r="1400" spans="1:7">
      <c r="A1400" t="s">
        <v>7522</v>
      </c>
      <c r="B1400" t="s">
        <v>7523</v>
      </c>
      <c r="C1400" t="s">
        <v>4845</v>
      </c>
      <c r="D1400">
        <v>89.65</v>
      </c>
      <c r="E1400" s="208">
        <v>45413</v>
      </c>
      <c r="G1400" t="s">
        <v>6944</v>
      </c>
    </row>
    <row r="1401" spans="1:7">
      <c r="A1401" t="s">
        <v>7524</v>
      </c>
      <c r="B1401" t="s">
        <v>7525</v>
      </c>
      <c r="C1401" t="s">
        <v>4845</v>
      </c>
      <c r="D1401">
        <v>42.41</v>
      </c>
      <c r="E1401" s="208">
        <v>45413</v>
      </c>
      <c r="G1401" t="s">
        <v>6944</v>
      </c>
    </row>
    <row r="1402" spans="1:7">
      <c r="A1402" t="s">
        <v>7526</v>
      </c>
      <c r="B1402" t="s">
        <v>7527</v>
      </c>
      <c r="C1402" t="s">
        <v>4845</v>
      </c>
      <c r="D1402">
        <v>79</v>
      </c>
      <c r="E1402" s="208">
        <v>45413</v>
      </c>
      <c r="G1402" t="s">
        <v>6944</v>
      </c>
    </row>
    <row r="1403" spans="1:7">
      <c r="A1403" t="s">
        <v>7528</v>
      </c>
      <c r="B1403" t="s">
        <v>7529</v>
      </c>
      <c r="C1403" t="s">
        <v>4845</v>
      </c>
      <c r="D1403">
        <v>185</v>
      </c>
      <c r="E1403" s="208">
        <v>45413</v>
      </c>
      <c r="G1403" t="s">
        <v>6944</v>
      </c>
    </row>
    <row r="1404" spans="1:7">
      <c r="A1404" t="s">
        <v>7530</v>
      </c>
      <c r="B1404" t="s">
        <v>7531</v>
      </c>
      <c r="C1404" t="s">
        <v>4845</v>
      </c>
      <c r="D1404">
        <v>2.15</v>
      </c>
      <c r="E1404" s="208">
        <v>45413</v>
      </c>
      <c r="G1404" t="s">
        <v>6944</v>
      </c>
    </row>
    <row r="1405" spans="1:7">
      <c r="A1405" t="s">
        <v>7532</v>
      </c>
      <c r="B1405" t="s">
        <v>7533</v>
      </c>
      <c r="C1405" t="s">
        <v>4845</v>
      </c>
      <c r="D1405">
        <v>40.15</v>
      </c>
      <c r="E1405" s="208">
        <v>45413</v>
      </c>
      <c r="G1405" t="s">
        <v>6944</v>
      </c>
    </row>
    <row r="1406" spans="1:7">
      <c r="A1406" t="s">
        <v>7534</v>
      </c>
      <c r="B1406" t="s">
        <v>7535</v>
      </c>
      <c r="C1406" t="s">
        <v>4845</v>
      </c>
      <c r="D1406">
        <v>43.45</v>
      </c>
      <c r="E1406" s="208">
        <v>45413</v>
      </c>
      <c r="G1406" t="s">
        <v>6944</v>
      </c>
    </row>
    <row r="1407" spans="1:7">
      <c r="A1407" t="s">
        <v>7536</v>
      </c>
      <c r="B1407" t="s">
        <v>7537</v>
      </c>
      <c r="C1407" t="s">
        <v>4845</v>
      </c>
      <c r="D1407">
        <v>47.85</v>
      </c>
      <c r="E1407" s="208">
        <v>45413</v>
      </c>
      <c r="G1407" t="s">
        <v>6944</v>
      </c>
    </row>
    <row r="1408" spans="1:7">
      <c r="A1408" t="s">
        <v>7538</v>
      </c>
      <c r="B1408" t="s">
        <v>7539</v>
      </c>
      <c r="C1408" t="s">
        <v>4845</v>
      </c>
      <c r="D1408">
        <v>50.05</v>
      </c>
      <c r="E1408" s="208">
        <v>45413</v>
      </c>
      <c r="G1408" t="s">
        <v>6944</v>
      </c>
    </row>
    <row r="1409" spans="1:7">
      <c r="A1409" t="s">
        <v>7540</v>
      </c>
      <c r="B1409" t="s">
        <v>7541</v>
      </c>
      <c r="C1409" t="s">
        <v>4845</v>
      </c>
      <c r="D1409">
        <v>72.05</v>
      </c>
      <c r="E1409" s="208">
        <v>45413</v>
      </c>
      <c r="G1409" t="s">
        <v>6944</v>
      </c>
    </row>
    <row r="1410" spans="1:7">
      <c r="A1410" t="s">
        <v>7542</v>
      </c>
      <c r="B1410" t="s">
        <v>7543</v>
      </c>
      <c r="C1410" t="s">
        <v>4845</v>
      </c>
      <c r="D1410">
        <v>591.45000000000005</v>
      </c>
      <c r="E1410" s="208">
        <v>45413</v>
      </c>
      <c r="G1410" t="s">
        <v>6944</v>
      </c>
    </row>
    <row r="1411" spans="1:7">
      <c r="A1411" t="s">
        <v>7544</v>
      </c>
      <c r="B1411" t="s">
        <v>7545</v>
      </c>
      <c r="C1411" t="s">
        <v>4845</v>
      </c>
      <c r="D1411">
        <v>4.5999999999999996</v>
      </c>
      <c r="E1411" s="208">
        <v>45413</v>
      </c>
      <c r="G1411" t="s">
        <v>6944</v>
      </c>
    </row>
    <row r="1412" spans="1:7">
      <c r="A1412" t="s">
        <v>7546</v>
      </c>
      <c r="B1412" t="s">
        <v>7547</v>
      </c>
      <c r="C1412" t="s">
        <v>4771</v>
      </c>
      <c r="D1412">
        <v>280</v>
      </c>
      <c r="E1412" s="208">
        <v>45413</v>
      </c>
      <c r="G1412" t="s">
        <v>6944</v>
      </c>
    </row>
    <row r="1413" spans="1:7">
      <c r="A1413" t="s">
        <v>7548</v>
      </c>
      <c r="B1413" t="s">
        <v>7549</v>
      </c>
      <c r="C1413" t="s">
        <v>4845</v>
      </c>
      <c r="D1413">
        <v>23.98</v>
      </c>
      <c r="E1413" s="208">
        <v>45413</v>
      </c>
      <c r="G1413" t="s">
        <v>6944</v>
      </c>
    </row>
    <row r="1414" spans="1:7">
      <c r="A1414" t="s">
        <v>7550</v>
      </c>
      <c r="B1414" t="s">
        <v>7551</v>
      </c>
      <c r="C1414" t="s">
        <v>4845</v>
      </c>
      <c r="D1414">
        <v>29.43</v>
      </c>
      <c r="E1414" s="208">
        <v>45413</v>
      </c>
      <c r="G1414" t="s">
        <v>6944</v>
      </c>
    </row>
    <row r="1415" spans="1:7">
      <c r="A1415" t="s">
        <v>7552</v>
      </c>
      <c r="B1415" t="s">
        <v>7553</v>
      </c>
      <c r="C1415" t="s">
        <v>4845</v>
      </c>
      <c r="D1415">
        <v>32.700000000000003</v>
      </c>
      <c r="E1415" s="208">
        <v>45413</v>
      </c>
      <c r="G1415" t="s">
        <v>6944</v>
      </c>
    </row>
    <row r="1416" spans="1:7">
      <c r="A1416" t="s">
        <v>7554</v>
      </c>
      <c r="B1416" t="s">
        <v>7555</v>
      </c>
      <c r="C1416" t="s">
        <v>4845</v>
      </c>
      <c r="D1416">
        <v>34.880000000000003</v>
      </c>
      <c r="E1416" s="208">
        <v>45413</v>
      </c>
      <c r="G1416" t="s">
        <v>6944</v>
      </c>
    </row>
    <row r="1417" spans="1:7">
      <c r="A1417" t="s">
        <v>7556</v>
      </c>
      <c r="B1417" t="s">
        <v>7557</v>
      </c>
      <c r="C1417" t="s">
        <v>4845</v>
      </c>
      <c r="D1417">
        <v>38.15</v>
      </c>
      <c r="E1417" s="208">
        <v>45413</v>
      </c>
      <c r="G1417" t="s">
        <v>6944</v>
      </c>
    </row>
    <row r="1418" spans="1:7">
      <c r="A1418" t="s">
        <v>7558</v>
      </c>
      <c r="B1418" t="s">
        <v>7559</v>
      </c>
      <c r="C1418" t="s">
        <v>4845</v>
      </c>
      <c r="D1418">
        <v>47.96</v>
      </c>
      <c r="E1418" s="208">
        <v>45413</v>
      </c>
      <c r="G1418" t="s">
        <v>6944</v>
      </c>
    </row>
    <row r="1419" spans="1:7">
      <c r="A1419" t="s">
        <v>7560</v>
      </c>
      <c r="B1419" t="s">
        <v>7561</v>
      </c>
      <c r="C1419" t="s">
        <v>4845</v>
      </c>
      <c r="D1419">
        <v>63.22</v>
      </c>
      <c r="E1419" s="208">
        <v>45413</v>
      </c>
      <c r="G1419" t="s">
        <v>6944</v>
      </c>
    </row>
    <row r="1420" spans="1:7">
      <c r="A1420" t="s">
        <v>7562</v>
      </c>
      <c r="B1420" t="s">
        <v>7563</v>
      </c>
      <c r="C1420" t="s">
        <v>4845</v>
      </c>
      <c r="D1420">
        <v>35.65</v>
      </c>
      <c r="E1420" s="208">
        <v>45413</v>
      </c>
      <c r="G1420" t="s">
        <v>6944</v>
      </c>
    </row>
    <row r="1421" spans="1:7">
      <c r="A1421" t="s">
        <v>7564</v>
      </c>
      <c r="B1421" t="s">
        <v>7565</v>
      </c>
      <c r="C1421" t="s">
        <v>4771</v>
      </c>
      <c r="D1421">
        <v>238.65</v>
      </c>
      <c r="E1421" s="208">
        <v>45413</v>
      </c>
      <c r="G1421" t="s">
        <v>6944</v>
      </c>
    </row>
    <row r="1422" spans="1:7">
      <c r="A1422" t="s">
        <v>7566</v>
      </c>
      <c r="B1422" t="s">
        <v>7567</v>
      </c>
      <c r="C1422" t="s">
        <v>4835</v>
      </c>
      <c r="D1422">
        <v>87.45</v>
      </c>
      <c r="E1422" s="208">
        <v>45411</v>
      </c>
      <c r="F1422" t="s">
        <v>4767</v>
      </c>
      <c r="G1422" t="s">
        <v>4768</v>
      </c>
    </row>
    <row r="1423" spans="1:7">
      <c r="A1423" t="s">
        <v>7568</v>
      </c>
      <c r="B1423" t="s">
        <v>7569</v>
      </c>
      <c r="C1423" t="s">
        <v>4766</v>
      </c>
      <c r="D1423">
        <v>1479</v>
      </c>
      <c r="E1423" s="208">
        <v>45410</v>
      </c>
      <c r="F1423" t="s">
        <v>7570</v>
      </c>
      <c r="G1423" t="s">
        <v>4768</v>
      </c>
    </row>
    <row r="1424" spans="1:7">
      <c r="A1424" t="s">
        <v>7571</v>
      </c>
      <c r="B1424" t="s">
        <v>7572</v>
      </c>
      <c r="C1424" t="s">
        <v>4766</v>
      </c>
      <c r="D1424">
        <v>39.99</v>
      </c>
      <c r="E1424" s="208">
        <v>45410</v>
      </c>
      <c r="F1424" t="s">
        <v>7570</v>
      </c>
      <c r="G1424" t="s">
        <v>4768</v>
      </c>
    </row>
    <row r="1425" spans="1:7">
      <c r="A1425" t="s">
        <v>7573</v>
      </c>
      <c r="B1425" t="s">
        <v>7574</v>
      </c>
      <c r="C1425" t="s">
        <v>4838</v>
      </c>
      <c r="D1425">
        <v>15.77</v>
      </c>
      <c r="E1425" s="208">
        <v>45408</v>
      </c>
      <c r="F1425" t="s">
        <v>4804</v>
      </c>
      <c r="G1425" t="s">
        <v>4768</v>
      </c>
    </row>
    <row r="1426" spans="1:7">
      <c r="A1426" t="s">
        <v>7575</v>
      </c>
      <c r="B1426" t="s">
        <v>7576</v>
      </c>
      <c r="C1426" t="s">
        <v>4766</v>
      </c>
      <c r="D1426">
        <v>3.21</v>
      </c>
      <c r="E1426" s="208">
        <v>45407</v>
      </c>
      <c r="F1426" t="s">
        <v>4782</v>
      </c>
      <c r="G1426" t="s">
        <v>4768</v>
      </c>
    </row>
    <row r="1427" spans="1:7">
      <c r="A1427" t="s">
        <v>7577</v>
      </c>
      <c r="B1427" t="s">
        <v>7578</v>
      </c>
      <c r="C1427" t="s">
        <v>4766</v>
      </c>
      <c r="D1427">
        <v>75.260000000000005</v>
      </c>
      <c r="E1427" s="208">
        <v>45407</v>
      </c>
      <c r="F1427" t="s">
        <v>4936</v>
      </c>
      <c r="G1427" t="s">
        <v>4768</v>
      </c>
    </row>
    <row r="1428" spans="1:7">
      <c r="A1428" t="s">
        <v>7579</v>
      </c>
      <c r="B1428" t="s">
        <v>7580</v>
      </c>
      <c r="C1428" t="s">
        <v>4766</v>
      </c>
      <c r="D1428">
        <v>1.25</v>
      </c>
      <c r="E1428" s="208">
        <v>45400</v>
      </c>
      <c r="F1428" t="s">
        <v>4782</v>
      </c>
      <c r="G1428" t="s">
        <v>4768</v>
      </c>
    </row>
    <row r="1429" spans="1:7">
      <c r="A1429" t="s">
        <v>7581</v>
      </c>
      <c r="B1429" t="s">
        <v>7582</v>
      </c>
      <c r="C1429" t="s">
        <v>5025</v>
      </c>
      <c r="D1429">
        <v>180.4</v>
      </c>
      <c r="E1429" s="208">
        <v>45400</v>
      </c>
      <c r="F1429" t="s">
        <v>4804</v>
      </c>
      <c r="G1429" t="s">
        <v>4768</v>
      </c>
    </row>
    <row r="1430" spans="1:7">
      <c r="A1430" t="s">
        <v>7583</v>
      </c>
      <c r="B1430" t="s">
        <v>7584</v>
      </c>
      <c r="C1430" t="s">
        <v>4884</v>
      </c>
      <c r="D1430">
        <v>286.75</v>
      </c>
      <c r="E1430" s="208">
        <v>45400</v>
      </c>
      <c r="F1430" t="s">
        <v>4804</v>
      </c>
      <c r="G1430" t="s">
        <v>4768</v>
      </c>
    </row>
    <row r="1431" spans="1:7">
      <c r="A1431" t="s">
        <v>7585</v>
      </c>
      <c r="B1431" t="s">
        <v>7160</v>
      </c>
      <c r="C1431" t="s">
        <v>4845</v>
      </c>
      <c r="D1431">
        <v>10</v>
      </c>
      <c r="E1431" s="208">
        <v>45398</v>
      </c>
      <c r="F1431" t="s">
        <v>4772</v>
      </c>
      <c r="G1431" t="s">
        <v>4768</v>
      </c>
    </row>
    <row r="1432" spans="1:7">
      <c r="A1432" t="s">
        <v>7586</v>
      </c>
      <c r="B1432" t="s">
        <v>7587</v>
      </c>
      <c r="C1432" t="s">
        <v>4835</v>
      </c>
      <c r="D1432">
        <v>76.45</v>
      </c>
      <c r="E1432" s="208">
        <v>45398</v>
      </c>
      <c r="F1432" t="s">
        <v>4772</v>
      </c>
      <c r="G1432" t="s">
        <v>4768</v>
      </c>
    </row>
    <row r="1433" spans="1:7">
      <c r="A1433" t="s">
        <v>7588</v>
      </c>
      <c r="B1433" t="s">
        <v>7589</v>
      </c>
      <c r="C1433" t="s">
        <v>4766</v>
      </c>
      <c r="D1433">
        <v>8</v>
      </c>
      <c r="E1433" s="208">
        <v>45393</v>
      </c>
      <c r="F1433" t="s">
        <v>7590</v>
      </c>
      <c r="G1433" t="s">
        <v>4768</v>
      </c>
    </row>
    <row r="1434" spans="1:7">
      <c r="A1434" t="s">
        <v>7591</v>
      </c>
      <c r="B1434" t="s">
        <v>7592</v>
      </c>
      <c r="C1434" t="s">
        <v>4766</v>
      </c>
      <c r="D1434">
        <v>6.5</v>
      </c>
      <c r="E1434" s="208">
        <v>45393</v>
      </c>
      <c r="F1434" t="s">
        <v>7590</v>
      </c>
      <c r="G1434" t="s">
        <v>4768</v>
      </c>
    </row>
    <row r="1435" spans="1:7">
      <c r="A1435" t="s">
        <v>7593</v>
      </c>
      <c r="B1435" t="s">
        <v>7594</v>
      </c>
      <c r="C1435" t="s">
        <v>4803</v>
      </c>
      <c r="D1435">
        <v>59.99</v>
      </c>
      <c r="E1435" s="208">
        <v>45392</v>
      </c>
      <c r="F1435" t="s">
        <v>4804</v>
      </c>
      <c r="G1435" t="s">
        <v>4768</v>
      </c>
    </row>
    <row r="1436" spans="1:7">
      <c r="A1436" t="s">
        <v>7595</v>
      </c>
      <c r="B1436" t="s">
        <v>7596</v>
      </c>
      <c r="C1436" t="s">
        <v>4835</v>
      </c>
      <c r="D1436">
        <v>87.8</v>
      </c>
      <c r="E1436" s="208">
        <v>45391</v>
      </c>
      <c r="F1436" t="s">
        <v>4804</v>
      </c>
      <c r="G1436" t="s">
        <v>4768</v>
      </c>
    </row>
    <row r="1437" spans="1:7">
      <c r="A1437" t="s">
        <v>7597</v>
      </c>
      <c r="B1437" t="s">
        <v>7598</v>
      </c>
      <c r="C1437" t="s">
        <v>4766</v>
      </c>
      <c r="D1437">
        <v>3.99</v>
      </c>
      <c r="E1437" s="208">
        <v>45386</v>
      </c>
      <c r="F1437" t="s">
        <v>4782</v>
      </c>
      <c r="G1437" t="s">
        <v>4768</v>
      </c>
    </row>
    <row r="1438" spans="1:7">
      <c r="A1438" t="s">
        <v>7599</v>
      </c>
      <c r="B1438" t="s">
        <v>7600</v>
      </c>
      <c r="C1438" t="s">
        <v>4766</v>
      </c>
      <c r="D1438">
        <v>21.99</v>
      </c>
      <c r="E1438" s="208">
        <v>45382</v>
      </c>
      <c r="F1438" t="s">
        <v>4779</v>
      </c>
      <c r="G1438" t="s">
        <v>4768</v>
      </c>
    </row>
    <row r="1439" spans="1:7">
      <c r="A1439" t="s">
        <v>7601</v>
      </c>
      <c r="B1439" t="s">
        <v>6313</v>
      </c>
      <c r="C1439" t="s">
        <v>4806</v>
      </c>
      <c r="D1439">
        <v>75.150000000000006</v>
      </c>
      <c r="E1439" s="208">
        <v>45371</v>
      </c>
      <c r="F1439" t="s">
        <v>4804</v>
      </c>
      <c r="G1439" t="s">
        <v>4768</v>
      </c>
    </row>
    <row r="1440" spans="1:7">
      <c r="A1440" t="s">
        <v>4656</v>
      </c>
      <c r="B1440" t="s">
        <v>7602</v>
      </c>
      <c r="C1440" t="s">
        <v>4806</v>
      </c>
      <c r="D1440">
        <v>43.5</v>
      </c>
      <c r="E1440" s="208">
        <v>45362</v>
      </c>
      <c r="F1440" t="s">
        <v>4804</v>
      </c>
      <c r="G1440" t="s">
        <v>4768</v>
      </c>
    </row>
    <row r="1441" spans="1:7">
      <c r="A1441" t="s">
        <v>7603</v>
      </c>
      <c r="B1441" t="s">
        <v>7604</v>
      </c>
      <c r="C1441" t="s">
        <v>4806</v>
      </c>
      <c r="D1441">
        <v>125</v>
      </c>
      <c r="E1441" s="208">
        <v>45356</v>
      </c>
      <c r="F1441" t="s">
        <v>4877</v>
      </c>
      <c r="G1441" t="s">
        <v>4768</v>
      </c>
    </row>
    <row r="1442" spans="1:7">
      <c r="A1442" t="s">
        <v>7605</v>
      </c>
      <c r="B1442" t="s">
        <v>7606</v>
      </c>
      <c r="C1442" t="s">
        <v>4766</v>
      </c>
      <c r="D1442">
        <v>18.39</v>
      </c>
      <c r="E1442" s="208">
        <v>45351</v>
      </c>
      <c r="F1442" t="s">
        <v>4782</v>
      </c>
      <c r="G1442" t="s">
        <v>4768</v>
      </c>
    </row>
    <row r="1443" spans="1:7">
      <c r="A1443" t="s">
        <v>7607</v>
      </c>
      <c r="B1443" t="s">
        <v>7608</v>
      </c>
      <c r="C1443" t="s">
        <v>6731</v>
      </c>
      <c r="D1443">
        <v>14.67</v>
      </c>
      <c r="E1443" s="208">
        <v>45341</v>
      </c>
      <c r="F1443" t="s">
        <v>4782</v>
      </c>
      <c r="G1443" t="s">
        <v>4768</v>
      </c>
    </row>
    <row r="1444" spans="1:7">
      <c r="A1444" t="s">
        <v>7609</v>
      </c>
      <c r="B1444" t="s">
        <v>7610</v>
      </c>
      <c r="C1444" t="s">
        <v>4803</v>
      </c>
      <c r="D1444">
        <v>167.7</v>
      </c>
      <c r="E1444" s="208">
        <v>45338</v>
      </c>
      <c r="F1444" t="s">
        <v>4772</v>
      </c>
      <c r="G1444" t="s">
        <v>4768</v>
      </c>
    </row>
    <row r="1445" spans="1:7">
      <c r="A1445" t="s">
        <v>7611</v>
      </c>
      <c r="B1445" t="s">
        <v>7612</v>
      </c>
      <c r="C1445" t="s">
        <v>4766</v>
      </c>
      <c r="D1445">
        <v>148</v>
      </c>
      <c r="E1445" s="208">
        <v>45336</v>
      </c>
      <c r="F1445" t="s">
        <v>4772</v>
      </c>
      <c r="G1445" t="s">
        <v>4768</v>
      </c>
    </row>
    <row r="1446" spans="1:7">
      <c r="A1446" t="s">
        <v>7613</v>
      </c>
      <c r="B1446" t="s">
        <v>7614</v>
      </c>
      <c r="C1446" t="s">
        <v>4771</v>
      </c>
      <c r="D1446">
        <v>26.5</v>
      </c>
      <c r="E1446" s="208">
        <v>45334</v>
      </c>
      <c r="F1446" t="s">
        <v>4772</v>
      </c>
      <c r="G1446" t="s">
        <v>4768</v>
      </c>
    </row>
    <row r="1447" spans="1:7">
      <c r="A1447" t="s">
        <v>7615</v>
      </c>
      <c r="B1447" t="s">
        <v>7616</v>
      </c>
      <c r="C1447" t="s">
        <v>4803</v>
      </c>
      <c r="D1447">
        <v>292.5</v>
      </c>
      <c r="E1447" s="208">
        <v>45327</v>
      </c>
      <c r="F1447" t="s">
        <v>7617</v>
      </c>
      <c r="G1447" t="s">
        <v>4768</v>
      </c>
    </row>
    <row r="1448" spans="1:7">
      <c r="A1448" t="s">
        <v>4634</v>
      </c>
      <c r="B1448" t="s">
        <v>7618</v>
      </c>
      <c r="C1448" t="s">
        <v>4806</v>
      </c>
      <c r="D1448">
        <v>25.6</v>
      </c>
      <c r="E1448" s="208">
        <v>45323</v>
      </c>
      <c r="F1448" t="s">
        <v>4804</v>
      </c>
      <c r="G1448" t="s">
        <v>4768</v>
      </c>
    </row>
    <row r="1449" spans="1:7">
      <c r="A1449" t="s">
        <v>7619</v>
      </c>
      <c r="B1449" t="s">
        <v>7620</v>
      </c>
      <c r="C1449" t="s">
        <v>4803</v>
      </c>
      <c r="D1449">
        <v>610.75</v>
      </c>
      <c r="E1449" s="208">
        <v>45323</v>
      </c>
      <c r="F1449" t="s">
        <v>4804</v>
      </c>
      <c r="G1449" t="s">
        <v>4768</v>
      </c>
    </row>
    <row r="1450" spans="1:7">
      <c r="A1450" t="s">
        <v>7621</v>
      </c>
      <c r="B1450" t="s">
        <v>7622</v>
      </c>
      <c r="C1450" t="s">
        <v>4884</v>
      </c>
      <c r="D1450">
        <v>382.45</v>
      </c>
      <c r="E1450" s="208">
        <v>45323</v>
      </c>
      <c r="F1450" t="s">
        <v>4804</v>
      </c>
      <c r="G1450" t="s">
        <v>4768</v>
      </c>
    </row>
    <row r="1451" spans="1:7">
      <c r="A1451" t="s">
        <v>7623</v>
      </c>
      <c r="B1451" t="s">
        <v>7624</v>
      </c>
      <c r="C1451" t="s">
        <v>4838</v>
      </c>
      <c r="D1451">
        <v>11.4</v>
      </c>
      <c r="E1451" s="208">
        <v>45323</v>
      </c>
      <c r="F1451" t="s">
        <v>4772</v>
      </c>
      <c r="G1451" t="s">
        <v>4768</v>
      </c>
    </row>
    <row r="1452" spans="1:7">
      <c r="A1452" t="s">
        <v>7625</v>
      </c>
      <c r="B1452" t="s">
        <v>7626</v>
      </c>
      <c r="C1452" t="s">
        <v>4803</v>
      </c>
      <c r="D1452">
        <v>715.65</v>
      </c>
      <c r="E1452" s="208">
        <v>45321</v>
      </c>
      <c r="F1452" t="s">
        <v>4804</v>
      </c>
      <c r="G1452" t="s">
        <v>4768</v>
      </c>
    </row>
    <row r="1453" spans="1:7">
      <c r="A1453" t="s">
        <v>7627</v>
      </c>
      <c r="B1453" t="s">
        <v>7628</v>
      </c>
      <c r="C1453" t="s">
        <v>4799</v>
      </c>
      <c r="D1453">
        <v>12.25</v>
      </c>
      <c r="E1453" s="208">
        <v>45302</v>
      </c>
      <c r="F1453" t="s">
        <v>4772</v>
      </c>
      <c r="G1453" t="s">
        <v>4768</v>
      </c>
    </row>
    <row r="1454" spans="1:7">
      <c r="A1454" t="s">
        <v>4524</v>
      </c>
      <c r="B1454" t="s">
        <v>7629</v>
      </c>
      <c r="C1454" t="s">
        <v>4810</v>
      </c>
      <c r="D1454">
        <v>657.6</v>
      </c>
      <c r="E1454" s="208">
        <v>45293</v>
      </c>
      <c r="F1454" t="s">
        <v>4804</v>
      </c>
      <c r="G1454" t="s">
        <v>4768</v>
      </c>
    </row>
    <row r="1455" spans="1:7">
      <c r="A1455" t="s">
        <v>7630</v>
      </c>
      <c r="B1455" t="s">
        <v>7500</v>
      </c>
      <c r="C1455" t="s">
        <v>7631</v>
      </c>
      <c r="D1455">
        <v>225.75</v>
      </c>
      <c r="E1455" s="208">
        <v>45281</v>
      </c>
      <c r="F1455" t="s">
        <v>4772</v>
      </c>
      <c r="G1455" t="s">
        <v>4768</v>
      </c>
    </row>
    <row r="1456" spans="1:7">
      <c r="A1456" t="s">
        <v>7632</v>
      </c>
      <c r="B1456" t="s">
        <v>7633</v>
      </c>
      <c r="C1456" t="s">
        <v>4806</v>
      </c>
      <c r="D1456">
        <v>33.655999999999999</v>
      </c>
      <c r="E1456" s="208">
        <v>45281</v>
      </c>
      <c r="F1456" t="s">
        <v>4772</v>
      </c>
      <c r="G1456" t="s">
        <v>4768</v>
      </c>
    </row>
    <row r="1457" spans="1:7">
      <c r="A1457" t="s">
        <v>7634</v>
      </c>
      <c r="B1457" t="s">
        <v>7635</v>
      </c>
      <c r="C1457" t="s">
        <v>4806</v>
      </c>
      <c r="D1457">
        <v>168.1</v>
      </c>
      <c r="E1457" s="208">
        <v>45279</v>
      </c>
      <c r="F1457" t="s">
        <v>4804</v>
      </c>
      <c r="G1457" t="s">
        <v>4768</v>
      </c>
    </row>
    <row r="1458" spans="1:7">
      <c r="A1458" t="s">
        <v>7636</v>
      </c>
      <c r="B1458" t="s">
        <v>7637</v>
      </c>
      <c r="C1458" t="s">
        <v>4884</v>
      </c>
      <c r="D1458">
        <v>74.67</v>
      </c>
      <c r="E1458" s="208">
        <v>45279</v>
      </c>
      <c r="F1458" t="s">
        <v>4846</v>
      </c>
      <c r="G1458" t="s">
        <v>4768</v>
      </c>
    </row>
    <row r="1459" spans="1:7">
      <c r="A1459" t="s">
        <v>7638</v>
      </c>
      <c r="B1459" t="s">
        <v>7639</v>
      </c>
      <c r="C1459" t="s">
        <v>7631</v>
      </c>
      <c r="D1459">
        <v>60.95</v>
      </c>
      <c r="E1459" s="208">
        <v>45272</v>
      </c>
      <c r="F1459" t="s">
        <v>4767</v>
      </c>
      <c r="G1459" t="s">
        <v>4768</v>
      </c>
    </row>
    <row r="1460" spans="1:7">
      <c r="A1460" t="s">
        <v>7640</v>
      </c>
      <c r="B1460" t="s">
        <v>7641</v>
      </c>
      <c r="C1460" t="s">
        <v>4766</v>
      </c>
      <c r="D1460">
        <v>6.37</v>
      </c>
      <c r="E1460" s="208">
        <v>45259</v>
      </c>
      <c r="F1460" t="s">
        <v>4792</v>
      </c>
      <c r="G1460" t="s">
        <v>4768</v>
      </c>
    </row>
    <row r="1461" spans="1:7">
      <c r="A1461" t="s">
        <v>7642</v>
      </c>
      <c r="B1461" t="s">
        <v>7643</v>
      </c>
      <c r="C1461" t="s">
        <v>4766</v>
      </c>
      <c r="D1461">
        <v>8.75</v>
      </c>
      <c r="E1461" s="208">
        <v>45258</v>
      </c>
      <c r="F1461" t="s">
        <v>4832</v>
      </c>
      <c r="G1461" t="s">
        <v>4768</v>
      </c>
    </row>
    <row r="1462" spans="1:7">
      <c r="A1462" t="s">
        <v>7644</v>
      </c>
      <c r="B1462" t="s">
        <v>7645</v>
      </c>
      <c r="C1462" t="s">
        <v>4803</v>
      </c>
      <c r="D1462">
        <v>369.45</v>
      </c>
      <c r="E1462" s="208">
        <v>45250</v>
      </c>
      <c r="F1462" t="s">
        <v>4772</v>
      </c>
      <c r="G1462" t="s">
        <v>4768</v>
      </c>
    </row>
    <row r="1463" spans="1:7">
      <c r="A1463" t="s">
        <v>7646</v>
      </c>
      <c r="B1463" t="s">
        <v>7647</v>
      </c>
      <c r="C1463" t="s">
        <v>4884</v>
      </c>
      <c r="D1463">
        <v>1403.75</v>
      </c>
      <c r="E1463" s="208">
        <v>45245</v>
      </c>
      <c r="F1463" t="s">
        <v>7590</v>
      </c>
      <c r="G1463" t="s">
        <v>4768</v>
      </c>
    </row>
    <row r="1464" spans="1:7">
      <c r="A1464" t="s">
        <v>7648</v>
      </c>
      <c r="B1464" t="s">
        <v>7649</v>
      </c>
      <c r="C1464" t="s">
        <v>4775</v>
      </c>
      <c r="D1464">
        <v>37.950000000000003</v>
      </c>
      <c r="E1464" s="208">
        <v>45232</v>
      </c>
      <c r="F1464" t="s">
        <v>4767</v>
      </c>
      <c r="G1464" t="s">
        <v>4768</v>
      </c>
    </row>
    <row r="1465" spans="1:7">
      <c r="A1465" t="s">
        <v>7650</v>
      </c>
      <c r="B1465" t="s">
        <v>7651</v>
      </c>
      <c r="C1465" t="s">
        <v>7631</v>
      </c>
      <c r="D1465">
        <v>2114.6</v>
      </c>
      <c r="E1465" s="208">
        <v>45229</v>
      </c>
      <c r="F1465" t="s">
        <v>4804</v>
      </c>
      <c r="G1465" t="s">
        <v>4768</v>
      </c>
    </row>
    <row r="1466" spans="1:7">
      <c r="A1466" t="s">
        <v>7652</v>
      </c>
      <c r="B1466" t="s">
        <v>7653</v>
      </c>
      <c r="C1466" t="s">
        <v>4806</v>
      </c>
      <c r="D1466">
        <v>92.8</v>
      </c>
      <c r="E1466" s="208">
        <v>45224</v>
      </c>
      <c r="F1466" t="s">
        <v>4923</v>
      </c>
      <c r="G1466" t="s">
        <v>4768</v>
      </c>
    </row>
    <row r="1467" spans="1:7">
      <c r="A1467" t="s">
        <v>4499</v>
      </c>
      <c r="B1467" t="s">
        <v>7654</v>
      </c>
      <c r="C1467" t="s">
        <v>6866</v>
      </c>
      <c r="D1467">
        <v>657.6</v>
      </c>
      <c r="E1467" s="208">
        <v>45210</v>
      </c>
      <c r="F1467" t="s">
        <v>4804</v>
      </c>
      <c r="G1467" t="s">
        <v>4768</v>
      </c>
    </row>
    <row r="1468" spans="1:7">
      <c r="A1468" t="s">
        <v>7655</v>
      </c>
      <c r="B1468" t="s">
        <v>7115</v>
      </c>
      <c r="C1468" t="s">
        <v>5286</v>
      </c>
      <c r="D1468">
        <v>4.8</v>
      </c>
      <c r="E1468" s="208">
        <v>45198</v>
      </c>
      <c r="F1468" t="s">
        <v>4767</v>
      </c>
      <c r="G1468" t="s">
        <v>4768</v>
      </c>
    </row>
    <row r="1469" spans="1:7">
      <c r="A1469" t="s">
        <v>4612</v>
      </c>
      <c r="B1469" t="s">
        <v>7656</v>
      </c>
      <c r="C1469" t="s">
        <v>4771</v>
      </c>
      <c r="D1469">
        <v>141.15</v>
      </c>
      <c r="E1469" s="208">
        <v>45197</v>
      </c>
      <c r="F1469" t="s">
        <v>4767</v>
      </c>
      <c r="G1469" t="s">
        <v>4768</v>
      </c>
    </row>
    <row r="1470" spans="1:7">
      <c r="A1470" t="s">
        <v>7657</v>
      </c>
      <c r="B1470" t="s">
        <v>7658</v>
      </c>
      <c r="C1470" t="s">
        <v>4803</v>
      </c>
      <c r="D1470">
        <v>153.71</v>
      </c>
      <c r="E1470" s="208">
        <v>45195</v>
      </c>
      <c r="F1470" t="s">
        <v>4846</v>
      </c>
      <c r="G1470" t="s">
        <v>4768</v>
      </c>
    </row>
    <row r="1471" spans="1:7">
      <c r="A1471" t="s">
        <v>7659</v>
      </c>
      <c r="B1471" t="s">
        <v>7660</v>
      </c>
      <c r="C1471" t="s">
        <v>4766</v>
      </c>
      <c r="D1471">
        <v>33.369999999999997</v>
      </c>
      <c r="E1471" s="208">
        <v>45191</v>
      </c>
      <c r="F1471" t="s">
        <v>6638</v>
      </c>
      <c r="G1471" t="s">
        <v>4768</v>
      </c>
    </row>
    <row r="1472" spans="1:7">
      <c r="A1472" t="s">
        <v>7661</v>
      </c>
      <c r="B1472" t="s">
        <v>7662</v>
      </c>
      <c r="C1472" t="s">
        <v>4766</v>
      </c>
      <c r="D1472">
        <v>35.68</v>
      </c>
      <c r="E1472" s="208">
        <v>45191</v>
      </c>
      <c r="F1472" t="s">
        <v>6638</v>
      </c>
      <c r="G1472" t="s">
        <v>4768</v>
      </c>
    </row>
    <row r="1473" spans="1:7">
      <c r="A1473" t="s">
        <v>7663</v>
      </c>
      <c r="B1473" t="s">
        <v>7664</v>
      </c>
      <c r="C1473" t="s">
        <v>6613</v>
      </c>
      <c r="D1473">
        <v>122</v>
      </c>
      <c r="E1473" s="208">
        <v>45188</v>
      </c>
      <c r="F1473" t="s">
        <v>4772</v>
      </c>
      <c r="G1473" t="s">
        <v>4768</v>
      </c>
    </row>
    <row r="1474" spans="1:7">
      <c r="A1474" t="s">
        <v>7665</v>
      </c>
      <c r="B1474" t="s">
        <v>6988</v>
      </c>
      <c r="C1474" t="s">
        <v>4838</v>
      </c>
      <c r="D1474">
        <v>56.95</v>
      </c>
      <c r="E1474" s="208">
        <v>45187</v>
      </c>
      <c r="F1474" t="s">
        <v>4767</v>
      </c>
      <c r="G1474" t="s">
        <v>4768</v>
      </c>
    </row>
    <row r="1475" spans="1:7">
      <c r="A1475" t="s">
        <v>7666</v>
      </c>
      <c r="B1475" t="s">
        <v>7667</v>
      </c>
      <c r="C1475" t="s">
        <v>4806</v>
      </c>
      <c r="D1475">
        <v>65.66</v>
      </c>
      <c r="E1475" s="208">
        <v>45182</v>
      </c>
      <c r="F1475" t="s">
        <v>4923</v>
      </c>
      <c r="G1475" t="s">
        <v>4768</v>
      </c>
    </row>
    <row r="1476" spans="1:7">
      <c r="A1476" t="s">
        <v>7668</v>
      </c>
      <c r="B1476" t="s">
        <v>7669</v>
      </c>
      <c r="C1476" t="s">
        <v>4803</v>
      </c>
      <c r="D1476">
        <v>216.95</v>
      </c>
      <c r="E1476" s="208">
        <v>45169</v>
      </c>
      <c r="F1476" t="s">
        <v>4772</v>
      </c>
      <c r="G1476" t="s">
        <v>4768</v>
      </c>
    </row>
    <row r="1477" spans="1:7">
      <c r="A1477" t="s">
        <v>7670</v>
      </c>
      <c r="B1477" t="s">
        <v>7671</v>
      </c>
      <c r="C1477" t="s">
        <v>4766</v>
      </c>
      <c r="D1477">
        <v>20</v>
      </c>
      <c r="E1477" s="208">
        <v>45169</v>
      </c>
      <c r="F1477" t="s">
        <v>7672</v>
      </c>
      <c r="G1477" t="s">
        <v>4768</v>
      </c>
    </row>
    <row r="1478" spans="1:7">
      <c r="A1478" t="s">
        <v>7673</v>
      </c>
      <c r="B1478" t="s">
        <v>7674</v>
      </c>
      <c r="C1478" t="s">
        <v>4806</v>
      </c>
      <c r="D1478">
        <v>20</v>
      </c>
      <c r="E1478" s="208">
        <v>45169</v>
      </c>
      <c r="F1478" t="s">
        <v>7672</v>
      </c>
      <c r="G1478" t="s">
        <v>4768</v>
      </c>
    </row>
    <row r="1479" spans="1:7">
      <c r="A1479" t="s">
        <v>7675</v>
      </c>
      <c r="B1479" t="s">
        <v>7676</v>
      </c>
      <c r="C1479" t="s">
        <v>4884</v>
      </c>
      <c r="D1479">
        <v>435.6</v>
      </c>
      <c r="E1479" s="208">
        <v>45168</v>
      </c>
      <c r="F1479" t="s">
        <v>4772</v>
      </c>
      <c r="G1479" t="s">
        <v>4768</v>
      </c>
    </row>
    <row r="1480" spans="1:7">
      <c r="A1480" t="s">
        <v>7677</v>
      </c>
      <c r="B1480" t="s">
        <v>7678</v>
      </c>
      <c r="C1480" t="s">
        <v>4985</v>
      </c>
      <c r="D1480">
        <v>75.099999999999994</v>
      </c>
      <c r="E1480" s="208">
        <v>45162</v>
      </c>
      <c r="F1480" t="s">
        <v>4804</v>
      </c>
      <c r="G1480" t="s">
        <v>4768</v>
      </c>
    </row>
    <row r="1481" spans="1:7">
      <c r="A1481" t="s">
        <v>7679</v>
      </c>
      <c r="B1481" t="s">
        <v>7680</v>
      </c>
      <c r="C1481" t="s">
        <v>4766</v>
      </c>
      <c r="D1481">
        <v>15.65</v>
      </c>
      <c r="E1481" s="208">
        <v>45154</v>
      </c>
      <c r="F1481" t="s">
        <v>4767</v>
      </c>
      <c r="G1481" t="s">
        <v>4768</v>
      </c>
    </row>
    <row r="1482" spans="1:7">
      <c r="A1482" t="s">
        <v>7681</v>
      </c>
      <c r="B1482" t="s">
        <v>7682</v>
      </c>
      <c r="C1482" t="s">
        <v>4766</v>
      </c>
      <c r="D1482">
        <v>731.92</v>
      </c>
      <c r="E1482" s="208">
        <v>45138</v>
      </c>
      <c r="F1482" t="s">
        <v>5183</v>
      </c>
      <c r="G1482" t="s">
        <v>4768</v>
      </c>
    </row>
    <row r="1483" spans="1:7">
      <c r="A1483" t="s">
        <v>7683</v>
      </c>
      <c r="B1483" t="s">
        <v>7684</v>
      </c>
      <c r="C1483" t="s">
        <v>4766</v>
      </c>
      <c r="D1483">
        <v>17</v>
      </c>
      <c r="E1483" s="208">
        <v>45138</v>
      </c>
      <c r="F1483" t="s">
        <v>6448</v>
      </c>
      <c r="G1483" t="s">
        <v>4768</v>
      </c>
    </row>
    <row r="1484" spans="1:7">
      <c r="A1484" t="s">
        <v>7685</v>
      </c>
      <c r="B1484" t="s">
        <v>7686</v>
      </c>
      <c r="C1484" t="s">
        <v>4766</v>
      </c>
      <c r="D1484">
        <v>35.700000000000003</v>
      </c>
      <c r="E1484" s="208">
        <v>45138</v>
      </c>
      <c r="F1484" t="s">
        <v>4767</v>
      </c>
      <c r="G1484" t="s">
        <v>4768</v>
      </c>
    </row>
    <row r="1485" spans="1:7">
      <c r="A1485" t="s">
        <v>7687</v>
      </c>
      <c r="B1485" t="s">
        <v>7688</v>
      </c>
      <c r="C1485" t="s">
        <v>6331</v>
      </c>
      <c r="D1485">
        <v>354.6</v>
      </c>
      <c r="E1485" s="208">
        <v>45135</v>
      </c>
      <c r="F1485" t="s">
        <v>4804</v>
      </c>
      <c r="G1485" t="s">
        <v>4768</v>
      </c>
    </row>
    <row r="1486" spans="1:7">
      <c r="A1486" t="s">
        <v>7689</v>
      </c>
      <c r="B1486" t="s">
        <v>7492</v>
      </c>
      <c r="C1486" t="s">
        <v>7631</v>
      </c>
      <c r="D1486">
        <v>66.5</v>
      </c>
      <c r="E1486" s="208">
        <v>45127</v>
      </c>
      <c r="F1486" t="s">
        <v>4772</v>
      </c>
      <c r="G1486" t="s">
        <v>4768</v>
      </c>
    </row>
    <row r="1487" spans="1:7">
      <c r="A1487" t="s">
        <v>7690</v>
      </c>
      <c r="B1487" t="s">
        <v>7691</v>
      </c>
      <c r="C1487" t="s">
        <v>4806</v>
      </c>
      <c r="D1487">
        <v>43.24</v>
      </c>
      <c r="E1487" s="208">
        <v>45126</v>
      </c>
      <c r="F1487" t="s">
        <v>4782</v>
      </c>
      <c r="G1487" t="s">
        <v>4768</v>
      </c>
    </row>
    <row r="1488" spans="1:7">
      <c r="A1488" t="s">
        <v>7692</v>
      </c>
      <c r="B1488" t="s">
        <v>7496</v>
      </c>
      <c r="C1488" t="s">
        <v>7631</v>
      </c>
      <c r="D1488">
        <v>71.3</v>
      </c>
      <c r="E1488" s="208">
        <v>45121</v>
      </c>
      <c r="F1488" t="s">
        <v>4772</v>
      </c>
      <c r="G1488" t="s">
        <v>4768</v>
      </c>
    </row>
    <row r="1489" spans="1:7">
      <c r="A1489" t="s">
        <v>7693</v>
      </c>
      <c r="B1489" t="s">
        <v>7694</v>
      </c>
      <c r="C1489" t="s">
        <v>7631</v>
      </c>
      <c r="D1489">
        <v>217.2</v>
      </c>
      <c r="E1489" s="208">
        <v>45119</v>
      </c>
      <c r="F1489" t="s">
        <v>4772</v>
      </c>
      <c r="G1489" t="s">
        <v>4768</v>
      </c>
    </row>
    <row r="1490" spans="1:7">
      <c r="A1490" t="s">
        <v>7695</v>
      </c>
      <c r="B1490" t="s">
        <v>7696</v>
      </c>
      <c r="C1490" t="s">
        <v>4795</v>
      </c>
      <c r="D1490">
        <v>138.30000000000001</v>
      </c>
      <c r="E1490" s="208">
        <v>45117</v>
      </c>
      <c r="F1490" t="s">
        <v>4832</v>
      </c>
      <c r="G1490" t="s">
        <v>4768</v>
      </c>
    </row>
    <row r="1491" spans="1:7">
      <c r="A1491" t="s">
        <v>7697</v>
      </c>
      <c r="B1491" t="s">
        <v>7698</v>
      </c>
      <c r="C1491" t="s">
        <v>4766</v>
      </c>
      <c r="D1491">
        <v>9.99</v>
      </c>
      <c r="E1491" s="208">
        <v>45107</v>
      </c>
      <c r="F1491" t="s">
        <v>4779</v>
      </c>
      <c r="G1491" t="s">
        <v>4768</v>
      </c>
    </row>
    <row r="1492" spans="1:7">
      <c r="A1492" t="s">
        <v>7699</v>
      </c>
      <c r="B1492" t="s">
        <v>7700</v>
      </c>
      <c r="C1492" t="s">
        <v>4766</v>
      </c>
      <c r="D1492">
        <v>5.98</v>
      </c>
      <c r="E1492" s="208">
        <v>45107</v>
      </c>
      <c r="F1492" t="s">
        <v>6912</v>
      </c>
      <c r="G1492" t="s">
        <v>4768</v>
      </c>
    </row>
    <row r="1493" spans="1:7">
      <c r="A1493" t="s">
        <v>7701</v>
      </c>
      <c r="B1493" t="s">
        <v>7702</v>
      </c>
      <c r="C1493" t="s">
        <v>4766</v>
      </c>
      <c r="D1493">
        <v>199</v>
      </c>
      <c r="E1493" s="208">
        <v>45107</v>
      </c>
      <c r="F1493" t="s">
        <v>4796</v>
      </c>
      <c r="G1493" t="s">
        <v>4768</v>
      </c>
    </row>
    <row r="1494" spans="1:7">
      <c r="A1494" t="s">
        <v>4624</v>
      </c>
      <c r="B1494" t="s">
        <v>7703</v>
      </c>
      <c r="C1494" t="s">
        <v>4803</v>
      </c>
      <c r="D1494">
        <v>120.85</v>
      </c>
      <c r="E1494" s="208">
        <v>45106</v>
      </c>
      <c r="F1494" t="s">
        <v>4804</v>
      </c>
      <c r="G1494" t="s">
        <v>4768</v>
      </c>
    </row>
    <row r="1495" spans="1:7">
      <c r="A1495" t="s">
        <v>7704</v>
      </c>
      <c r="B1495" t="s">
        <v>7705</v>
      </c>
      <c r="C1495" t="s">
        <v>7631</v>
      </c>
      <c r="D1495">
        <v>5.33</v>
      </c>
      <c r="E1495" s="208">
        <v>45105</v>
      </c>
      <c r="F1495" t="s">
        <v>4782</v>
      </c>
      <c r="G1495" t="s">
        <v>4768</v>
      </c>
    </row>
    <row r="1496" spans="1:7">
      <c r="A1496" t="s">
        <v>7706</v>
      </c>
      <c r="B1496" t="s">
        <v>7707</v>
      </c>
      <c r="C1496" t="s">
        <v>7631</v>
      </c>
      <c r="D1496">
        <v>43.19</v>
      </c>
      <c r="E1496" s="208">
        <v>45103</v>
      </c>
      <c r="F1496" t="s">
        <v>4782</v>
      </c>
      <c r="G1496" t="s">
        <v>4768</v>
      </c>
    </row>
    <row r="1497" spans="1:7">
      <c r="A1497" t="s">
        <v>7708</v>
      </c>
      <c r="B1497" t="s">
        <v>7709</v>
      </c>
      <c r="C1497" t="s">
        <v>6331</v>
      </c>
      <c r="D1497">
        <v>598.45000000000005</v>
      </c>
      <c r="E1497" s="208">
        <v>45098</v>
      </c>
      <c r="F1497" t="s">
        <v>4804</v>
      </c>
      <c r="G1497" t="s">
        <v>4768</v>
      </c>
    </row>
    <row r="1498" spans="1:7">
      <c r="A1498" t="s">
        <v>7710</v>
      </c>
      <c r="B1498" t="s">
        <v>7711</v>
      </c>
      <c r="C1498" t="s">
        <v>4766</v>
      </c>
      <c r="D1498">
        <v>11</v>
      </c>
      <c r="E1498" s="208">
        <v>45093</v>
      </c>
      <c r="F1498" t="s">
        <v>4767</v>
      </c>
      <c r="G1498" t="s">
        <v>4768</v>
      </c>
    </row>
    <row r="1499" spans="1:7">
      <c r="A1499" t="s">
        <v>7712</v>
      </c>
      <c r="B1499" t="s">
        <v>7713</v>
      </c>
      <c r="C1499" t="s">
        <v>4803</v>
      </c>
      <c r="D1499">
        <v>586.4</v>
      </c>
      <c r="E1499" s="208">
        <v>45089</v>
      </c>
      <c r="F1499" t="s">
        <v>4772</v>
      </c>
      <c r="G1499" t="s">
        <v>4768</v>
      </c>
    </row>
    <row r="1500" spans="1:7">
      <c r="A1500" t="s">
        <v>7714</v>
      </c>
      <c r="B1500" t="s">
        <v>7715</v>
      </c>
      <c r="C1500" t="s">
        <v>6866</v>
      </c>
      <c r="D1500">
        <v>115.6</v>
      </c>
      <c r="E1500" s="208">
        <v>45085</v>
      </c>
      <c r="F1500" t="s">
        <v>4804</v>
      </c>
      <c r="G1500" t="s">
        <v>4768</v>
      </c>
    </row>
    <row r="1501" spans="1:7">
      <c r="A1501" t="s">
        <v>7716</v>
      </c>
      <c r="B1501" t="s">
        <v>7717</v>
      </c>
      <c r="C1501" t="s">
        <v>4771</v>
      </c>
      <c r="D1501">
        <v>74</v>
      </c>
      <c r="E1501" s="208">
        <v>45084</v>
      </c>
      <c r="F1501" t="s">
        <v>4772</v>
      </c>
      <c r="G1501" t="s">
        <v>4768</v>
      </c>
    </row>
    <row r="1502" spans="1:7">
      <c r="A1502" t="s">
        <v>7718</v>
      </c>
      <c r="B1502" t="s">
        <v>7719</v>
      </c>
      <c r="C1502" t="s">
        <v>4845</v>
      </c>
      <c r="D1502">
        <v>162</v>
      </c>
      <c r="E1502" s="208">
        <v>45084</v>
      </c>
      <c r="F1502" t="s">
        <v>4772</v>
      </c>
      <c r="G1502" t="s">
        <v>4768</v>
      </c>
    </row>
    <row r="1503" spans="1:7">
      <c r="A1503" t="s">
        <v>7720</v>
      </c>
      <c r="B1503" t="s">
        <v>7721</v>
      </c>
      <c r="C1503" t="s">
        <v>7631</v>
      </c>
      <c r="D1503">
        <v>20.309999999999999</v>
      </c>
      <c r="E1503" s="208">
        <v>45078</v>
      </c>
      <c r="F1503" t="s">
        <v>4782</v>
      </c>
      <c r="G1503" t="s">
        <v>4768</v>
      </c>
    </row>
    <row r="1504" spans="1:7">
      <c r="A1504" t="s">
        <v>7722</v>
      </c>
      <c r="B1504" t="s">
        <v>7723</v>
      </c>
      <c r="C1504" t="s">
        <v>7631</v>
      </c>
      <c r="D1504">
        <v>21.7</v>
      </c>
      <c r="E1504" s="208">
        <v>45077</v>
      </c>
      <c r="F1504" t="s">
        <v>4804</v>
      </c>
      <c r="G1504" t="s">
        <v>4768</v>
      </c>
    </row>
    <row r="1505" spans="1:7">
      <c r="A1505" t="s">
        <v>7724</v>
      </c>
      <c r="B1505" t="s">
        <v>7725</v>
      </c>
      <c r="C1505" t="s">
        <v>4972</v>
      </c>
      <c r="D1505">
        <v>0.75</v>
      </c>
      <c r="E1505" s="208">
        <v>45077</v>
      </c>
      <c r="F1505" t="s">
        <v>4792</v>
      </c>
      <c r="G1505" t="s">
        <v>4768</v>
      </c>
    </row>
    <row r="1506" spans="1:7">
      <c r="A1506" t="s">
        <v>7726</v>
      </c>
      <c r="B1506" t="s">
        <v>7727</v>
      </c>
      <c r="C1506" t="s">
        <v>7728</v>
      </c>
      <c r="D1506">
        <v>60.35</v>
      </c>
      <c r="E1506" s="208">
        <v>45071</v>
      </c>
      <c r="F1506" t="s">
        <v>4804</v>
      </c>
      <c r="G1506" t="s">
        <v>4768</v>
      </c>
    </row>
    <row r="1507" spans="1:7">
      <c r="A1507" t="s">
        <v>7729</v>
      </c>
      <c r="B1507" t="s">
        <v>7730</v>
      </c>
      <c r="C1507" t="s">
        <v>4803</v>
      </c>
      <c r="D1507">
        <v>629</v>
      </c>
      <c r="E1507" s="208">
        <v>45064</v>
      </c>
      <c r="F1507" t="s">
        <v>4996</v>
      </c>
      <c r="G1507" t="s">
        <v>4768</v>
      </c>
    </row>
    <row r="1508" spans="1:7">
      <c r="A1508" t="s">
        <v>7731</v>
      </c>
      <c r="B1508" t="s">
        <v>7732</v>
      </c>
      <c r="C1508" t="s">
        <v>4838</v>
      </c>
      <c r="D1508">
        <v>32</v>
      </c>
      <c r="E1508" s="208">
        <v>45063</v>
      </c>
      <c r="F1508" t="s">
        <v>4767</v>
      </c>
      <c r="G1508" t="s">
        <v>4768</v>
      </c>
    </row>
    <row r="1509" spans="1:7">
      <c r="A1509" t="s">
        <v>7733</v>
      </c>
      <c r="B1509" t="s">
        <v>7734</v>
      </c>
      <c r="C1509" t="s">
        <v>4795</v>
      </c>
      <c r="D1509">
        <v>307.10000000000002</v>
      </c>
      <c r="E1509" s="208">
        <v>45063</v>
      </c>
      <c r="F1509" t="s">
        <v>4772</v>
      </c>
      <c r="G1509" t="s">
        <v>4768</v>
      </c>
    </row>
    <row r="1510" spans="1:7">
      <c r="A1510" t="s">
        <v>7735</v>
      </c>
      <c r="B1510" t="s">
        <v>7736</v>
      </c>
      <c r="C1510" t="s">
        <v>6866</v>
      </c>
      <c r="D1510">
        <v>493.5</v>
      </c>
      <c r="E1510" s="208">
        <v>45049</v>
      </c>
      <c r="F1510" t="s">
        <v>4779</v>
      </c>
      <c r="G1510" t="s">
        <v>4768</v>
      </c>
    </row>
    <row r="1511" spans="1:7">
      <c r="A1511" t="s">
        <v>7737</v>
      </c>
      <c r="B1511" t="s">
        <v>7738</v>
      </c>
      <c r="C1511" t="s">
        <v>7631</v>
      </c>
      <c r="D1511">
        <v>4.22</v>
      </c>
      <c r="E1511" s="208">
        <v>45029</v>
      </c>
      <c r="F1511" t="s">
        <v>4782</v>
      </c>
      <c r="G1511" t="s">
        <v>4768</v>
      </c>
    </row>
    <row r="1512" spans="1:7">
      <c r="A1512" t="s">
        <v>7739</v>
      </c>
      <c r="B1512" t="s">
        <v>7740</v>
      </c>
      <c r="C1512" t="s">
        <v>7631</v>
      </c>
      <c r="D1512">
        <v>13.79</v>
      </c>
      <c r="E1512" s="208">
        <v>45028</v>
      </c>
      <c r="F1512" t="s">
        <v>4782</v>
      </c>
      <c r="G1512" t="s">
        <v>4768</v>
      </c>
    </row>
    <row r="1513" spans="1:7">
      <c r="A1513" t="s">
        <v>7741</v>
      </c>
      <c r="B1513" t="s">
        <v>7742</v>
      </c>
      <c r="C1513" t="s">
        <v>7631</v>
      </c>
      <c r="D1513">
        <v>8.91</v>
      </c>
      <c r="E1513" s="208">
        <v>45028</v>
      </c>
      <c r="F1513" t="s">
        <v>4782</v>
      </c>
      <c r="G1513" t="s">
        <v>4768</v>
      </c>
    </row>
    <row r="1514" spans="1:7">
      <c r="A1514" t="s">
        <v>7743</v>
      </c>
      <c r="B1514" t="s">
        <v>7744</v>
      </c>
      <c r="C1514" t="s">
        <v>4803</v>
      </c>
      <c r="D1514">
        <v>142.69999999999999</v>
      </c>
      <c r="E1514" s="208">
        <v>45021</v>
      </c>
      <c r="F1514" t="s">
        <v>4804</v>
      </c>
      <c r="G1514" t="s">
        <v>4768</v>
      </c>
    </row>
    <row r="1515" spans="1:7">
      <c r="A1515" t="s">
        <v>7745</v>
      </c>
      <c r="B1515" t="s">
        <v>7746</v>
      </c>
      <c r="C1515" t="s">
        <v>7631</v>
      </c>
      <c r="D1515">
        <v>16.399999999999999</v>
      </c>
      <c r="E1515" s="208">
        <v>45019</v>
      </c>
      <c r="F1515" t="s">
        <v>4772</v>
      </c>
      <c r="G1515" t="s">
        <v>4768</v>
      </c>
    </row>
    <row r="1516" spans="1:7">
      <c r="A1516" t="s">
        <v>7747</v>
      </c>
      <c r="B1516" t="s">
        <v>7748</v>
      </c>
      <c r="C1516" t="s">
        <v>4803</v>
      </c>
      <c r="D1516">
        <v>79.7</v>
      </c>
      <c r="E1516" s="208">
        <v>45016</v>
      </c>
      <c r="F1516" t="s">
        <v>4772</v>
      </c>
      <c r="G1516" t="s">
        <v>4768</v>
      </c>
    </row>
    <row r="1517" spans="1:7">
      <c r="A1517" t="s">
        <v>7749</v>
      </c>
      <c r="B1517" t="s">
        <v>7750</v>
      </c>
      <c r="C1517" t="s">
        <v>4806</v>
      </c>
      <c r="D1517">
        <v>52.55</v>
      </c>
      <c r="E1517" s="208">
        <v>44999</v>
      </c>
      <c r="F1517" t="s">
        <v>4923</v>
      </c>
      <c r="G1517" t="s">
        <v>4768</v>
      </c>
    </row>
    <row r="1518" spans="1:7">
      <c r="A1518" t="s">
        <v>7751</v>
      </c>
      <c r="B1518" t="s">
        <v>7752</v>
      </c>
      <c r="C1518" t="s">
        <v>5172</v>
      </c>
      <c r="D1518">
        <v>50.85</v>
      </c>
      <c r="E1518" s="208">
        <v>44988</v>
      </c>
      <c r="F1518" t="s">
        <v>4804</v>
      </c>
      <c r="G1518" t="s">
        <v>4768</v>
      </c>
    </row>
    <row r="1519" spans="1:7">
      <c r="A1519" t="s">
        <v>7753</v>
      </c>
      <c r="B1519" t="s">
        <v>7754</v>
      </c>
      <c r="C1519" t="s">
        <v>4806</v>
      </c>
      <c r="D1519">
        <v>52.55</v>
      </c>
      <c r="E1519" s="208">
        <v>44988</v>
      </c>
      <c r="F1519" t="s">
        <v>4923</v>
      </c>
      <c r="G1519" t="s">
        <v>4768</v>
      </c>
    </row>
    <row r="1520" spans="1:7">
      <c r="A1520" t="s">
        <v>4704</v>
      </c>
      <c r="B1520" t="s">
        <v>4703</v>
      </c>
      <c r="C1520" t="s">
        <v>4803</v>
      </c>
      <c r="D1520">
        <v>90.25</v>
      </c>
      <c r="E1520" s="208">
        <v>44985</v>
      </c>
      <c r="F1520" t="s">
        <v>4804</v>
      </c>
      <c r="G1520" t="s">
        <v>4768</v>
      </c>
    </row>
    <row r="1521" spans="1:7">
      <c r="A1521" t="s">
        <v>7755</v>
      </c>
      <c r="B1521" t="s">
        <v>7756</v>
      </c>
      <c r="C1521" t="s">
        <v>4803</v>
      </c>
      <c r="D1521">
        <v>40.549999999999997</v>
      </c>
      <c r="E1521" s="208">
        <v>44985</v>
      </c>
      <c r="F1521" t="s">
        <v>4804</v>
      </c>
      <c r="G1521" t="s">
        <v>4768</v>
      </c>
    </row>
    <row r="1522" spans="1:7">
      <c r="A1522" t="s">
        <v>7757</v>
      </c>
      <c r="B1522" t="s">
        <v>7758</v>
      </c>
      <c r="C1522" t="s">
        <v>6613</v>
      </c>
      <c r="D1522">
        <v>835.6</v>
      </c>
      <c r="E1522" s="208">
        <v>44971</v>
      </c>
      <c r="F1522" t="s">
        <v>4772</v>
      </c>
      <c r="G1522" t="s">
        <v>4768</v>
      </c>
    </row>
    <row r="1523" spans="1:7">
      <c r="A1523" t="s">
        <v>7759</v>
      </c>
      <c r="B1523" t="s">
        <v>7760</v>
      </c>
      <c r="C1523" t="s">
        <v>4806</v>
      </c>
      <c r="D1523">
        <v>34</v>
      </c>
      <c r="E1523" s="208">
        <v>44953</v>
      </c>
      <c r="F1523" t="s">
        <v>4772</v>
      </c>
      <c r="G1523" t="s">
        <v>4768</v>
      </c>
    </row>
    <row r="1524" spans="1:7">
      <c r="A1524" t="s">
        <v>4697</v>
      </c>
      <c r="B1524" t="s">
        <v>7761</v>
      </c>
      <c r="C1524" t="s">
        <v>6613</v>
      </c>
      <c r="D1524">
        <v>76</v>
      </c>
      <c r="E1524" s="208">
        <v>44951</v>
      </c>
      <c r="F1524" t="s">
        <v>4804</v>
      </c>
      <c r="G1524" t="s">
        <v>4768</v>
      </c>
    </row>
    <row r="1525" spans="1:7">
      <c r="A1525" t="s">
        <v>7762</v>
      </c>
      <c r="B1525" t="s">
        <v>7763</v>
      </c>
      <c r="C1525" t="s">
        <v>4803</v>
      </c>
      <c r="D1525">
        <v>547.20000000000005</v>
      </c>
      <c r="E1525" s="208">
        <v>44945</v>
      </c>
      <c r="F1525" t="s">
        <v>4804</v>
      </c>
      <c r="G1525" t="s">
        <v>4768</v>
      </c>
    </row>
    <row r="1526" spans="1:7">
      <c r="A1526" t="s">
        <v>7764</v>
      </c>
      <c r="B1526" t="s">
        <v>7765</v>
      </c>
      <c r="C1526" t="s">
        <v>4884</v>
      </c>
      <c r="D1526">
        <v>361.19</v>
      </c>
      <c r="E1526" s="208">
        <v>44936</v>
      </c>
      <c r="F1526" t="s">
        <v>4885</v>
      </c>
      <c r="G1526" t="s">
        <v>4768</v>
      </c>
    </row>
    <row r="1527" spans="1:7">
      <c r="A1527" t="s">
        <v>7766</v>
      </c>
      <c r="B1527" t="s">
        <v>7767</v>
      </c>
      <c r="C1527" t="s">
        <v>4884</v>
      </c>
      <c r="D1527">
        <v>524.05999999999995</v>
      </c>
      <c r="E1527" s="208">
        <v>44936</v>
      </c>
      <c r="F1527" t="s">
        <v>4885</v>
      </c>
      <c r="G1527" t="s">
        <v>4768</v>
      </c>
    </row>
    <row r="1528" spans="1:7">
      <c r="A1528" t="s">
        <v>7768</v>
      </c>
      <c r="B1528" t="s">
        <v>7769</v>
      </c>
      <c r="C1528" t="s">
        <v>4766</v>
      </c>
      <c r="D1528">
        <v>11.19</v>
      </c>
      <c r="E1528" s="208">
        <v>44936</v>
      </c>
      <c r="F1528" t="s">
        <v>4885</v>
      </c>
      <c r="G1528" t="s">
        <v>4768</v>
      </c>
    </row>
    <row r="1529" spans="1:7">
      <c r="A1529" t="s">
        <v>7770</v>
      </c>
      <c r="B1529" t="s">
        <v>7771</v>
      </c>
      <c r="C1529" t="s">
        <v>4806</v>
      </c>
      <c r="D1529">
        <v>53.65</v>
      </c>
      <c r="E1529" s="208">
        <v>44930</v>
      </c>
      <c r="F1529" t="s">
        <v>4923</v>
      </c>
      <c r="G1529" t="s">
        <v>4768</v>
      </c>
    </row>
    <row r="1530" spans="1:7">
      <c r="A1530" t="s">
        <v>7772</v>
      </c>
      <c r="B1530" t="s">
        <v>7773</v>
      </c>
      <c r="C1530" t="s">
        <v>4845</v>
      </c>
      <c r="D1530">
        <v>16.350000000000001</v>
      </c>
      <c r="E1530" s="208">
        <v>44930</v>
      </c>
      <c r="F1530" t="s">
        <v>4772</v>
      </c>
      <c r="G1530" t="s">
        <v>4768</v>
      </c>
    </row>
    <row r="1531" spans="1:7">
      <c r="A1531" t="s">
        <v>7774</v>
      </c>
      <c r="B1531" t="s">
        <v>7775</v>
      </c>
      <c r="C1531" t="s">
        <v>4766</v>
      </c>
      <c r="D1531">
        <v>107.99</v>
      </c>
      <c r="E1531" s="208">
        <v>44916</v>
      </c>
      <c r="F1531" t="s">
        <v>4782</v>
      </c>
      <c r="G1531" t="s">
        <v>4768</v>
      </c>
    </row>
    <row r="1532" spans="1:7">
      <c r="A1532" t="s">
        <v>7776</v>
      </c>
      <c r="B1532" t="s">
        <v>7777</v>
      </c>
      <c r="C1532" t="s">
        <v>4771</v>
      </c>
      <c r="D1532">
        <v>2600</v>
      </c>
      <c r="E1532" s="208">
        <v>44909</v>
      </c>
      <c r="F1532" t="s">
        <v>7778</v>
      </c>
      <c r="G1532" t="s">
        <v>4768</v>
      </c>
    </row>
    <row r="1533" spans="1:7">
      <c r="A1533" t="s">
        <v>7779</v>
      </c>
      <c r="B1533" t="s">
        <v>7780</v>
      </c>
      <c r="C1533" t="s">
        <v>4806</v>
      </c>
      <c r="D1533">
        <v>88.99</v>
      </c>
      <c r="E1533" s="208">
        <v>44895</v>
      </c>
      <c r="F1533" t="s">
        <v>4782</v>
      </c>
      <c r="G1533" t="s">
        <v>4768</v>
      </c>
    </row>
    <row r="1534" spans="1:7">
      <c r="A1534" t="s">
        <v>7781</v>
      </c>
      <c r="B1534" t="s">
        <v>7782</v>
      </c>
      <c r="C1534" t="s">
        <v>6085</v>
      </c>
      <c r="D1534">
        <v>4880</v>
      </c>
      <c r="E1534" s="208">
        <v>44882</v>
      </c>
      <c r="F1534" t="s">
        <v>4846</v>
      </c>
      <c r="G1534" t="s">
        <v>4768</v>
      </c>
    </row>
    <row r="1535" spans="1:7">
      <c r="A1535" t="s">
        <v>7783</v>
      </c>
      <c r="B1535" t="s">
        <v>7784</v>
      </c>
      <c r="C1535" t="s">
        <v>4766</v>
      </c>
      <c r="D1535">
        <v>31.85</v>
      </c>
      <c r="E1535" s="208">
        <v>44875</v>
      </c>
      <c r="F1535" t="s">
        <v>7785</v>
      </c>
      <c r="G1535" t="s">
        <v>4768</v>
      </c>
    </row>
    <row r="1536" spans="1:7">
      <c r="A1536" t="s">
        <v>7786</v>
      </c>
      <c r="B1536" t="s">
        <v>7787</v>
      </c>
      <c r="C1536" t="s">
        <v>4766</v>
      </c>
      <c r="D1536">
        <v>29.52</v>
      </c>
      <c r="E1536" s="208">
        <v>44875</v>
      </c>
      <c r="F1536" t="s">
        <v>7785</v>
      </c>
      <c r="G1536" t="s">
        <v>4768</v>
      </c>
    </row>
    <row r="1537" spans="1:7">
      <c r="A1537" t="s">
        <v>7788</v>
      </c>
      <c r="B1537" t="s">
        <v>7789</v>
      </c>
      <c r="C1537" t="s">
        <v>4766</v>
      </c>
      <c r="D1537">
        <v>20.55</v>
      </c>
      <c r="E1537" s="208">
        <v>44875</v>
      </c>
      <c r="F1537" t="s">
        <v>4767</v>
      </c>
      <c r="G1537" t="s">
        <v>4768</v>
      </c>
    </row>
    <row r="1538" spans="1:7">
      <c r="A1538" t="s">
        <v>7790</v>
      </c>
      <c r="B1538" t="s">
        <v>7791</v>
      </c>
      <c r="C1538" t="s">
        <v>4766</v>
      </c>
      <c r="D1538">
        <v>0.73</v>
      </c>
      <c r="E1538" s="208">
        <v>44875</v>
      </c>
      <c r="F1538" t="s">
        <v>4767</v>
      </c>
      <c r="G1538" t="s">
        <v>4768</v>
      </c>
    </row>
    <row r="1539" spans="1:7">
      <c r="A1539" t="s">
        <v>7792</v>
      </c>
      <c r="B1539" t="s">
        <v>7793</v>
      </c>
      <c r="C1539" t="s">
        <v>4766</v>
      </c>
      <c r="D1539">
        <v>804</v>
      </c>
      <c r="E1539" s="208">
        <v>44875</v>
      </c>
      <c r="F1539" t="s">
        <v>4767</v>
      </c>
      <c r="G1539" t="s">
        <v>4768</v>
      </c>
    </row>
    <row r="1540" spans="1:7">
      <c r="A1540" t="s">
        <v>7794</v>
      </c>
      <c r="B1540" t="s">
        <v>7795</v>
      </c>
      <c r="C1540" t="s">
        <v>4766</v>
      </c>
      <c r="D1540">
        <v>1082.02</v>
      </c>
      <c r="E1540" s="208">
        <v>44865</v>
      </c>
      <c r="F1540" t="s">
        <v>7796</v>
      </c>
      <c r="G1540" t="s">
        <v>4768</v>
      </c>
    </row>
    <row r="1541" spans="1:7">
      <c r="A1541" t="s">
        <v>7797</v>
      </c>
      <c r="B1541" t="s">
        <v>7340</v>
      </c>
      <c r="C1541" t="s">
        <v>4845</v>
      </c>
      <c r="D1541">
        <v>81.47</v>
      </c>
      <c r="E1541" s="208">
        <v>44865</v>
      </c>
      <c r="F1541" t="s">
        <v>7798</v>
      </c>
      <c r="G1541" t="s">
        <v>4768</v>
      </c>
    </row>
    <row r="1542" spans="1:7">
      <c r="A1542" t="s">
        <v>7799</v>
      </c>
      <c r="B1542" t="s">
        <v>7800</v>
      </c>
      <c r="C1542" t="s">
        <v>4766</v>
      </c>
      <c r="D1542">
        <v>322</v>
      </c>
      <c r="E1542" s="208">
        <v>44860</v>
      </c>
      <c r="F1542" t="s">
        <v>7801</v>
      </c>
      <c r="G1542" t="s">
        <v>4768</v>
      </c>
    </row>
    <row r="1543" spans="1:7">
      <c r="A1543" t="s">
        <v>7802</v>
      </c>
      <c r="B1543" t="s">
        <v>7803</v>
      </c>
      <c r="C1543" t="s">
        <v>4771</v>
      </c>
      <c r="D1543">
        <v>104.85</v>
      </c>
      <c r="E1543" s="208">
        <v>44860</v>
      </c>
      <c r="F1543" t="s">
        <v>4772</v>
      </c>
      <c r="G1543" t="s">
        <v>4768</v>
      </c>
    </row>
    <row r="1544" spans="1:7">
      <c r="A1544" t="s">
        <v>7804</v>
      </c>
      <c r="B1544" t="s">
        <v>7805</v>
      </c>
      <c r="C1544" t="s">
        <v>4766</v>
      </c>
      <c r="D1544">
        <v>0.54</v>
      </c>
      <c r="E1544" s="208">
        <v>44859</v>
      </c>
      <c r="F1544" t="s">
        <v>4782</v>
      </c>
      <c r="G1544" t="s">
        <v>4768</v>
      </c>
    </row>
    <row r="1545" spans="1:7">
      <c r="A1545" t="s">
        <v>7806</v>
      </c>
      <c r="B1545" t="s">
        <v>7807</v>
      </c>
      <c r="C1545" t="s">
        <v>4803</v>
      </c>
      <c r="D1545">
        <v>28.45</v>
      </c>
      <c r="E1545" s="208">
        <v>44853</v>
      </c>
      <c r="F1545" t="s">
        <v>4772</v>
      </c>
      <c r="G1545" t="s">
        <v>4768</v>
      </c>
    </row>
    <row r="1546" spans="1:7">
      <c r="A1546" t="s">
        <v>7808</v>
      </c>
      <c r="B1546" t="s">
        <v>7809</v>
      </c>
      <c r="C1546" t="s">
        <v>7810</v>
      </c>
      <c r="D1546">
        <v>16.2</v>
      </c>
      <c r="E1546" s="208">
        <v>44851</v>
      </c>
      <c r="F1546" t="s">
        <v>4804</v>
      </c>
      <c r="G1546" t="s">
        <v>4768</v>
      </c>
    </row>
    <row r="1547" spans="1:7">
      <c r="A1547" t="s">
        <v>7811</v>
      </c>
      <c r="B1547" t="s">
        <v>7812</v>
      </c>
      <c r="C1547" t="s">
        <v>6866</v>
      </c>
      <c r="D1547">
        <v>437.5</v>
      </c>
      <c r="E1547" s="208">
        <v>44851</v>
      </c>
      <c r="F1547" t="s">
        <v>4772</v>
      </c>
      <c r="G1547" t="s">
        <v>4768</v>
      </c>
    </row>
    <row r="1548" spans="1:7">
      <c r="A1548" t="s">
        <v>4660</v>
      </c>
      <c r="B1548" t="s">
        <v>7813</v>
      </c>
      <c r="C1548" t="s">
        <v>4771</v>
      </c>
      <c r="D1548">
        <v>133.05000000000001</v>
      </c>
      <c r="E1548" s="208">
        <v>44848</v>
      </c>
      <c r="F1548" t="s">
        <v>4772</v>
      </c>
      <c r="G1548" t="s">
        <v>4768</v>
      </c>
    </row>
    <row r="1549" spans="1:7">
      <c r="A1549" t="s">
        <v>7814</v>
      </c>
      <c r="B1549" t="s">
        <v>7815</v>
      </c>
      <c r="C1549" t="s">
        <v>6866</v>
      </c>
      <c r="D1549">
        <v>116.9</v>
      </c>
      <c r="E1549" s="208">
        <v>44848</v>
      </c>
      <c r="F1549" t="s">
        <v>4772</v>
      </c>
      <c r="G1549" t="s">
        <v>4768</v>
      </c>
    </row>
    <row r="1550" spans="1:7">
      <c r="A1550" t="s">
        <v>7816</v>
      </c>
      <c r="B1550" t="s">
        <v>7817</v>
      </c>
      <c r="C1550" t="s">
        <v>7810</v>
      </c>
      <c r="D1550">
        <v>56.3</v>
      </c>
      <c r="E1550" s="208">
        <v>44847</v>
      </c>
      <c r="F1550" t="s">
        <v>4772</v>
      </c>
      <c r="G1550" t="s">
        <v>4768</v>
      </c>
    </row>
    <row r="1551" spans="1:7">
      <c r="A1551" t="s">
        <v>7818</v>
      </c>
      <c r="B1551" t="s">
        <v>7819</v>
      </c>
      <c r="C1551" t="s">
        <v>4884</v>
      </c>
      <c r="D1551">
        <v>783</v>
      </c>
      <c r="E1551" s="208">
        <v>44846</v>
      </c>
      <c r="F1551" t="s">
        <v>4996</v>
      </c>
      <c r="G1551" t="s">
        <v>4768</v>
      </c>
    </row>
    <row r="1552" spans="1:7">
      <c r="A1552" t="s">
        <v>7820</v>
      </c>
      <c r="B1552" t="s">
        <v>7821</v>
      </c>
      <c r="C1552" t="s">
        <v>4766</v>
      </c>
      <c r="D1552">
        <v>643.79999999999995</v>
      </c>
      <c r="E1552" s="208">
        <v>44845</v>
      </c>
      <c r="F1552" t="s">
        <v>4772</v>
      </c>
      <c r="G1552" t="s">
        <v>4768</v>
      </c>
    </row>
    <row r="1553" spans="1:7">
      <c r="A1553" t="s">
        <v>7822</v>
      </c>
      <c r="B1553" t="s">
        <v>7823</v>
      </c>
      <c r="C1553" t="s">
        <v>7810</v>
      </c>
      <c r="D1553">
        <v>534.5</v>
      </c>
      <c r="E1553" s="208">
        <v>44845</v>
      </c>
      <c r="F1553" t="s">
        <v>4772</v>
      </c>
      <c r="G1553" t="s">
        <v>4768</v>
      </c>
    </row>
    <row r="1554" spans="1:7">
      <c r="A1554" t="s">
        <v>7824</v>
      </c>
      <c r="B1554" t="s">
        <v>7825</v>
      </c>
      <c r="C1554" t="s">
        <v>4771</v>
      </c>
      <c r="D1554">
        <v>97</v>
      </c>
      <c r="E1554" s="208">
        <v>44840</v>
      </c>
      <c r="F1554" t="s">
        <v>4767</v>
      </c>
      <c r="G1554" t="s">
        <v>4768</v>
      </c>
    </row>
    <row r="1555" spans="1:7">
      <c r="A1555" t="s">
        <v>7826</v>
      </c>
      <c r="B1555" t="s">
        <v>7827</v>
      </c>
      <c r="C1555" t="s">
        <v>4771</v>
      </c>
      <c r="D1555">
        <v>131.96</v>
      </c>
      <c r="E1555" s="208">
        <v>44840</v>
      </c>
      <c r="F1555" t="s">
        <v>4846</v>
      </c>
      <c r="G1555" t="s">
        <v>4768</v>
      </c>
    </row>
    <row r="1556" spans="1:7">
      <c r="A1556" t="s">
        <v>7828</v>
      </c>
      <c r="B1556" t="s">
        <v>7829</v>
      </c>
      <c r="C1556" t="s">
        <v>4806</v>
      </c>
      <c r="D1556">
        <v>58.75</v>
      </c>
      <c r="E1556" s="208">
        <v>44839</v>
      </c>
      <c r="F1556" t="s">
        <v>4923</v>
      </c>
      <c r="G1556" t="s">
        <v>4768</v>
      </c>
    </row>
    <row r="1557" spans="1:7">
      <c r="A1557" t="s">
        <v>7830</v>
      </c>
      <c r="B1557" t="s">
        <v>7831</v>
      </c>
      <c r="C1557" t="s">
        <v>4775</v>
      </c>
      <c r="D1557">
        <v>38.4</v>
      </c>
      <c r="E1557" s="208">
        <v>44838</v>
      </c>
      <c r="F1557" t="s">
        <v>4767</v>
      </c>
      <c r="G1557" t="s">
        <v>4768</v>
      </c>
    </row>
    <row r="1558" spans="1:7">
      <c r="A1558" t="s">
        <v>7832</v>
      </c>
      <c r="B1558" t="s">
        <v>7833</v>
      </c>
      <c r="C1558" t="s">
        <v>4803</v>
      </c>
      <c r="D1558">
        <v>159.30000000000001</v>
      </c>
      <c r="E1558" s="208">
        <v>44837</v>
      </c>
      <c r="F1558" t="s">
        <v>4772</v>
      </c>
      <c r="G1558" t="s">
        <v>4768</v>
      </c>
    </row>
    <row r="1559" spans="1:7">
      <c r="A1559" t="s">
        <v>7834</v>
      </c>
      <c r="B1559" t="s">
        <v>7835</v>
      </c>
      <c r="C1559" t="s">
        <v>4803</v>
      </c>
      <c r="D1559">
        <v>171.7</v>
      </c>
      <c r="E1559" s="208">
        <v>44832</v>
      </c>
      <c r="F1559" t="s">
        <v>4804</v>
      </c>
      <c r="G1559" t="s">
        <v>4768</v>
      </c>
    </row>
    <row r="1560" spans="1:7">
      <c r="A1560" t="s">
        <v>7836</v>
      </c>
      <c r="B1560" t="s">
        <v>7837</v>
      </c>
      <c r="C1560" t="s">
        <v>4806</v>
      </c>
      <c r="D1560">
        <v>23.65</v>
      </c>
      <c r="E1560" s="208">
        <v>44832</v>
      </c>
      <c r="F1560" t="s">
        <v>4772</v>
      </c>
      <c r="G1560" t="s">
        <v>4768</v>
      </c>
    </row>
    <row r="1561" spans="1:7">
      <c r="A1561" t="s">
        <v>7838</v>
      </c>
      <c r="B1561" t="s">
        <v>7839</v>
      </c>
      <c r="C1561" t="s">
        <v>4806</v>
      </c>
      <c r="D1561">
        <v>59.95</v>
      </c>
      <c r="E1561" s="208">
        <v>44830</v>
      </c>
      <c r="F1561" t="s">
        <v>4923</v>
      </c>
      <c r="G1561" t="s">
        <v>4768</v>
      </c>
    </row>
    <row r="1562" spans="1:7">
      <c r="A1562" t="s">
        <v>7840</v>
      </c>
      <c r="B1562" t="s">
        <v>7841</v>
      </c>
      <c r="C1562" t="s">
        <v>4888</v>
      </c>
      <c r="D1562">
        <v>59.95</v>
      </c>
      <c r="E1562" s="208">
        <v>44830</v>
      </c>
      <c r="F1562" t="s">
        <v>4923</v>
      </c>
      <c r="G1562" t="s">
        <v>4768</v>
      </c>
    </row>
    <row r="1563" spans="1:7">
      <c r="A1563" t="s">
        <v>7842</v>
      </c>
      <c r="B1563" t="s">
        <v>7843</v>
      </c>
      <c r="C1563" t="s">
        <v>4838</v>
      </c>
      <c r="D1563">
        <v>40.4</v>
      </c>
      <c r="E1563" s="208">
        <v>44827</v>
      </c>
      <c r="F1563" t="s">
        <v>4772</v>
      </c>
      <c r="G1563" t="s">
        <v>4768</v>
      </c>
    </row>
    <row r="1564" spans="1:7">
      <c r="A1564" t="s">
        <v>7844</v>
      </c>
      <c r="B1564" t="s">
        <v>7845</v>
      </c>
      <c r="C1564" t="s">
        <v>4766</v>
      </c>
      <c r="D1564">
        <v>9.2200000000000006</v>
      </c>
      <c r="E1564" s="208">
        <v>44827</v>
      </c>
      <c r="F1564" t="s">
        <v>4832</v>
      </c>
      <c r="G1564" t="s">
        <v>4768</v>
      </c>
    </row>
    <row r="1565" spans="1:7">
      <c r="A1565" t="s">
        <v>7846</v>
      </c>
      <c r="B1565" t="s">
        <v>261</v>
      </c>
      <c r="C1565" t="s">
        <v>4884</v>
      </c>
      <c r="D1565">
        <v>52.7</v>
      </c>
      <c r="E1565" s="208">
        <v>44827</v>
      </c>
      <c r="F1565" t="s">
        <v>4772</v>
      </c>
      <c r="G1565" t="s">
        <v>4768</v>
      </c>
    </row>
    <row r="1566" spans="1:7">
      <c r="A1566" t="s">
        <v>7847</v>
      </c>
      <c r="B1566" t="s">
        <v>7848</v>
      </c>
      <c r="C1566" t="s">
        <v>4884</v>
      </c>
      <c r="D1566">
        <v>174.85</v>
      </c>
      <c r="E1566" s="208">
        <v>44827</v>
      </c>
      <c r="F1566" t="s">
        <v>4772</v>
      </c>
      <c r="G1566" t="s">
        <v>4768</v>
      </c>
    </row>
    <row r="1567" spans="1:7">
      <c r="A1567" t="s">
        <v>7849</v>
      </c>
      <c r="B1567" t="s">
        <v>7850</v>
      </c>
      <c r="C1567" t="s">
        <v>4766</v>
      </c>
      <c r="D1567">
        <v>0.91</v>
      </c>
      <c r="E1567" s="208">
        <v>44826</v>
      </c>
      <c r="F1567" t="s">
        <v>4782</v>
      </c>
      <c r="G1567" t="s">
        <v>4768</v>
      </c>
    </row>
    <row r="1568" spans="1:7">
      <c r="A1568" t="s">
        <v>7851</v>
      </c>
      <c r="B1568" t="s">
        <v>7852</v>
      </c>
      <c r="C1568" t="s">
        <v>4895</v>
      </c>
      <c r="D1568">
        <v>211.25</v>
      </c>
      <c r="E1568" s="208">
        <v>44823</v>
      </c>
      <c r="F1568" t="s">
        <v>4772</v>
      </c>
      <c r="G1568" t="s">
        <v>4768</v>
      </c>
    </row>
    <row r="1569" spans="1:7">
      <c r="A1569" t="s">
        <v>7853</v>
      </c>
      <c r="B1569" t="s">
        <v>7854</v>
      </c>
      <c r="C1569" t="s">
        <v>4766</v>
      </c>
      <c r="D1569">
        <v>32.4</v>
      </c>
      <c r="E1569" s="208">
        <v>44823</v>
      </c>
      <c r="F1569" t="s">
        <v>4772</v>
      </c>
      <c r="G1569" t="s">
        <v>4768</v>
      </c>
    </row>
    <row r="1570" spans="1:7">
      <c r="A1570" t="s">
        <v>7855</v>
      </c>
      <c r="B1570" t="s">
        <v>7856</v>
      </c>
      <c r="C1570" t="s">
        <v>4766</v>
      </c>
      <c r="D1570">
        <v>9.7899999999999991</v>
      </c>
      <c r="E1570" s="208">
        <v>44820</v>
      </c>
      <c r="F1570" t="s">
        <v>7857</v>
      </c>
      <c r="G1570" t="s">
        <v>4768</v>
      </c>
    </row>
    <row r="1571" spans="1:7">
      <c r="A1571" t="s">
        <v>7858</v>
      </c>
      <c r="B1571" t="s">
        <v>7859</v>
      </c>
      <c r="C1571" t="s">
        <v>4766</v>
      </c>
      <c r="D1571">
        <v>87</v>
      </c>
      <c r="E1571" s="208">
        <v>44818</v>
      </c>
      <c r="F1571" t="s">
        <v>4772</v>
      </c>
      <c r="G1571" t="s">
        <v>4768</v>
      </c>
    </row>
    <row r="1572" spans="1:7">
      <c r="A1572" t="s">
        <v>7860</v>
      </c>
      <c r="B1572" t="s">
        <v>7861</v>
      </c>
      <c r="C1572" t="s">
        <v>4803</v>
      </c>
      <c r="D1572">
        <v>89</v>
      </c>
      <c r="E1572" s="208">
        <v>44817</v>
      </c>
      <c r="F1572" t="s">
        <v>7862</v>
      </c>
      <c r="G1572" t="s">
        <v>4768</v>
      </c>
    </row>
    <row r="1573" spans="1:7">
      <c r="A1573" t="s">
        <v>7863</v>
      </c>
      <c r="B1573" t="s">
        <v>7864</v>
      </c>
      <c r="C1573" t="s">
        <v>4795</v>
      </c>
      <c r="D1573">
        <v>37.409999999999997</v>
      </c>
      <c r="E1573" s="208">
        <v>44817</v>
      </c>
      <c r="F1573" t="s">
        <v>4832</v>
      </c>
      <c r="G1573" t="s">
        <v>4768</v>
      </c>
    </row>
    <row r="1574" spans="1:7">
      <c r="A1574" t="s">
        <v>7865</v>
      </c>
      <c r="B1574" t="s">
        <v>7866</v>
      </c>
      <c r="C1574" t="s">
        <v>4771</v>
      </c>
      <c r="D1574">
        <v>34.75</v>
      </c>
      <c r="E1574" s="208">
        <v>44817</v>
      </c>
      <c r="F1574" t="s">
        <v>4767</v>
      </c>
      <c r="G1574" t="s">
        <v>4768</v>
      </c>
    </row>
    <row r="1575" spans="1:7">
      <c r="A1575" t="s">
        <v>7867</v>
      </c>
      <c r="B1575" t="s">
        <v>7868</v>
      </c>
      <c r="C1575" t="s">
        <v>4766</v>
      </c>
      <c r="D1575">
        <v>426</v>
      </c>
      <c r="E1575" s="208">
        <v>44816</v>
      </c>
      <c r="F1575" t="s">
        <v>5300</v>
      </c>
      <c r="G1575" t="s">
        <v>4768</v>
      </c>
    </row>
    <row r="1576" spans="1:7">
      <c r="A1576" t="s">
        <v>7869</v>
      </c>
      <c r="B1576" t="s">
        <v>7870</v>
      </c>
      <c r="C1576" t="s">
        <v>4766</v>
      </c>
      <c r="D1576">
        <v>151.56</v>
      </c>
      <c r="E1576" s="208">
        <v>44816</v>
      </c>
      <c r="F1576" t="s">
        <v>4846</v>
      </c>
      <c r="G1576" t="s">
        <v>4768</v>
      </c>
    </row>
    <row r="1577" spans="1:7">
      <c r="A1577" t="s">
        <v>7871</v>
      </c>
      <c r="B1577" t="s">
        <v>7872</v>
      </c>
      <c r="C1577" t="s">
        <v>4766</v>
      </c>
      <c r="D1577">
        <v>56.69</v>
      </c>
      <c r="E1577" s="208">
        <v>44812</v>
      </c>
      <c r="F1577" t="s">
        <v>4846</v>
      </c>
      <c r="G1577" t="s">
        <v>4768</v>
      </c>
    </row>
    <row r="1578" spans="1:7">
      <c r="A1578" t="s">
        <v>7873</v>
      </c>
      <c r="B1578" t="s">
        <v>7874</v>
      </c>
      <c r="C1578" t="s">
        <v>4895</v>
      </c>
      <c r="D1578">
        <v>199.98</v>
      </c>
      <c r="E1578" s="208">
        <v>44812</v>
      </c>
      <c r="F1578" t="s">
        <v>4846</v>
      </c>
      <c r="G1578" t="s">
        <v>4768</v>
      </c>
    </row>
    <row r="1579" spans="1:7">
      <c r="A1579" t="s">
        <v>7875</v>
      </c>
      <c r="B1579" t="s">
        <v>7876</v>
      </c>
      <c r="C1579" t="s">
        <v>4766</v>
      </c>
      <c r="D1579">
        <v>3.96</v>
      </c>
      <c r="E1579" s="208">
        <v>44806</v>
      </c>
      <c r="F1579" t="s">
        <v>4936</v>
      </c>
      <c r="G1579" t="s">
        <v>4768</v>
      </c>
    </row>
    <row r="1580" spans="1:7">
      <c r="A1580" t="s">
        <v>7877</v>
      </c>
      <c r="B1580" t="s">
        <v>7878</v>
      </c>
      <c r="C1580" t="s">
        <v>4972</v>
      </c>
      <c r="D1580">
        <v>6.96</v>
      </c>
      <c r="E1580" s="208">
        <v>44806</v>
      </c>
      <c r="F1580" t="s">
        <v>4877</v>
      </c>
      <c r="G1580" t="s">
        <v>4768</v>
      </c>
    </row>
    <row r="1581" spans="1:7">
      <c r="A1581" t="s">
        <v>7879</v>
      </c>
      <c r="B1581" t="s">
        <v>7880</v>
      </c>
      <c r="C1581" t="s">
        <v>4806</v>
      </c>
      <c r="D1581">
        <v>59.95</v>
      </c>
      <c r="E1581" s="208">
        <v>44805</v>
      </c>
      <c r="F1581" t="s">
        <v>4923</v>
      </c>
      <c r="G1581" t="s">
        <v>4768</v>
      </c>
    </row>
    <row r="1582" spans="1:7">
      <c r="A1582" t="s">
        <v>4540</v>
      </c>
      <c r="B1582" t="s">
        <v>7881</v>
      </c>
      <c r="C1582" t="s">
        <v>4806</v>
      </c>
      <c r="D1582">
        <v>34.15</v>
      </c>
      <c r="E1582" s="208">
        <v>44804</v>
      </c>
      <c r="F1582" t="s">
        <v>4804</v>
      </c>
      <c r="G1582" t="s">
        <v>4768</v>
      </c>
    </row>
    <row r="1583" spans="1:7">
      <c r="A1583" t="s">
        <v>7882</v>
      </c>
      <c r="B1583" t="s">
        <v>7883</v>
      </c>
      <c r="C1583" t="s">
        <v>4803</v>
      </c>
      <c r="D1583">
        <v>57.75</v>
      </c>
      <c r="E1583" s="208">
        <v>44804</v>
      </c>
      <c r="F1583" t="s">
        <v>4804</v>
      </c>
      <c r="G1583" t="s">
        <v>4768</v>
      </c>
    </row>
    <row r="1584" spans="1:7">
      <c r="A1584" t="s">
        <v>7884</v>
      </c>
      <c r="B1584" t="s">
        <v>7885</v>
      </c>
      <c r="C1584" t="s">
        <v>4766</v>
      </c>
      <c r="D1584">
        <v>32.799999999999997</v>
      </c>
      <c r="E1584" s="208">
        <v>44802</v>
      </c>
      <c r="F1584" t="s">
        <v>4782</v>
      </c>
      <c r="G1584" t="s">
        <v>4768</v>
      </c>
    </row>
    <row r="1585" spans="1:7">
      <c r="A1585" t="s">
        <v>7886</v>
      </c>
      <c r="B1585" t="s">
        <v>7887</v>
      </c>
      <c r="C1585" t="s">
        <v>4766</v>
      </c>
      <c r="D1585">
        <v>98.65</v>
      </c>
      <c r="E1585" s="208">
        <v>44799</v>
      </c>
      <c r="F1585" t="s">
        <v>4767</v>
      </c>
      <c r="G1585" t="s">
        <v>4768</v>
      </c>
    </row>
    <row r="1586" spans="1:7">
      <c r="A1586" t="s">
        <v>7888</v>
      </c>
      <c r="B1586" t="s">
        <v>7889</v>
      </c>
      <c r="C1586" t="s">
        <v>4835</v>
      </c>
      <c r="D1586">
        <v>67.7</v>
      </c>
      <c r="E1586" s="208">
        <v>44798</v>
      </c>
      <c r="F1586" t="s">
        <v>4772</v>
      </c>
      <c r="G1586" t="s">
        <v>4768</v>
      </c>
    </row>
    <row r="1587" spans="1:7">
      <c r="A1587" t="s">
        <v>7890</v>
      </c>
      <c r="B1587" t="s">
        <v>7891</v>
      </c>
      <c r="C1587" t="s">
        <v>4771</v>
      </c>
      <c r="D1587">
        <v>491.28</v>
      </c>
      <c r="E1587" s="208">
        <v>44798</v>
      </c>
      <c r="F1587" t="s">
        <v>4846</v>
      </c>
      <c r="G1587" t="s">
        <v>4768</v>
      </c>
    </row>
    <row r="1588" spans="1:7">
      <c r="A1588" t="s">
        <v>7892</v>
      </c>
      <c r="B1588" t="s">
        <v>7893</v>
      </c>
      <c r="C1588" t="s">
        <v>4871</v>
      </c>
      <c r="D1588">
        <v>11.75</v>
      </c>
      <c r="E1588" s="208">
        <v>44798</v>
      </c>
      <c r="F1588" t="s">
        <v>4804</v>
      </c>
      <c r="G1588" t="s">
        <v>4768</v>
      </c>
    </row>
    <row r="1589" spans="1:7">
      <c r="A1589" t="s">
        <v>7894</v>
      </c>
      <c r="B1589" t="s">
        <v>7895</v>
      </c>
      <c r="C1589" t="s">
        <v>4884</v>
      </c>
      <c r="D1589">
        <v>142.80000000000001</v>
      </c>
      <c r="E1589" s="208">
        <v>44791</v>
      </c>
      <c r="F1589" t="s">
        <v>4804</v>
      </c>
      <c r="G1589" t="s">
        <v>4768</v>
      </c>
    </row>
    <row r="1590" spans="1:7">
      <c r="A1590" t="s">
        <v>7896</v>
      </c>
      <c r="B1590" t="s">
        <v>7897</v>
      </c>
      <c r="C1590" t="s">
        <v>4895</v>
      </c>
      <c r="D1590">
        <v>153.52000000000001</v>
      </c>
      <c r="E1590" s="208">
        <v>44791</v>
      </c>
      <c r="F1590" t="s">
        <v>4846</v>
      </c>
      <c r="G1590" t="s">
        <v>4768</v>
      </c>
    </row>
    <row r="1591" spans="1:7">
      <c r="A1591" t="s">
        <v>7898</v>
      </c>
      <c r="B1591" t="s">
        <v>7899</v>
      </c>
      <c r="C1591" t="s">
        <v>4895</v>
      </c>
      <c r="D1591">
        <v>194.95</v>
      </c>
      <c r="E1591" s="208">
        <v>44789</v>
      </c>
      <c r="F1591" t="s">
        <v>4767</v>
      </c>
      <c r="G1591" t="s">
        <v>4768</v>
      </c>
    </row>
    <row r="1592" spans="1:7">
      <c r="A1592" t="s">
        <v>7900</v>
      </c>
      <c r="B1592" t="s">
        <v>7901</v>
      </c>
      <c r="C1592" t="s">
        <v>4766</v>
      </c>
      <c r="D1592">
        <v>23.04</v>
      </c>
      <c r="E1592" s="208">
        <v>44784</v>
      </c>
      <c r="F1592" t="s">
        <v>4782</v>
      </c>
      <c r="G1592" t="s">
        <v>4768</v>
      </c>
    </row>
    <row r="1593" spans="1:7">
      <c r="A1593" t="s">
        <v>7902</v>
      </c>
      <c r="B1593" t="s">
        <v>7903</v>
      </c>
      <c r="C1593" t="s">
        <v>4803</v>
      </c>
      <c r="D1593">
        <v>366.67</v>
      </c>
      <c r="E1593" s="208">
        <v>44784</v>
      </c>
      <c r="F1593" t="s">
        <v>6516</v>
      </c>
      <c r="G1593" t="s">
        <v>4768</v>
      </c>
    </row>
    <row r="1594" spans="1:7">
      <c r="A1594" t="s">
        <v>7904</v>
      </c>
      <c r="B1594" t="s">
        <v>7905</v>
      </c>
      <c r="C1594" t="s">
        <v>4871</v>
      </c>
      <c r="D1594">
        <v>103.06</v>
      </c>
      <c r="E1594" s="208">
        <v>44783</v>
      </c>
      <c r="F1594" t="s">
        <v>4846</v>
      </c>
      <c r="G1594" t="s">
        <v>4768</v>
      </c>
    </row>
    <row r="1595" spans="1:7">
      <c r="A1595" t="s">
        <v>7906</v>
      </c>
      <c r="B1595" t="s">
        <v>7907</v>
      </c>
      <c r="C1595" t="s">
        <v>4771</v>
      </c>
      <c r="D1595">
        <v>122.38</v>
      </c>
      <c r="E1595" s="208">
        <v>44783</v>
      </c>
      <c r="F1595" t="s">
        <v>4846</v>
      </c>
      <c r="G1595" t="s">
        <v>4768</v>
      </c>
    </row>
    <row r="1596" spans="1:7">
      <c r="A1596" t="s">
        <v>7908</v>
      </c>
      <c r="B1596" t="s">
        <v>7909</v>
      </c>
      <c r="C1596" t="s">
        <v>4771</v>
      </c>
      <c r="D1596">
        <v>326.97000000000003</v>
      </c>
      <c r="E1596" s="208">
        <v>44783</v>
      </c>
      <c r="F1596" t="s">
        <v>4846</v>
      </c>
      <c r="G1596" t="s">
        <v>4768</v>
      </c>
    </row>
    <row r="1597" spans="1:7">
      <c r="A1597" t="s">
        <v>7910</v>
      </c>
      <c r="B1597" t="s">
        <v>7911</v>
      </c>
      <c r="C1597" t="s">
        <v>4766</v>
      </c>
      <c r="D1597">
        <v>38.9</v>
      </c>
      <c r="E1597" s="208">
        <v>44781</v>
      </c>
      <c r="F1597" t="s">
        <v>4772</v>
      </c>
      <c r="G1597" t="s">
        <v>4768</v>
      </c>
    </row>
    <row r="1598" spans="1:7">
      <c r="A1598" t="s">
        <v>7912</v>
      </c>
      <c r="B1598" t="s">
        <v>7913</v>
      </c>
      <c r="C1598" t="s">
        <v>4766</v>
      </c>
      <c r="D1598">
        <v>63.15</v>
      </c>
      <c r="E1598" s="208">
        <v>44781</v>
      </c>
      <c r="F1598" t="s">
        <v>4772</v>
      </c>
      <c r="G1598" t="s">
        <v>4768</v>
      </c>
    </row>
    <row r="1599" spans="1:7">
      <c r="A1599" t="s">
        <v>7914</v>
      </c>
      <c r="B1599" t="s">
        <v>7915</v>
      </c>
      <c r="C1599" t="s">
        <v>4803</v>
      </c>
      <c r="D1599">
        <v>81.95</v>
      </c>
      <c r="E1599" s="208">
        <v>44781</v>
      </c>
      <c r="F1599" t="s">
        <v>4846</v>
      </c>
      <c r="G1599" t="s">
        <v>4768</v>
      </c>
    </row>
    <row r="1600" spans="1:7">
      <c r="A1600" t="s">
        <v>7916</v>
      </c>
      <c r="B1600" t="s">
        <v>7917</v>
      </c>
      <c r="C1600" t="s">
        <v>4806</v>
      </c>
      <c r="D1600">
        <v>55</v>
      </c>
      <c r="E1600" s="208">
        <v>44777</v>
      </c>
      <c r="F1600" t="s">
        <v>4923</v>
      </c>
      <c r="G1600" t="s">
        <v>4768</v>
      </c>
    </row>
    <row r="1601" spans="1:7">
      <c r="A1601" t="s">
        <v>7918</v>
      </c>
      <c r="B1601" t="s">
        <v>7919</v>
      </c>
      <c r="C1601" t="s">
        <v>4972</v>
      </c>
      <c r="D1601">
        <v>12.45</v>
      </c>
      <c r="E1601" s="208">
        <v>44777</v>
      </c>
      <c r="F1601" t="s">
        <v>4767</v>
      </c>
      <c r="G1601" t="s">
        <v>4768</v>
      </c>
    </row>
    <row r="1602" spans="1:7">
      <c r="A1602" t="s">
        <v>7920</v>
      </c>
      <c r="B1602" t="s">
        <v>7921</v>
      </c>
      <c r="C1602" t="s">
        <v>4766</v>
      </c>
      <c r="D1602">
        <v>43.73</v>
      </c>
      <c r="E1602" s="208">
        <v>44776</v>
      </c>
      <c r="F1602" t="s">
        <v>4782</v>
      </c>
      <c r="G1602" t="s">
        <v>4768</v>
      </c>
    </row>
    <row r="1603" spans="1:7">
      <c r="A1603" t="s">
        <v>7922</v>
      </c>
      <c r="B1603" t="s">
        <v>7923</v>
      </c>
      <c r="C1603" t="s">
        <v>6085</v>
      </c>
      <c r="D1603">
        <v>384.69</v>
      </c>
      <c r="E1603" s="208">
        <v>44776</v>
      </c>
      <c r="F1603" t="s">
        <v>4846</v>
      </c>
      <c r="G1603" t="s">
        <v>4768</v>
      </c>
    </row>
    <row r="1604" spans="1:7">
      <c r="A1604" t="s">
        <v>7924</v>
      </c>
      <c r="B1604" t="s">
        <v>7925</v>
      </c>
      <c r="C1604" t="s">
        <v>4766</v>
      </c>
      <c r="D1604">
        <v>5.99</v>
      </c>
      <c r="E1604" s="208">
        <v>44776</v>
      </c>
      <c r="F1604" t="s">
        <v>4782</v>
      </c>
      <c r="G1604" t="s">
        <v>4768</v>
      </c>
    </row>
    <row r="1605" spans="1:7">
      <c r="A1605" t="s">
        <v>7926</v>
      </c>
      <c r="B1605" t="s">
        <v>7927</v>
      </c>
      <c r="C1605" t="s">
        <v>4766</v>
      </c>
      <c r="D1605">
        <v>46.92</v>
      </c>
      <c r="E1605" s="208">
        <v>44771</v>
      </c>
      <c r="F1605" t="s">
        <v>5183</v>
      </c>
      <c r="G1605" t="s">
        <v>4768</v>
      </c>
    </row>
    <row r="1606" spans="1:7">
      <c r="A1606" t="s">
        <v>7928</v>
      </c>
      <c r="B1606" t="s">
        <v>7929</v>
      </c>
      <c r="C1606" t="s">
        <v>4884</v>
      </c>
      <c r="D1606">
        <v>209</v>
      </c>
      <c r="E1606" s="208">
        <v>44770</v>
      </c>
      <c r="F1606" t="s">
        <v>6516</v>
      </c>
      <c r="G1606" t="s">
        <v>4768</v>
      </c>
    </row>
    <row r="1607" spans="1:7">
      <c r="A1607" t="s">
        <v>7930</v>
      </c>
      <c r="B1607" t="s">
        <v>7931</v>
      </c>
      <c r="C1607" t="s">
        <v>5344</v>
      </c>
      <c r="D1607">
        <v>55.35</v>
      </c>
      <c r="E1607" s="208">
        <v>44770</v>
      </c>
      <c r="F1607" t="s">
        <v>4772</v>
      </c>
      <c r="G1607" t="s">
        <v>4768</v>
      </c>
    </row>
    <row r="1608" spans="1:7">
      <c r="A1608" t="s">
        <v>7932</v>
      </c>
      <c r="B1608" t="s">
        <v>7933</v>
      </c>
      <c r="C1608" t="s">
        <v>4771</v>
      </c>
      <c r="D1608">
        <v>330.72</v>
      </c>
      <c r="E1608" s="208">
        <v>44769</v>
      </c>
      <c r="F1608" t="s">
        <v>4846</v>
      </c>
      <c r="G1608" t="s">
        <v>4768</v>
      </c>
    </row>
    <row r="1609" spans="1:7">
      <c r="A1609" t="s">
        <v>7934</v>
      </c>
      <c r="B1609" t="s">
        <v>7935</v>
      </c>
      <c r="C1609" t="s">
        <v>4771</v>
      </c>
      <c r="D1609">
        <v>9.94</v>
      </c>
      <c r="E1609" s="208">
        <v>44769</v>
      </c>
      <c r="F1609" t="s">
        <v>4846</v>
      </c>
      <c r="G1609" t="s">
        <v>4768</v>
      </c>
    </row>
    <row r="1610" spans="1:7">
      <c r="A1610" t="s">
        <v>7936</v>
      </c>
      <c r="B1610" t="s">
        <v>7937</v>
      </c>
      <c r="C1610" t="s">
        <v>4895</v>
      </c>
      <c r="D1610">
        <v>80.34</v>
      </c>
      <c r="E1610" s="208">
        <v>44769</v>
      </c>
      <c r="F1610" t="s">
        <v>4846</v>
      </c>
      <c r="G1610" t="s">
        <v>4768</v>
      </c>
    </row>
    <row r="1611" spans="1:7">
      <c r="A1611" t="s">
        <v>7938</v>
      </c>
      <c r="B1611" t="s">
        <v>7939</v>
      </c>
      <c r="C1611" t="s">
        <v>4895</v>
      </c>
      <c r="D1611">
        <v>218.4</v>
      </c>
      <c r="E1611" s="208">
        <v>44769</v>
      </c>
      <c r="F1611" t="s">
        <v>4846</v>
      </c>
      <c r="G1611" t="s">
        <v>4768</v>
      </c>
    </row>
    <row r="1612" spans="1:7">
      <c r="A1612" t="s">
        <v>7940</v>
      </c>
      <c r="B1612" t="s">
        <v>7941</v>
      </c>
      <c r="C1612" t="s">
        <v>4845</v>
      </c>
      <c r="D1612">
        <v>8.1999999999999993</v>
      </c>
      <c r="E1612" s="208">
        <v>44769</v>
      </c>
      <c r="F1612" t="s">
        <v>4846</v>
      </c>
      <c r="G1612" t="s">
        <v>4768</v>
      </c>
    </row>
    <row r="1613" spans="1:7">
      <c r="A1613" t="s">
        <v>7942</v>
      </c>
      <c r="B1613" t="s">
        <v>7943</v>
      </c>
      <c r="C1613" t="s">
        <v>4766</v>
      </c>
      <c r="D1613">
        <v>16.72</v>
      </c>
      <c r="E1613" s="208">
        <v>44767</v>
      </c>
      <c r="F1613" t="s">
        <v>4832</v>
      </c>
      <c r="G1613" t="s">
        <v>4768</v>
      </c>
    </row>
    <row r="1614" spans="1:7">
      <c r="A1614" t="s">
        <v>7944</v>
      </c>
      <c r="B1614" t="s">
        <v>7945</v>
      </c>
      <c r="C1614" t="s">
        <v>4803</v>
      </c>
      <c r="D1614">
        <v>132.68</v>
      </c>
      <c r="E1614" s="208">
        <v>44767</v>
      </c>
      <c r="F1614" t="s">
        <v>4767</v>
      </c>
      <c r="G1614" t="s">
        <v>4768</v>
      </c>
    </row>
    <row r="1615" spans="1:7">
      <c r="A1615" t="s">
        <v>7946</v>
      </c>
      <c r="B1615" t="s">
        <v>7947</v>
      </c>
      <c r="C1615" t="s">
        <v>4803</v>
      </c>
      <c r="D1615">
        <v>945</v>
      </c>
      <c r="E1615" s="208">
        <v>44767</v>
      </c>
      <c r="F1615" t="s">
        <v>6516</v>
      </c>
      <c r="G1615" t="s">
        <v>4768</v>
      </c>
    </row>
    <row r="1616" spans="1:7">
      <c r="A1616" t="s">
        <v>7948</v>
      </c>
      <c r="B1616" t="s">
        <v>7949</v>
      </c>
      <c r="C1616" t="s">
        <v>4766</v>
      </c>
      <c r="D1616">
        <v>24.46</v>
      </c>
      <c r="E1616" s="208">
        <v>44760</v>
      </c>
      <c r="F1616" t="s">
        <v>4782</v>
      </c>
      <c r="G1616" t="s">
        <v>4768</v>
      </c>
    </row>
    <row r="1617" spans="1:7">
      <c r="A1617" t="s">
        <v>7950</v>
      </c>
      <c r="B1617" t="s">
        <v>7951</v>
      </c>
      <c r="C1617" t="s">
        <v>4884</v>
      </c>
      <c r="D1617">
        <v>411</v>
      </c>
      <c r="E1617" s="208">
        <v>44753</v>
      </c>
      <c r="F1617" t="s">
        <v>4996</v>
      </c>
      <c r="G1617" t="s">
        <v>4768</v>
      </c>
    </row>
    <row r="1618" spans="1:7">
      <c r="A1618" t="s">
        <v>7952</v>
      </c>
      <c r="B1618" t="s">
        <v>7953</v>
      </c>
      <c r="C1618" t="s">
        <v>5286</v>
      </c>
      <c r="D1618">
        <v>7.53</v>
      </c>
      <c r="E1618" s="208">
        <v>44749</v>
      </c>
      <c r="F1618" t="s">
        <v>4782</v>
      </c>
      <c r="G1618" t="s">
        <v>4768</v>
      </c>
    </row>
    <row r="1619" spans="1:7">
      <c r="A1619" t="s">
        <v>7954</v>
      </c>
      <c r="B1619" t="s">
        <v>7955</v>
      </c>
      <c r="C1619" t="s">
        <v>4766</v>
      </c>
      <c r="D1619">
        <v>219.75</v>
      </c>
      <c r="E1619" s="208">
        <v>44749</v>
      </c>
      <c r="F1619" t="s">
        <v>4772</v>
      </c>
      <c r="G1619" t="s">
        <v>4768</v>
      </c>
    </row>
    <row r="1620" spans="1:7">
      <c r="A1620" t="s">
        <v>7956</v>
      </c>
      <c r="B1620" t="s">
        <v>7957</v>
      </c>
      <c r="C1620" t="s">
        <v>4766</v>
      </c>
      <c r="D1620">
        <v>14.71</v>
      </c>
      <c r="E1620" s="208">
        <v>44748</v>
      </c>
      <c r="F1620" t="s">
        <v>4782</v>
      </c>
      <c r="G1620" t="s">
        <v>4768</v>
      </c>
    </row>
    <row r="1621" spans="1:7">
      <c r="A1621" t="s">
        <v>7958</v>
      </c>
      <c r="B1621" t="s">
        <v>7959</v>
      </c>
      <c r="C1621" t="s">
        <v>4803</v>
      </c>
      <c r="D1621">
        <v>136.13</v>
      </c>
      <c r="E1621" s="208">
        <v>44747</v>
      </c>
      <c r="F1621" t="s">
        <v>4846</v>
      </c>
      <c r="G1621" t="s">
        <v>4768</v>
      </c>
    </row>
    <row r="1622" spans="1:7">
      <c r="A1622" t="s">
        <v>7960</v>
      </c>
      <c r="B1622" t="s">
        <v>7961</v>
      </c>
      <c r="C1622" t="s">
        <v>4806</v>
      </c>
      <c r="D1622">
        <v>18.73</v>
      </c>
      <c r="E1622" s="208">
        <v>44747</v>
      </c>
      <c r="F1622" t="s">
        <v>4846</v>
      </c>
      <c r="G1622" t="s">
        <v>4768</v>
      </c>
    </row>
    <row r="1623" spans="1:7">
      <c r="A1623" t="s">
        <v>7962</v>
      </c>
      <c r="B1623" t="s">
        <v>7963</v>
      </c>
      <c r="C1623" t="s">
        <v>4884</v>
      </c>
      <c r="D1623">
        <v>271.27999999999997</v>
      </c>
      <c r="E1623" s="208">
        <v>44747</v>
      </c>
      <c r="F1623" t="s">
        <v>4846</v>
      </c>
      <c r="G1623" t="s">
        <v>4768</v>
      </c>
    </row>
    <row r="1624" spans="1:7">
      <c r="A1624" t="s">
        <v>7964</v>
      </c>
      <c r="B1624" t="s">
        <v>7965</v>
      </c>
      <c r="C1624" t="s">
        <v>4766</v>
      </c>
      <c r="D1624">
        <v>29.17</v>
      </c>
      <c r="E1624" s="208">
        <v>44746</v>
      </c>
      <c r="F1624" t="s">
        <v>4782</v>
      </c>
      <c r="G1624" t="s">
        <v>4768</v>
      </c>
    </row>
    <row r="1625" spans="1:7">
      <c r="A1625" t="s">
        <v>7966</v>
      </c>
      <c r="B1625" t="s">
        <v>7967</v>
      </c>
      <c r="C1625" t="s">
        <v>4884</v>
      </c>
      <c r="D1625">
        <v>4.8</v>
      </c>
      <c r="E1625" s="208">
        <v>44746</v>
      </c>
      <c r="F1625" t="s">
        <v>4767</v>
      </c>
      <c r="G1625" t="s">
        <v>4768</v>
      </c>
    </row>
    <row r="1626" spans="1:7">
      <c r="A1626" t="s">
        <v>7968</v>
      </c>
      <c r="B1626" t="s">
        <v>7969</v>
      </c>
      <c r="C1626" t="s">
        <v>4766</v>
      </c>
      <c r="D1626">
        <v>3.29</v>
      </c>
      <c r="E1626" s="208">
        <v>44742</v>
      </c>
      <c r="F1626" t="s">
        <v>4792</v>
      </c>
      <c r="G1626" t="s">
        <v>4768</v>
      </c>
    </row>
    <row r="1627" spans="1:7">
      <c r="A1627" t="s">
        <v>7970</v>
      </c>
      <c r="B1627" t="s">
        <v>7971</v>
      </c>
      <c r="C1627" t="s">
        <v>4766</v>
      </c>
      <c r="D1627">
        <v>4.62</v>
      </c>
      <c r="E1627" s="208">
        <v>44742</v>
      </c>
      <c r="F1627" t="s">
        <v>4792</v>
      </c>
      <c r="G1627" t="s">
        <v>4768</v>
      </c>
    </row>
    <row r="1628" spans="1:7">
      <c r="A1628" t="s">
        <v>7972</v>
      </c>
      <c r="B1628" t="s">
        <v>7973</v>
      </c>
      <c r="C1628" t="s">
        <v>4766</v>
      </c>
      <c r="D1628">
        <v>42.27</v>
      </c>
      <c r="E1628" s="208">
        <v>44742</v>
      </c>
      <c r="F1628" t="s">
        <v>4782</v>
      </c>
      <c r="G1628" t="s">
        <v>4768</v>
      </c>
    </row>
    <row r="1629" spans="1:7">
      <c r="A1629" t="s">
        <v>7974</v>
      </c>
      <c r="B1629" t="s">
        <v>7975</v>
      </c>
      <c r="C1629" t="s">
        <v>4803</v>
      </c>
      <c r="D1629">
        <v>1722.45</v>
      </c>
      <c r="E1629" s="208">
        <v>44742</v>
      </c>
      <c r="F1629" t="s">
        <v>4804</v>
      </c>
      <c r="G1629" t="s">
        <v>4768</v>
      </c>
    </row>
    <row r="1630" spans="1:7">
      <c r="A1630" t="s">
        <v>7976</v>
      </c>
      <c r="B1630" t="s">
        <v>7977</v>
      </c>
      <c r="C1630" t="s">
        <v>4806</v>
      </c>
      <c r="D1630">
        <v>19.75</v>
      </c>
      <c r="E1630" s="208">
        <v>44742</v>
      </c>
      <c r="F1630" t="s">
        <v>4792</v>
      </c>
      <c r="G1630" t="s">
        <v>4768</v>
      </c>
    </row>
    <row r="1631" spans="1:7">
      <c r="A1631" t="s">
        <v>7978</v>
      </c>
      <c r="B1631" t="s">
        <v>7979</v>
      </c>
      <c r="C1631" t="s">
        <v>4766</v>
      </c>
      <c r="D1631">
        <v>8.1300000000000008</v>
      </c>
      <c r="E1631" s="208">
        <v>44739</v>
      </c>
      <c r="F1631" t="s">
        <v>4832</v>
      </c>
      <c r="G1631" t="s">
        <v>4768</v>
      </c>
    </row>
    <row r="1632" spans="1:7">
      <c r="A1632" t="s">
        <v>7980</v>
      </c>
      <c r="B1632" t="s">
        <v>7981</v>
      </c>
      <c r="C1632" t="s">
        <v>4795</v>
      </c>
      <c r="D1632">
        <v>57.18</v>
      </c>
      <c r="E1632" s="208">
        <v>44739</v>
      </c>
      <c r="F1632" t="s">
        <v>4832</v>
      </c>
      <c r="G1632" t="s">
        <v>4768</v>
      </c>
    </row>
    <row r="1633" spans="1:7">
      <c r="A1633" t="s">
        <v>7982</v>
      </c>
      <c r="B1633" t="s">
        <v>7983</v>
      </c>
      <c r="C1633" t="s">
        <v>4895</v>
      </c>
      <c r="D1633">
        <v>171</v>
      </c>
      <c r="E1633" s="208">
        <v>44736</v>
      </c>
      <c r="F1633" t="s">
        <v>4767</v>
      </c>
      <c r="G1633" t="s">
        <v>4768</v>
      </c>
    </row>
    <row r="1634" spans="1:7">
      <c r="A1634" t="s">
        <v>7984</v>
      </c>
      <c r="B1634" t="s">
        <v>7985</v>
      </c>
      <c r="C1634" t="s">
        <v>4838</v>
      </c>
      <c r="D1634">
        <v>26.1</v>
      </c>
      <c r="E1634" s="208">
        <v>44735</v>
      </c>
      <c r="F1634" t="s">
        <v>4772</v>
      </c>
      <c r="G1634" t="s">
        <v>4768</v>
      </c>
    </row>
    <row r="1635" spans="1:7">
      <c r="A1635" t="s">
        <v>7986</v>
      </c>
      <c r="B1635" t="s">
        <v>7987</v>
      </c>
      <c r="C1635" t="s">
        <v>4766</v>
      </c>
      <c r="D1635">
        <v>71.09</v>
      </c>
      <c r="E1635" s="208">
        <v>44735</v>
      </c>
      <c r="F1635" t="s">
        <v>4782</v>
      </c>
      <c r="G1635" t="s">
        <v>4768</v>
      </c>
    </row>
    <row r="1636" spans="1:7">
      <c r="A1636" t="s">
        <v>7988</v>
      </c>
      <c r="B1636" t="s">
        <v>7989</v>
      </c>
      <c r="C1636" t="s">
        <v>6613</v>
      </c>
      <c r="D1636">
        <v>1.05</v>
      </c>
      <c r="E1636" s="208">
        <v>44733</v>
      </c>
      <c r="F1636" t="s">
        <v>4767</v>
      </c>
      <c r="G1636" t="s">
        <v>4768</v>
      </c>
    </row>
    <row r="1637" spans="1:7">
      <c r="A1637" t="s">
        <v>7990</v>
      </c>
      <c r="B1637" t="s">
        <v>7991</v>
      </c>
      <c r="C1637" t="s">
        <v>4766</v>
      </c>
      <c r="D1637">
        <v>3.95</v>
      </c>
      <c r="E1637" s="208">
        <v>44732</v>
      </c>
      <c r="F1637" t="s">
        <v>4782</v>
      </c>
      <c r="G1637" t="s">
        <v>4768</v>
      </c>
    </row>
    <row r="1638" spans="1:7">
      <c r="A1638" t="s">
        <v>7992</v>
      </c>
      <c r="B1638" t="s">
        <v>7993</v>
      </c>
      <c r="C1638" t="s">
        <v>4806</v>
      </c>
      <c r="D1638">
        <v>50.5</v>
      </c>
      <c r="E1638" s="208">
        <v>44729</v>
      </c>
      <c r="F1638" t="s">
        <v>4923</v>
      </c>
      <c r="G1638" t="s">
        <v>4768</v>
      </c>
    </row>
    <row r="1639" spans="1:7">
      <c r="A1639" t="s">
        <v>7994</v>
      </c>
      <c r="B1639" t="s">
        <v>7995</v>
      </c>
      <c r="C1639" t="s">
        <v>5286</v>
      </c>
      <c r="D1639">
        <v>234.8</v>
      </c>
      <c r="E1639" s="208">
        <v>44729</v>
      </c>
      <c r="F1639" t="s">
        <v>4772</v>
      </c>
      <c r="G1639" t="s">
        <v>4768</v>
      </c>
    </row>
    <row r="1640" spans="1:7">
      <c r="A1640" t="s">
        <v>7996</v>
      </c>
      <c r="B1640" t="s">
        <v>7997</v>
      </c>
      <c r="C1640" t="s">
        <v>4766</v>
      </c>
      <c r="D1640">
        <v>12.3</v>
      </c>
      <c r="E1640" s="208">
        <v>44727</v>
      </c>
      <c r="F1640" t="s">
        <v>4772</v>
      </c>
      <c r="G1640" t="s">
        <v>4768</v>
      </c>
    </row>
    <row r="1641" spans="1:7">
      <c r="A1641" t="s">
        <v>7998</v>
      </c>
      <c r="B1641" t="s">
        <v>7999</v>
      </c>
      <c r="C1641" t="s">
        <v>8000</v>
      </c>
      <c r="D1641">
        <v>29.27</v>
      </c>
      <c r="E1641" s="208">
        <v>44727</v>
      </c>
      <c r="F1641" t="s">
        <v>4832</v>
      </c>
      <c r="G1641" t="s">
        <v>4768</v>
      </c>
    </row>
    <row r="1642" spans="1:7">
      <c r="A1642" t="s">
        <v>8001</v>
      </c>
      <c r="B1642" t="s">
        <v>8002</v>
      </c>
      <c r="C1642" t="s">
        <v>4803</v>
      </c>
      <c r="D1642">
        <v>910</v>
      </c>
      <c r="E1642" s="208">
        <v>44727</v>
      </c>
      <c r="F1642" t="s">
        <v>4772</v>
      </c>
      <c r="G1642" t="s">
        <v>4768</v>
      </c>
    </row>
    <row r="1643" spans="1:7">
      <c r="A1643" t="s">
        <v>8003</v>
      </c>
      <c r="B1643" t="s">
        <v>8004</v>
      </c>
      <c r="C1643" t="s">
        <v>4766</v>
      </c>
      <c r="D1643">
        <v>6.36</v>
      </c>
      <c r="E1643" s="208">
        <v>44720</v>
      </c>
      <c r="F1643" t="s">
        <v>4936</v>
      </c>
      <c r="G1643" t="s">
        <v>4768</v>
      </c>
    </row>
    <row r="1644" spans="1:7">
      <c r="A1644" t="s">
        <v>8005</v>
      </c>
      <c r="B1644" t="s">
        <v>8006</v>
      </c>
      <c r="C1644" t="s">
        <v>4766</v>
      </c>
      <c r="D1644">
        <v>3.9</v>
      </c>
      <c r="E1644" s="208">
        <v>44715</v>
      </c>
      <c r="F1644" t="s">
        <v>4772</v>
      </c>
      <c r="G1644" t="s">
        <v>4768</v>
      </c>
    </row>
    <row r="1645" spans="1:7">
      <c r="A1645" t="s">
        <v>8007</v>
      </c>
      <c r="B1645" t="s">
        <v>8008</v>
      </c>
      <c r="C1645" t="s">
        <v>4766</v>
      </c>
      <c r="D1645">
        <v>4.75</v>
      </c>
      <c r="E1645" s="208">
        <v>44715</v>
      </c>
      <c r="F1645" t="s">
        <v>4772</v>
      </c>
      <c r="G1645" t="s">
        <v>4768</v>
      </c>
    </row>
    <row r="1646" spans="1:7">
      <c r="A1646" t="s">
        <v>8009</v>
      </c>
      <c r="B1646" t="s">
        <v>8010</v>
      </c>
      <c r="C1646" t="s">
        <v>4766</v>
      </c>
      <c r="D1646">
        <v>3.5</v>
      </c>
      <c r="E1646" s="208">
        <v>44715</v>
      </c>
      <c r="F1646" t="s">
        <v>4772</v>
      </c>
      <c r="G1646" t="s">
        <v>4768</v>
      </c>
    </row>
    <row r="1647" spans="1:7">
      <c r="A1647" t="s">
        <v>8011</v>
      </c>
      <c r="B1647" t="s">
        <v>8012</v>
      </c>
      <c r="C1647" t="s">
        <v>4766</v>
      </c>
      <c r="D1647">
        <v>154.25</v>
      </c>
      <c r="E1647" s="208">
        <v>44713</v>
      </c>
      <c r="F1647" t="s">
        <v>4772</v>
      </c>
      <c r="G1647" t="s">
        <v>4768</v>
      </c>
    </row>
    <row r="1648" spans="1:7">
      <c r="A1648" t="s">
        <v>8013</v>
      </c>
      <c r="B1648" t="s">
        <v>8014</v>
      </c>
      <c r="C1648" t="s">
        <v>4806</v>
      </c>
      <c r="D1648">
        <v>82.75</v>
      </c>
      <c r="E1648" s="208">
        <v>44713</v>
      </c>
      <c r="F1648" t="s">
        <v>4923</v>
      </c>
      <c r="G1648" t="s">
        <v>4768</v>
      </c>
    </row>
    <row r="1649" spans="1:7">
      <c r="A1649" t="s">
        <v>8015</v>
      </c>
      <c r="B1649" t="s">
        <v>8016</v>
      </c>
      <c r="C1649" t="s">
        <v>4920</v>
      </c>
      <c r="D1649">
        <v>75.8</v>
      </c>
      <c r="E1649" s="208">
        <v>44706</v>
      </c>
      <c r="F1649" t="s">
        <v>4804</v>
      </c>
      <c r="G1649" t="s">
        <v>4768</v>
      </c>
    </row>
    <row r="1650" spans="1:7">
      <c r="A1650" t="s">
        <v>8017</v>
      </c>
      <c r="B1650" t="s">
        <v>8018</v>
      </c>
      <c r="C1650" t="s">
        <v>4766</v>
      </c>
      <c r="D1650">
        <v>75.430000000000007</v>
      </c>
      <c r="E1650" s="208">
        <v>44706</v>
      </c>
      <c r="F1650" t="s">
        <v>4782</v>
      </c>
      <c r="G1650" t="s">
        <v>4768</v>
      </c>
    </row>
    <row r="1651" spans="1:7">
      <c r="A1651" t="s">
        <v>8019</v>
      </c>
      <c r="B1651" t="s">
        <v>8020</v>
      </c>
      <c r="C1651" t="s">
        <v>4766</v>
      </c>
      <c r="D1651">
        <v>18.39</v>
      </c>
      <c r="E1651" s="208">
        <v>44705</v>
      </c>
      <c r="F1651" t="s">
        <v>4782</v>
      </c>
      <c r="G1651" t="s">
        <v>4768</v>
      </c>
    </row>
    <row r="1652" spans="1:7">
      <c r="A1652" t="s">
        <v>8021</v>
      </c>
      <c r="B1652" t="s">
        <v>8022</v>
      </c>
      <c r="C1652" t="s">
        <v>4806</v>
      </c>
      <c r="D1652">
        <v>4.43</v>
      </c>
      <c r="E1652" s="208">
        <v>44705</v>
      </c>
      <c r="F1652" t="s">
        <v>4877</v>
      </c>
      <c r="G1652" t="s">
        <v>4768</v>
      </c>
    </row>
    <row r="1653" spans="1:7">
      <c r="A1653" t="s">
        <v>8023</v>
      </c>
      <c r="B1653" t="s">
        <v>8024</v>
      </c>
      <c r="C1653" t="s">
        <v>4895</v>
      </c>
      <c r="D1653">
        <v>38.25</v>
      </c>
      <c r="E1653" s="208">
        <v>44694</v>
      </c>
      <c r="F1653" t="s">
        <v>4772</v>
      </c>
      <c r="G1653" t="s">
        <v>4768</v>
      </c>
    </row>
    <row r="1654" spans="1:7">
      <c r="A1654" t="s">
        <v>8025</v>
      </c>
      <c r="B1654" t="s">
        <v>8026</v>
      </c>
      <c r="C1654" t="s">
        <v>8027</v>
      </c>
      <c r="D1654">
        <v>17.7</v>
      </c>
      <c r="E1654" s="208">
        <v>44691</v>
      </c>
      <c r="F1654" t="s">
        <v>4804</v>
      </c>
      <c r="G1654" t="s">
        <v>4768</v>
      </c>
    </row>
    <row r="1655" spans="1:7">
      <c r="A1655" t="s">
        <v>8028</v>
      </c>
      <c r="B1655" t="s">
        <v>8029</v>
      </c>
      <c r="C1655" t="s">
        <v>4766</v>
      </c>
      <c r="D1655">
        <v>33.5</v>
      </c>
      <c r="E1655" s="208">
        <v>44683</v>
      </c>
      <c r="F1655" t="s">
        <v>4782</v>
      </c>
      <c r="G1655" t="s">
        <v>4768</v>
      </c>
    </row>
    <row r="1656" spans="1:7">
      <c r="A1656" t="s">
        <v>8030</v>
      </c>
      <c r="B1656" t="s">
        <v>8031</v>
      </c>
      <c r="C1656" t="s">
        <v>5172</v>
      </c>
      <c r="D1656">
        <v>19.45</v>
      </c>
      <c r="E1656" s="208">
        <v>44683</v>
      </c>
      <c r="F1656" t="s">
        <v>4772</v>
      </c>
      <c r="G1656" t="s">
        <v>4768</v>
      </c>
    </row>
    <row r="1657" spans="1:7">
      <c r="A1657" t="s">
        <v>8032</v>
      </c>
      <c r="B1657" t="s">
        <v>8033</v>
      </c>
      <c r="C1657" t="s">
        <v>4884</v>
      </c>
      <c r="D1657">
        <v>32.6</v>
      </c>
      <c r="E1657" s="208">
        <v>44683</v>
      </c>
      <c r="F1657" t="s">
        <v>4772</v>
      </c>
      <c r="G1657" t="s">
        <v>4768</v>
      </c>
    </row>
    <row r="1658" spans="1:7">
      <c r="A1658" t="s">
        <v>8034</v>
      </c>
      <c r="B1658" t="s">
        <v>8035</v>
      </c>
      <c r="C1658" t="s">
        <v>4766</v>
      </c>
      <c r="D1658">
        <v>13.79</v>
      </c>
      <c r="E1658" s="208">
        <v>44681</v>
      </c>
      <c r="F1658" t="s">
        <v>4782</v>
      </c>
      <c r="G1658" t="s">
        <v>4768</v>
      </c>
    </row>
    <row r="1659" spans="1:7">
      <c r="A1659" t="s">
        <v>8036</v>
      </c>
      <c r="B1659" t="s">
        <v>8037</v>
      </c>
      <c r="C1659" t="s">
        <v>4803</v>
      </c>
      <c r="D1659">
        <v>135.75</v>
      </c>
      <c r="E1659" s="208">
        <v>44680</v>
      </c>
      <c r="F1659" t="s">
        <v>8038</v>
      </c>
      <c r="G1659" t="s">
        <v>4768</v>
      </c>
    </row>
    <row r="1660" spans="1:7">
      <c r="A1660" t="s">
        <v>8039</v>
      </c>
      <c r="B1660" t="s">
        <v>8040</v>
      </c>
      <c r="C1660" t="s">
        <v>4803</v>
      </c>
      <c r="D1660">
        <v>111.26</v>
      </c>
      <c r="E1660" s="208">
        <v>44673</v>
      </c>
      <c r="F1660" t="s">
        <v>4846</v>
      </c>
      <c r="G1660" t="s">
        <v>4768</v>
      </c>
    </row>
    <row r="1661" spans="1:7">
      <c r="A1661" t="s">
        <v>8041</v>
      </c>
      <c r="B1661" t="s">
        <v>8042</v>
      </c>
      <c r="C1661" t="s">
        <v>4884</v>
      </c>
      <c r="D1661">
        <v>205.6</v>
      </c>
      <c r="E1661" s="208">
        <v>44670</v>
      </c>
      <c r="F1661" t="s">
        <v>4804</v>
      </c>
      <c r="G1661" t="s">
        <v>4768</v>
      </c>
    </row>
    <row r="1662" spans="1:7">
      <c r="A1662" t="s">
        <v>8043</v>
      </c>
      <c r="B1662" t="s">
        <v>8044</v>
      </c>
      <c r="C1662" t="s">
        <v>4972</v>
      </c>
      <c r="D1662">
        <v>8.5</v>
      </c>
      <c r="E1662" s="208">
        <v>44663</v>
      </c>
      <c r="F1662" t="s">
        <v>4877</v>
      </c>
      <c r="G1662" t="s">
        <v>4768</v>
      </c>
    </row>
    <row r="1663" spans="1:7">
      <c r="A1663" t="s">
        <v>8045</v>
      </c>
      <c r="B1663" t="s">
        <v>7263</v>
      </c>
      <c r="C1663" t="s">
        <v>4895</v>
      </c>
      <c r="D1663">
        <v>52.95</v>
      </c>
      <c r="E1663" s="208">
        <v>44662</v>
      </c>
      <c r="F1663" t="s">
        <v>4767</v>
      </c>
      <c r="G1663" t="s">
        <v>4768</v>
      </c>
    </row>
    <row r="1664" spans="1:7">
      <c r="A1664" t="s">
        <v>8046</v>
      </c>
      <c r="B1664" t="s">
        <v>8047</v>
      </c>
      <c r="C1664" t="s">
        <v>4766</v>
      </c>
      <c r="D1664">
        <v>145</v>
      </c>
      <c r="E1664" s="208">
        <v>44656</v>
      </c>
      <c r="F1664" t="s">
        <v>5300</v>
      </c>
      <c r="G1664" t="s">
        <v>4768</v>
      </c>
    </row>
    <row r="1665" spans="1:7">
      <c r="A1665" t="s">
        <v>8048</v>
      </c>
      <c r="B1665" t="s">
        <v>8049</v>
      </c>
      <c r="C1665" t="s">
        <v>4822</v>
      </c>
      <c r="D1665">
        <v>432.7</v>
      </c>
      <c r="E1665" s="208">
        <v>44656</v>
      </c>
      <c r="F1665" t="s">
        <v>4804</v>
      </c>
      <c r="G1665" t="s">
        <v>4768</v>
      </c>
    </row>
    <row r="1666" spans="1:7">
      <c r="A1666" t="s">
        <v>8050</v>
      </c>
      <c r="B1666" t="s">
        <v>8051</v>
      </c>
      <c r="C1666" t="s">
        <v>4803</v>
      </c>
      <c r="D1666">
        <v>96.65</v>
      </c>
      <c r="E1666" s="208">
        <v>44645</v>
      </c>
      <c r="F1666" t="s">
        <v>4772</v>
      </c>
      <c r="G1666" t="s">
        <v>4768</v>
      </c>
    </row>
    <row r="1667" spans="1:7">
      <c r="A1667" t="s">
        <v>8052</v>
      </c>
      <c r="B1667" t="s">
        <v>8053</v>
      </c>
      <c r="C1667" t="s">
        <v>4766</v>
      </c>
      <c r="D1667">
        <v>617.5</v>
      </c>
      <c r="E1667" s="208">
        <v>44643</v>
      </c>
      <c r="F1667" t="s">
        <v>4804</v>
      </c>
      <c r="G1667" t="s">
        <v>4768</v>
      </c>
    </row>
    <row r="1668" spans="1:7">
      <c r="A1668" t="s">
        <v>8054</v>
      </c>
      <c r="B1668" t="s">
        <v>8055</v>
      </c>
      <c r="C1668" t="s">
        <v>4766</v>
      </c>
      <c r="D1668">
        <v>5.08</v>
      </c>
      <c r="E1668" s="208">
        <v>44643</v>
      </c>
      <c r="F1668" t="s">
        <v>4782</v>
      </c>
      <c r="G1668" t="s">
        <v>4768</v>
      </c>
    </row>
    <row r="1669" spans="1:7">
      <c r="A1669" t="s">
        <v>8056</v>
      </c>
      <c r="B1669" t="s">
        <v>8057</v>
      </c>
      <c r="C1669" t="s">
        <v>4884</v>
      </c>
      <c r="D1669">
        <v>81.05</v>
      </c>
      <c r="E1669" s="208">
        <v>44643</v>
      </c>
      <c r="F1669" t="s">
        <v>4772</v>
      </c>
      <c r="G1669" t="s">
        <v>4768</v>
      </c>
    </row>
    <row r="1670" spans="1:7">
      <c r="A1670" t="s">
        <v>8058</v>
      </c>
      <c r="B1670" t="s">
        <v>8059</v>
      </c>
      <c r="C1670" t="s">
        <v>4920</v>
      </c>
      <c r="D1670">
        <v>28</v>
      </c>
      <c r="E1670" s="208">
        <v>44641</v>
      </c>
      <c r="F1670" t="s">
        <v>4767</v>
      </c>
      <c r="G1670" t="s">
        <v>4768</v>
      </c>
    </row>
    <row r="1671" spans="1:7">
      <c r="A1671" t="s">
        <v>8060</v>
      </c>
      <c r="B1671" t="s">
        <v>8061</v>
      </c>
      <c r="C1671" t="s">
        <v>4806</v>
      </c>
      <c r="D1671">
        <v>0.74968000000000001</v>
      </c>
      <c r="E1671" s="208">
        <v>44641</v>
      </c>
      <c r="F1671" t="s">
        <v>4792</v>
      </c>
      <c r="G1671" t="s">
        <v>4768</v>
      </c>
    </row>
    <row r="1672" spans="1:7">
      <c r="A1672" t="s">
        <v>8062</v>
      </c>
      <c r="B1672" t="s">
        <v>8063</v>
      </c>
      <c r="C1672" t="s">
        <v>4895</v>
      </c>
      <c r="D1672">
        <v>38.25</v>
      </c>
      <c r="E1672" s="208">
        <v>44638</v>
      </c>
      <c r="F1672" t="s">
        <v>4772</v>
      </c>
      <c r="G1672" t="s">
        <v>4768</v>
      </c>
    </row>
    <row r="1673" spans="1:7">
      <c r="A1673" t="s">
        <v>8064</v>
      </c>
      <c r="B1673" t="s">
        <v>8065</v>
      </c>
      <c r="C1673" t="s">
        <v>4771</v>
      </c>
      <c r="D1673">
        <v>98.75</v>
      </c>
      <c r="E1673" s="208">
        <v>44636</v>
      </c>
      <c r="F1673" t="s">
        <v>4772</v>
      </c>
      <c r="G1673" t="s">
        <v>4768</v>
      </c>
    </row>
    <row r="1674" spans="1:7">
      <c r="A1674" t="s">
        <v>8066</v>
      </c>
      <c r="B1674" t="s">
        <v>8067</v>
      </c>
      <c r="C1674" t="s">
        <v>4795</v>
      </c>
      <c r="D1674">
        <v>12.38</v>
      </c>
      <c r="E1674" s="208">
        <v>44634</v>
      </c>
      <c r="F1674" t="s">
        <v>4767</v>
      </c>
      <c r="G1674" t="s">
        <v>4768</v>
      </c>
    </row>
    <row r="1675" spans="1:7">
      <c r="A1675" t="s">
        <v>8068</v>
      </c>
      <c r="B1675" t="s">
        <v>8069</v>
      </c>
      <c r="C1675" t="s">
        <v>4766</v>
      </c>
      <c r="D1675">
        <v>29.33</v>
      </c>
      <c r="E1675" s="208">
        <v>44634</v>
      </c>
      <c r="F1675" t="s">
        <v>4767</v>
      </c>
      <c r="G1675" t="s">
        <v>4768</v>
      </c>
    </row>
    <row r="1676" spans="1:7">
      <c r="A1676" t="s">
        <v>8070</v>
      </c>
      <c r="B1676" t="s">
        <v>8071</v>
      </c>
      <c r="C1676" t="s">
        <v>4835</v>
      </c>
      <c r="D1676">
        <v>72.59</v>
      </c>
      <c r="E1676" s="208">
        <v>44620</v>
      </c>
      <c r="F1676" t="s">
        <v>4767</v>
      </c>
      <c r="G1676" t="s">
        <v>4768</v>
      </c>
    </row>
    <row r="1677" spans="1:7">
      <c r="A1677" t="s">
        <v>8072</v>
      </c>
      <c r="B1677" t="s">
        <v>8073</v>
      </c>
      <c r="C1677" t="s">
        <v>4766</v>
      </c>
      <c r="D1677">
        <v>53.61</v>
      </c>
      <c r="E1677" s="208">
        <v>44620</v>
      </c>
      <c r="F1677" t="s">
        <v>4782</v>
      </c>
      <c r="G1677" t="s">
        <v>4768</v>
      </c>
    </row>
    <row r="1678" spans="1:7">
      <c r="A1678" t="s">
        <v>8074</v>
      </c>
      <c r="B1678" t="s">
        <v>8075</v>
      </c>
      <c r="C1678" t="s">
        <v>6085</v>
      </c>
      <c r="D1678">
        <v>1</v>
      </c>
      <c r="E1678" s="208">
        <v>44620</v>
      </c>
      <c r="F1678" t="s">
        <v>4767</v>
      </c>
      <c r="G1678" t="s">
        <v>4768</v>
      </c>
    </row>
    <row r="1679" spans="1:7">
      <c r="A1679" t="s">
        <v>8076</v>
      </c>
      <c r="B1679" t="s">
        <v>8077</v>
      </c>
      <c r="C1679" t="s">
        <v>4845</v>
      </c>
      <c r="D1679">
        <v>11.48</v>
      </c>
      <c r="E1679" s="208">
        <v>44620</v>
      </c>
      <c r="F1679" t="s">
        <v>4767</v>
      </c>
      <c r="G1679" t="s">
        <v>4768</v>
      </c>
    </row>
    <row r="1680" spans="1:7">
      <c r="A1680" t="s">
        <v>8078</v>
      </c>
      <c r="B1680" t="s">
        <v>8079</v>
      </c>
      <c r="C1680" t="s">
        <v>5172</v>
      </c>
      <c r="D1680">
        <v>6.15</v>
      </c>
      <c r="E1680" s="208">
        <v>44615</v>
      </c>
      <c r="F1680" t="s">
        <v>4772</v>
      </c>
      <c r="G1680" t="s">
        <v>4768</v>
      </c>
    </row>
    <row r="1681" spans="1:7">
      <c r="A1681" t="s">
        <v>8080</v>
      </c>
      <c r="B1681" t="s">
        <v>8081</v>
      </c>
      <c r="C1681" t="s">
        <v>4766</v>
      </c>
      <c r="D1681">
        <v>49.68</v>
      </c>
      <c r="E1681" s="208">
        <v>44614</v>
      </c>
      <c r="F1681" t="s">
        <v>4782</v>
      </c>
      <c r="G1681" t="s">
        <v>4768</v>
      </c>
    </row>
    <row r="1682" spans="1:7">
      <c r="A1682" t="s">
        <v>8082</v>
      </c>
      <c r="B1682" t="s">
        <v>8083</v>
      </c>
      <c r="C1682" t="s">
        <v>4806</v>
      </c>
      <c r="D1682">
        <v>7</v>
      </c>
      <c r="E1682" s="208">
        <v>44606</v>
      </c>
      <c r="F1682" t="s">
        <v>4877</v>
      </c>
      <c r="G1682" t="s">
        <v>4768</v>
      </c>
    </row>
    <row r="1683" spans="1:7">
      <c r="A1683" t="s">
        <v>8084</v>
      </c>
      <c r="B1683" t="s">
        <v>8085</v>
      </c>
      <c r="C1683" t="s">
        <v>4795</v>
      </c>
      <c r="D1683">
        <v>459.5</v>
      </c>
      <c r="E1683" s="208">
        <v>44596</v>
      </c>
      <c r="F1683" t="s">
        <v>4772</v>
      </c>
      <c r="G1683" t="s">
        <v>4768</v>
      </c>
    </row>
    <row r="1684" spans="1:7">
      <c r="A1684" t="s">
        <v>8086</v>
      </c>
      <c r="B1684" t="s">
        <v>8087</v>
      </c>
      <c r="C1684" t="s">
        <v>4803</v>
      </c>
      <c r="D1684">
        <v>99</v>
      </c>
      <c r="E1684" s="208">
        <v>44593</v>
      </c>
      <c r="F1684" t="s">
        <v>4772</v>
      </c>
      <c r="G1684" t="s">
        <v>4768</v>
      </c>
    </row>
    <row r="1685" spans="1:7">
      <c r="A1685" t="s">
        <v>8088</v>
      </c>
      <c r="B1685" t="s">
        <v>8089</v>
      </c>
      <c r="C1685" t="s">
        <v>6331</v>
      </c>
      <c r="D1685">
        <v>96.85</v>
      </c>
      <c r="E1685" s="208">
        <v>44589</v>
      </c>
      <c r="F1685" t="s">
        <v>4804</v>
      </c>
      <c r="G1685" t="s">
        <v>4768</v>
      </c>
    </row>
    <row r="1686" spans="1:7">
      <c r="A1686" t="s">
        <v>8090</v>
      </c>
      <c r="B1686" t="s">
        <v>8091</v>
      </c>
      <c r="C1686" t="s">
        <v>4806</v>
      </c>
      <c r="D1686">
        <v>9.3000000000000007</v>
      </c>
      <c r="E1686" s="208">
        <v>44588</v>
      </c>
      <c r="F1686" t="s">
        <v>4877</v>
      </c>
      <c r="G1686" t="s">
        <v>4768</v>
      </c>
    </row>
    <row r="1687" spans="1:7">
      <c r="A1687" t="s">
        <v>8092</v>
      </c>
      <c r="B1687" t="s">
        <v>8093</v>
      </c>
      <c r="C1687" t="s">
        <v>4795</v>
      </c>
      <c r="D1687">
        <v>60</v>
      </c>
      <c r="E1687" s="208">
        <v>44587</v>
      </c>
      <c r="F1687" t="s">
        <v>4877</v>
      </c>
      <c r="G1687" t="s">
        <v>4768</v>
      </c>
    </row>
    <row r="1688" spans="1:7">
      <c r="A1688" t="s">
        <v>8094</v>
      </c>
      <c r="B1688" t="s">
        <v>8095</v>
      </c>
      <c r="C1688" t="s">
        <v>4806</v>
      </c>
      <c r="D1688">
        <v>4.66</v>
      </c>
      <c r="E1688" s="208">
        <v>44587</v>
      </c>
      <c r="F1688" t="s">
        <v>4877</v>
      </c>
      <c r="G1688" t="s">
        <v>4768</v>
      </c>
    </row>
    <row r="1689" spans="1:7">
      <c r="A1689" t="s">
        <v>8096</v>
      </c>
      <c r="B1689" t="s">
        <v>8097</v>
      </c>
      <c r="C1689" t="s">
        <v>4895</v>
      </c>
      <c r="D1689">
        <v>162.44999999999999</v>
      </c>
      <c r="E1689" s="208">
        <v>44586</v>
      </c>
      <c r="F1689" t="s">
        <v>4767</v>
      </c>
      <c r="G1689" t="s">
        <v>4768</v>
      </c>
    </row>
    <row r="1690" spans="1:7">
      <c r="A1690" t="s">
        <v>8098</v>
      </c>
      <c r="B1690" t="s">
        <v>8099</v>
      </c>
      <c r="C1690" t="s">
        <v>4803</v>
      </c>
      <c r="D1690">
        <v>251.6</v>
      </c>
      <c r="E1690" s="208">
        <v>44580</v>
      </c>
      <c r="F1690" t="s">
        <v>4772</v>
      </c>
      <c r="G1690" t="s">
        <v>4768</v>
      </c>
    </row>
    <row r="1691" spans="1:7">
      <c r="A1691" t="s">
        <v>8100</v>
      </c>
      <c r="B1691" t="s">
        <v>8101</v>
      </c>
      <c r="C1691" t="s">
        <v>4884</v>
      </c>
      <c r="D1691">
        <v>85.09</v>
      </c>
      <c r="E1691" s="208">
        <v>44571</v>
      </c>
      <c r="F1691" t="s">
        <v>4767</v>
      </c>
      <c r="G1691" t="s">
        <v>4768</v>
      </c>
    </row>
    <row r="1692" spans="1:7">
      <c r="A1692" t="s">
        <v>8102</v>
      </c>
      <c r="B1692" t="s">
        <v>8103</v>
      </c>
      <c r="C1692" t="s">
        <v>4766</v>
      </c>
      <c r="D1692">
        <v>549</v>
      </c>
      <c r="E1692" s="208">
        <v>44546</v>
      </c>
      <c r="F1692" t="s">
        <v>4832</v>
      </c>
      <c r="G1692" t="s">
        <v>4768</v>
      </c>
    </row>
    <row r="1693" spans="1:7">
      <c r="A1693" t="s">
        <v>8104</v>
      </c>
      <c r="B1693" t="s">
        <v>8105</v>
      </c>
      <c r="C1693" t="s">
        <v>4806</v>
      </c>
      <c r="D1693">
        <v>63.45</v>
      </c>
      <c r="E1693" s="208">
        <v>44545</v>
      </c>
      <c r="F1693" t="s">
        <v>4923</v>
      </c>
      <c r="G1693" t="s">
        <v>4768</v>
      </c>
    </row>
    <row r="1694" spans="1:7">
      <c r="A1694" t="s">
        <v>8106</v>
      </c>
      <c r="B1694" t="s">
        <v>8107</v>
      </c>
      <c r="C1694" t="s">
        <v>4766</v>
      </c>
      <c r="D1694">
        <v>63.28</v>
      </c>
      <c r="E1694" s="208">
        <v>44543</v>
      </c>
      <c r="F1694" t="s">
        <v>6638</v>
      </c>
      <c r="G1694" t="s">
        <v>4768</v>
      </c>
    </row>
    <row r="1695" spans="1:7">
      <c r="A1695" t="s">
        <v>8108</v>
      </c>
      <c r="B1695" t="s">
        <v>8109</v>
      </c>
      <c r="C1695" t="s">
        <v>6331</v>
      </c>
      <c r="D1695">
        <v>232.1</v>
      </c>
      <c r="E1695" s="208">
        <v>44540</v>
      </c>
      <c r="F1695" t="s">
        <v>4767</v>
      </c>
      <c r="G1695" t="s">
        <v>4768</v>
      </c>
    </row>
    <row r="1696" spans="1:7">
      <c r="A1696" t="s">
        <v>8110</v>
      </c>
      <c r="B1696" t="s">
        <v>8111</v>
      </c>
      <c r="C1696" t="s">
        <v>4806</v>
      </c>
      <c r="D1696">
        <v>49.85</v>
      </c>
      <c r="E1696" s="208">
        <v>44536</v>
      </c>
      <c r="F1696" t="s">
        <v>4923</v>
      </c>
      <c r="G1696" t="s">
        <v>4768</v>
      </c>
    </row>
    <row r="1697" spans="1:7">
      <c r="A1697" t="s">
        <v>8112</v>
      </c>
      <c r="B1697" t="s">
        <v>8113</v>
      </c>
      <c r="C1697" t="s">
        <v>4803</v>
      </c>
      <c r="D1697">
        <v>140.94999999999999</v>
      </c>
      <c r="E1697" s="208">
        <v>44532</v>
      </c>
      <c r="F1697" t="s">
        <v>4767</v>
      </c>
      <c r="G1697" t="s">
        <v>4768</v>
      </c>
    </row>
    <row r="1698" spans="1:7">
      <c r="A1698" t="s">
        <v>8114</v>
      </c>
      <c r="B1698" t="s">
        <v>8115</v>
      </c>
      <c r="C1698" t="s">
        <v>4803</v>
      </c>
      <c r="D1698">
        <v>135.65</v>
      </c>
      <c r="E1698" s="208">
        <v>44532</v>
      </c>
      <c r="F1698" t="s">
        <v>4767</v>
      </c>
      <c r="G1698" t="s">
        <v>4768</v>
      </c>
    </row>
    <row r="1699" spans="1:7">
      <c r="A1699" t="s">
        <v>8116</v>
      </c>
      <c r="B1699" t="s">
        <v>8117</v>
      </c>
      <c r="C1699" t="s">
        <v>4766</v>
      </c>
      <c r="D1699">
        <v>43.87</v>
      </c>
      <c r="E1699" s="208">
        <v>44531</v>
      </c>
      <c r="F1699" t="s">
        <v>7798</v>
      </c>
      <c r="G1699" t="s">
        <v>4768</v>
      </c>
    </row>
    <row r="1700" spans="1:7">
      <c r="A1700" t="s">
        <v>8118</v>
      </c>
      <c r="B1700" t="s">
        <v>8119</v>
      </c>
      <c r="C1700" t="s">
        <v>6866</v>
      </c>
      <c r="D1700">
        <v>16.350000000000001</v>
      </c>
      <c r="E1700" s="208">
        <v>44529</v>
      </c>
      <c r="F1700" t="s">
        <v>4772</v>
      </c>
      <c r="G1700" t="s">
        <v>4768</v>
      </c>
    </row>
    <row r="1701" spans="1:7">
      <c r="A1701" t="s">
        <v>8120</v>
      </c>
      <c r="B1701" t="s">
        <v>8121</v>
      </c>
      <c r="C1701" t="s">
        <v>4806</v>
      </c>
      <c r="D1701">
        <v>65</v>
      </c>
      <c r="E1701" s="208">
        <v>44526</v>
      </c>
      <c r="F1701" t="s">
        <v>4923</v>
      </c>
      <c r="G1701" t="s">
        <v>4768</v>
      </c>
    </row>
    <row r="1702" spans="1:7">
      <c r="A1702" t="s">
        <v>8122</v>
      </c>
      <c r="B1702" t="s">
        <v>8123</v>
      </c>
      <c r="C1702" t="s">
        <v>4766</v>
      </c>
      <c r="D1702">
        <v>3</v>
      </c>
      <c r="E1702" s="208">
        <v>44526</v>
      </c>
      <c r="F1702" t="s">
        <v>4792</v>
      </c>
      <c r="G1702" t="s">
        <v>4768</v>
      </c>
    </row>
    <row r="1703" spans="1:7">
      <c r="A1703" t="s">
        <v>8124</v>
      </c>
      <c r="B1703" t="s">
        <v>8125</v>
      </c>
      <c r="C1703" t="s">
        <v>4806</v>
      </c>
      <c r="D1703">
        <v>8.5</v>
      </c>
      <c r="E1703" s="208">
        <v>44524</v>
      </c>
      <c r="F1703" t="s">
        <v>4772</v>
      </c>
      <c r="G1703" t="s">
        <v>4768</v>
      </c>
    </row>
    <row r="1704" spans="1:7">
      <c r="A1704" t="s">
        <v>8126</v>
      </c>
      <c r="B1704" t="s">
        <v>8127</v>
      </c>
      <c r="C1704" t="s">
        <v>4803</v>
      </c>
      <c r="D1704">
        <v>224.85</v>
      </c>
      <c r="E1704" s="208">
        <v>44524</v>
      </c>
      <c r="F1704" t="s">
        <v>4804</v>
      </c>
      <c r="G1704" t="s">
        <v>4768</v>
      </c>
    </row>
    <row r="1705" spans="1:7">
      <c r="A1705" t="s">
        <v>8128</v>
      </c>
      <c r="B1705" t="s">
        <v>8129</v>
      </c>
      <c r="C1705" t="s">
        <v>4884</v>
      </c>
      <c r="D1705">
        <v>307.3</v>
      </c>
      <c r="E1705" s="208">
        <v>44524</v>
      </c>
      <c r="F1705" t="s">
        <v>4772</v>
      </c>
      <c r="G1705" t="s">
        <v>4768</v>
      </c>
    </row>
    <row r="1706" spans="1:7">
      <c r="A1706" t="s">
        <v>8130</v>
      </c>
      <c r="B1706" t="s">
        <v>8131</v>
      </c>
      <c r="C1706" t="s">
        <v>4806</v>
      </c>
      <c r="D1706">
        <v>47.836799999999997</v>
      </c>
      <c r="E1706" s="208">
        <v>44517</v>
      </c>
      <c r="F1706" t="s">
        <v>4923</v>
      </c>
      <c r="G1706" t="s">
        <v>4768</v>
      </c>
    </row>
    <row r="1707" spans="1:7">
      <c r="A1707" t="s">
        <v>8132</v>
      </c>
      <c r="B1707" t="s">
        <v>8133</v>
      </c>
      <c r="C1707" t="s">
        <v>4835</v>
      </c>
      <c r="D1707">
        <v>190.7</v>
      </c>
      <c r="E1707" s="208">
        <v>44516</v>
      </c>
      <c r="F1707" t="s">
        <v>4772</v>
      </c>
      <c r="G1707" t="s">
        <v>4768</v>
      </c>
    </row>
    <row r="1708" spans="1:7">
      <c r="A1708" t="s">
        <v>8134</v>
      </c>
      <c r="B1708" t="s">
        <v>8135</v>
      </c>
      <c r="C1708" t="s">
        <v>6613</v>
      </c>
      <c r="D1708">
        <v>438.95</v>
      </c>
      <c r="E1708" s="208">
        <v>44510</v>
      </c>
      <c r="F1708" t="s">
        <v>4772</v>
      </c>
      <c r="G1708" t="s">
        <v>4768</v>
      </c>
    </row>
    <row r="1709" spans="1:7">
      <c r="A1709" t="s">
        <v>8136</v>
      </c>
      <c r="B1709" t="s">
        <v>8137</v>
      </c>
      <c r="C1709" t="s">
        <v>8138</v>
      </c>
      <c r="D1709">
        <v>24.5</v>
      </c>
      <c r="E1709" s="208">
        <v>44503</v>
      </c>
      <c r="F1709" t="s">
        <v>4804</v>
      </c>
      <c r="G1709" t="s">
        <v>4768</v>
      </c>
    </row>
    <row r="1710" spans="1:7">
      <c r="A1710" t="s">
        <v>8139</v>
      </c>
      <c r="B1710" t="s">
        <v>8140</v>
      </c>
      <c r="C1710" t="s">
        <v>4806</v>
      </c>
      <c r="D1710">
        <v>6.99</v>
      </c>
      <c r="E1710" s="208">
        <v>44498</v>
      </c>
      <c r="F1710" t="s">
        <v>4792</v>
      </c>
      <c r="G1710" t="s">
        <v>4768</v>
      </c>
    </row>
    <row r="1711" spans="1:7">
      <c r="A1711" t="s">
        <v>8141</v>
      </c>
      <c r="B1711" t="s">
        <v>8142</v>
      </c>
      <c r="C1711" t="s">
        <v>4766</v>
      </c>
      <c r="D1711">
        <v>19.989999999999998</v>
      </c>
      <c r="E1711" s="208">
        <v>44498</v>
      </c>
      <c r="F1711" t="s">
        <v>4792</v>
      </c>
      <c r="G1711" t="s">
        <v>4768</v>
      </c>
    </row>
    <row r="1712" spans="1:7">
      <c r="A1712" t="s">
        <v>8143</v>
      </c>
      <c r="B1712" t="s">
        <v>8144</v>
      </c>
      <c r="C1712" t="s">
        <v>4838</v>
      </c>
      <c r="D1712">
        <v>8.5</v>
      </c>
      <c r="E1712" s="208">
        <v>44496</v>
      </c>
      <c r="F1712" t="s">
        <v>4772</v>
      </c>
      <c r="G1712" t="s">
        <v>4768</v>
      </c>
    </row>
    <row r="1713" spans="1:7">
      <c r="A1713" t="s">
        <v>8145</v>
      </c>
      <c r="B1713" t="s">
        <v>8146</v>
      </c>
      <c r="C1713" t="s">
        <v>4766</v>
      </c>
      <c r="D1713">
        <v>37</v>
      </c>
      <c r="E1713" s="208">
        <v>44489</v>
      </c>
      <c r="F1713" t="s">
        <v>5300</v>
      </c>
      <c r="G1713" t="s">
        <v>4768</v>
      </c>
    </row>
    <row r="1714" spans="1:7">
      <c r="A1714" t="s">
        <v>8147</v>
      </c>
      <c r="B1714" t="s">
        <v>8148</v>
      </c>
      <c r="C1714" t="s">
        <v>4803</v>
      </c>
      <c r="D1714">
        <v>438.95</v>
      </c>
      <c r="E1714" s="208">
        <v>44489</v>
      </c>
      <c r="F1714" t="s">
        <v>4772</v>
      </c>
      <c r="G1714" t="s">
        <v>4768</v>
      </c>
    </row>
    <row r="1715" spans="1:7">
      <c r="A1715" t="s">
        <v>8149</v>
      </c>
      <c r="B1715" t="s">
        <v>8150</v>
      </c>
      <c r="C1715" t="s">
        <v>4806</v>
      </c>
      <c r="D1715">
        <v>49.85</v>
      </c>
      <c r="E1715" s="208">
        <v>44489</v>
      </c>
      <c r="F1715" t="s">
        <v>4923</v>
      </c>
      <c r="G1715" t="s">
        <v>4768</v>
      </c>
    </row>
    <row r="1716" spans="1:7">
      <c r="A1716" t="s">
        <v>8151</v>
      </c>
      <c r="B1716" t="s">
        <v>8152</v>
      </c>
      <c r="C1716" t="s">
        <v>4884</v>
      </c>
      <c r="D1716">
        <v>190.45</v>
      </c>
      <c r="E1716" s="208">
        <v>44476</v>
      </c>
      <c r="F1716" t="s">
        <v>4772</v>
      </c>
      <c r="G1716" t="s">
        <v>4768</v>
      </c>
    </row>
    <row r="1717" spans="1:7">
      <c r="A1717" t="s">
        <v>8153</v>
      </c>
      <c r="B1717" t="s">
        <v>8154</v>
      </c>
      <c r="C1717" t="s">
        <v>4806</v>
      </c>
      <c r="D1717">
        <v>19.2</v>
      </c>
      <c r="E1717" s="208">
        <v>44468</v>
      </c>
      <c r="F1717" t="s">
        <v>4767</v>
      </c>
      <c r="G1717" t="s">
        <v>4768</v>
      </c>
    </row>
    <row r="1718" spans="1:7">
      <c r="A1718" t="s">
        <v>8155</v>
      </c>
      <c r="B1718" t="s">
        <v>8156</v>
      </c>
      <c r="C1718" t="s">
        <v>4806</v>
      </c>
      <c r="D1718">
        <v>60.15</v>
      </c>
      <c r="E1718" s="208">
        <v>44468</v>
      </c>
      <c r="F1718" t="s">
        <v>4923</v>
      </c>
      <c r="G1718" t="s">
        <v>4768</v>
      </c>
    </row>
    <row r="1719" spans="1:7">
      <c r="A1719" t="s">
        <v>8157</v>
      </c>
      <c r="B1719" t="s">
        <v>8158</v>
      </c>
      <c r="C1719" t="s">
        <v>4771</v>
      </c>
      <c r="D1719">
        <v>98.35</v>
      </c>
      <c r="E1719" s="208">
        <v>44467</v>
      </c>
      <c r="F1719" t="s">
        <v>4772</v>
      </c>
      <c r="G1719" t="s">
        <v>4768</v>
      </c>
    </row>
    <row r="1720" spans="1:7">
      <c r="A1720" t="s">
        <v>8159</v>
      </c>
      <c r="B1720" t="s">
        <v>8160</v>
      </c>
      <c r="C1720" t="s">
        <v>4766</v>
      </c>
      <c r="D1720">
        <v>33.25</v>
      </c>
      <c r="E1720" s="208">
        <v>44463</v>
      </c>
      <c r="F1720" t="s">
        <v>4772</v>
      </c>
      <c r="G1720" t="s">
        <v>4768</v>
      </c>
    </row>
    <row r="1721" spans="1:7">
      <c r="A1721" t="s">
        <v>8161</v>
      </c>
      <c r="B1721" t="s">
        <v>6984</v>
      </c>
      <c r="C1721" t="s">
        <v>4838</v>
      </c>
      <c r="D1721">
        <v>14.68</v>
      </c>
      <c r="E1721" s="208">
        <v>44460</v>
      </c>
      <c r="F1721" t="s">
        <v>4767</v>
      </c>
      <c r="G1721" t="s">
        <v>4768</v>
      </c>
    </row>
    <row r="1722" spans="1:7">
      <c r="A1722" t="s">
        <v>8162</v>
      </c>
      <c r="B1722" t="s">
        <v>8163</v>
      </c>
      <c r="C1722" t="s">
        <v>6331</v>
      </c>
      <c r="D1722">
        <v>153.99</v>
      </c>
      <c r="E1722" s="208">
        <v>44447</v>
      </c>
      <c r="F1722" t="s">
        <v>4767</v>
      </c>
      <c r="G1722" t="s">
        <v>4768</v>
      </c>
    </row>
    <row r="1723" spans="1:7">
      <c r="A1723" t="s">
        <v>8164</v>
      </c>
      <c r="B1723" t="s">
        <v>8165</v>
      </c>
      <c r="C1723" t="s">
        <v>4838</v>
      </c>
      <c r="D1723">
        <v>20.3</v>
      </c>
      <c r="E1723" s="208">
        <v>44446</v>
      </c>
      <c r="F1723" t="s">
        <v>4804</v>
      </c>
      <c r="G1723" t="s">
        <v>4768</v>
      </c>
    </row>
    <row r="1724" spans="1:7">
      <c r="A1724" t="s">
        <v>8166</v>
      </c>
      <c r="B1724" t="s">
        <v>8167</v>
      </c>
      <c r="C1724" t="s">
        <v>4838</v>
      </c>
      <c r="D1724">
        <v>27.4</v>
      </c>
      <c r="E1724" s="208">
        <v>44446</v>
      </c>
      <c r="F1724" t="s">
        <v>4804</v>
      </c>
      <c r="G1724" t="s">
        <v>4768</v>
      </c>
    </row>
    <row r="1725" spans="1:7">
      <c r="A1725" t="s">
        <v>8168</v>
      </c>
      <c r="B1725" t="s">
        <v>8169</v>
      </c>
      <c r="C1725" t="s">
        <v>5025</v>
      </c>
      <c r="D1725">
        <v>69.5</v>
      </c>
      <c r="E1725" s="208">
        <v>44446</v>
      </c>
      <c r="F1725" t="s">
        <v>4804</v>
      </c>
      <c r="G1725" t="s">
        <v>4768</v>
      </c>
    </row>
    <row r="1726" spans="1:7">
      <c r="A1726" t="s">
        <v>8170</v>
      </c>
      <c r="B1726" t="s">
        <v>8171</v>
      </c>
      <c r="C1726" t="s">
        <v>4838</v>
      </c>
      <c r="D1726">
        <v>37.14</v>
      </c>
      <c r="E1726" s="208">
        <v>44439</v>
      </c>
      <c r="F1726" t="s">
        <v>4772</v>
      </c>
      <c r="G1726" t="s">
        <v>4768</v>
      </c>
    </row>
    <row r="1727" spans="1:7">
      <c r="A1727" t="s">
        <v>8172</v>
      </c>
      <c r="B1727" t="s">
        <v>8173</v>
      </c>
      <c r="C1727" t="s">
        <v>8174</v>
      </c>
      <c r="D1727">
        <v>23.75</v>
      </c>
      <c r="E1727" s="208">
        <v>44434</v>
      </c>
      <c r="F1727" t="s">
        <v>4772</v>
      </c>
      <c r="G1727" t="s">
        <v>4768</v>
      </c>
    </row>
    <row r="1728" spans="1:7">
      <c r="A1728" t="s">
        <v>8175</v>
      </c>
      <c r="B1728" t="s">
        <v>8176</v>
      </c>
      <c r="C1728" t="s">
        <v>4803</v>
      </c>
      <c r="D1728">
        <v>229.75</v>
      </c>
      <c r="E1728" s="208">
        <v>44433</v>
      </c>
      <c r="F1728" t="s">
        <v>4772</v>
      </c>
      <c r="G1728" t="s">
        <v>4768</v>
      </c>
    </row>
    <row r="1729" spans="1:7">
      <c r="A1729" t="s">
        <v>8177</v>
      </c>
      <c r="B1729" t="s">
        <v>8178</v>
      </c>
      <c r="C1729" t="s">
        <v>4803</v>
      </c>
      <c r="D1729">
        <v>341</v>
      </c>
      <c r="E1729" s="208">
        <v>44420</v>
      </c>
      <c r="F1729" t="s">
        <v>4767</v>
      </c>
      <c r="G1729" t="s">
        <v>4768</v>
      </c>
    </row>
    <row r="1730" spans="1:7">
      <c r="A1730" t="s">
        <v>8179</v>
      </c>
      <c r="B1730" t="s">
        <v>8180</v>
      </c>
      <c r="C1730" t="s">
        <v>4895</v>
      </c>
      <c r="D1730">
        <v>22.8</v>
      </c>
      <c r="E1730" s="208">
        <v>44420</v>
      </c>
      <c r="F1730" t="s">
        <v>4767</v>
      </c>
      <c r="G1730" t="s">
        <v>4768</v>
      </c>
    </row>
    <row r="1731" spans="1:7">
      <c r="A1731" t="s">
        <v>8181</v>
      </c>
      <c r="B1731" t="s">
        <v>8182</v>
      </c>
      <c r="C1731" t="s">
        <v>4766</v>
      </c>
      <c r="D1731">
        <v>3.76</v>
      </c>
      <c r="E1731" s="208">
        <v>44405</v>
      </c>
      <c r="F1731" t="s">
        <v>8183</v>
      </c>
      <c r="G1731" t="s">
        <v>4768</v>
      </c>
    </row>
    <row r="1732" spans="1:7">
      <c r="A1732" t="s">
        <v>8184</v>
      </c>
      <c r="B1732" t="s">
        <v>8185</v>
      </c>
      <c r="C1732" t="s">
        <v>4806</v>
      </c>
      <c r="D1732">
        <v>7.56</v>
      </c>
      <c r="E1732" s="208">
        <v>44405</v>
      </c>
      <c r="F1732" t="s">
        <v>8183</v>
      </c>
      <c r="G1732" t="s">
        <v>4768</v>
      </c>
    </row>
    <row r="1733" spans="1:7">
      <c r="A1733" t="s">
        <v>8186</v>
      </c>
      <c r="B1733" t="s">
        <v>8187</v>
      </c>
      <c r="C1733" t="s">
        <v>4775</v>
      </c>
      <c r="D1733">
        <v>87.21</v>
      </c>
      <c r="E1733" s="208">
        <v>44404</v>
      </c>
      <c r="F1733" t="s">
        <v>4767</v>
      </c>
      <c r="G1733" t="s">
        <v>4768</v>
      </c>
    </row>
    <row r="1734" spans="1:7">
      <c r="A1734" t="s">
        <v>8188</v>
      </c>
      <c r="B1734" t="s">
        <v>8189</v>
      </c>
      <c r="C1734" t="s">
        <v>4766</v>
      </c>
      <c r="D1734">
        <v>1.89</v>
      </c>
      <c r="E1734" s="208">
        <v>44404</v>
      </c>
      <c r="F1734" t="s">
        <v>4846</v>
      </c>
      <c r="G1734" t="s">
        <v>4768</v>
      </c>
    </row>
    <row r="1735" spans="1:7">
      <c r="A1735" t="s">
        <v>8190</v>
      </c>
      <c r="B1735" t="s">
        <v>8191</v>
      </c>
      <c r="C1735" t="s">
        <v>4766</v>
      </c>
      <c r="D1735">
        <v>0.69</v>
      </c>
      <c r="E1735" s="208">
        <v>44403</v>
      </c>
      <c r="F1735" t="s">
        <v>4772</v>
      </c>
      <c r="G1735" t="s">
        <v>4768</v>
      </c>
    </row>
    <row r="1736" spans="1:7">
      <c r="A1736" t="s">
        <v>8192</v>
      </c>
      <c r="B1736" t="s">
        <v>8193</v>
      </c>
      <c r="C1736" t="s">
        <v>4838</v>
      </c>
      <c r="D1736">
        <v>27.37</v>
      </c>
      <c r="E1736" s="208">
        <v>44382</v>
      </c>
      <c r="F1736" t="s">
        <v>4767</v>
      </c>
      <c r="G1736" t="s">
        <v>4768</v>
      </c>
    </row>
    <row r="1737" spans="1:7">
      <c r="A1737" t="s">
        <v>8194</v>
      </c>
      <c r="B1737" t="s">
        <v>7155</v>
      </c>
      <c r="C1737" t="s">
        <v>4845</v>
      </c>
      <c r="D1737">
        <v>97.68</v>
      </c>
      <c r="E1737" s="208">
        <v>44379</v>
      </c>
      <c r="F1737" t="s">
        <v>4767</v>
      </c>
      <c r="G1737" t="s">
        <v>4768</v>
      </c>
    </row>
    <row r="1738" spans="1:7">
      <c r="A1738" t="s">
        <v>8195</v>
      </c>
      <c r="B1738" t="s">
        <v>8196</v>
      </c>
      <c r="C1738" t="s">
        <v>4766</v>
      </c>
      <c r="D1738">
        <v>15.2</v>
      </c>
      <c r="E1738" s="208">
        <v>44378</v>
      </c>
      <c r="F1738" t="s">
        <v>8197</v>
      </c>
      <c r="G1738" t="s">
        <v>4768</v>
      </c>
    </row>
    <row r="1739" spans="1:7">
      <c r="A1739" t="s">
        <v>8198</v>
      </c>
      <c r="B1739" t="s">
        <v>8199</v>
      </c>
      <c r="C1739" t="s">
        <v>4766</v>
      </c>
      <c r="D1739">
        <v>74.099999999999994</v>
      </c>
      <c r="E1739" s="208">
        <v>44378</v>
      </c>
      <c r="F1739" t="s">
        <v>8197</v>
      </c>
      <c r="G1739" t="s">
        <v>4768</v>
      </c>
    </row>
    <row r="1740" spans="1:7">
      <c r="A1740" t="s">
        <v>8200</v>
      </c>
      <c r="B1740" t="s">
        <v>8201</v>
      </c>
      <c r="C1740" t="s">
        <v>4766</v>
      </c>
      <c r="D1740">
        <v>18.25</v>
      </c>
      <c r="E1740" s="208">
        <v>44378</v>
      </c>
      <c r="F1740" t="s">
        <v>8197</v>
      </c>
      <c r="G1740" t="s">
        <v>4768</v>
      </c>
    </row>
    <row r="1741" spans="1:7">
      <c r="A1741" t="s">
        <v>8202</v>
      </c>
      <c r="B1741" t="s">
        <v>8203</v>
      </c>
      <c r="C1741" t="s">
        <v>4766</v>
      </c>
      <c r="D1741">
        <v>25.15</v>
      </c>
      <c r="E1741" s="208">
        <v>44378</v>
      </c>
      <c r="F1741" t="s">
        <v>8197</v>
      </c>
      <c r="G1741" t="s">
        <v>4768</v>
      </c>
    </row>
    <row r="1742" spans="1:7">
      <c r="A1742" t="s">
        <v>8204</v>
      </c>
      <c r="B1742" t="s">
        <v>8205</v>
      </c>
      <c r="C1742" t="s">
        <v>4766</v>
      </c>
      <c r="D1742">
        <v>35.03</v>
      </c>
      <c r="E1742" s="208">
        <v>44378</v>
      </c>
      <c r="F1742" t="s">
        <v>8197</v>
      </c>
      <c r="G1742" t="s">
        <v>4768</v>
      </c>
    </row>
    <row r="1743" spans="1:7">
      <c r="A1743" t="s">
        <v>8206</v>
      </c>
      <c r="B1743" t="s">
        <v>8207</v>
      </c>
      <c r="C1743" t="s">
        <v>4766</v>
      </c>
      <c r="D1743">
        <v>29.25</v>
      </c>
      <c r="E1743" s="208">
        <v>44378</v>
      </c>
      <c r="F1743" t="s">
        <v>8197</v>
      </c>
      <c r="G1743" t="s">
        <v>4768</v>
      </c>
    </row>
    <row r="1744" spans="1:7">
      <c r="A1744" t="s">
        <v>8208</v>
      </c>
      <c r="B1744" t="s">
        <v>8209</v>
      </c>
      <c r="C1744" t="s">
        <v>4766</v>
      </c>
      <c r="D1744">
        <v>26.8</v>
      </c>
      <c r="E1744" s="208">
        <v>44378</v>
      </c>
      <c r="F1744" t="s">
        <v>8197</v>
      </c>
      <c r="G1744" t="s">
        <v>4768</v>
      </c>
    </row>
    <row r="1745" spans="1:7">
      <c r="A1745" t="s">
        <v>8210</v>
      </c>
      <c r="B1745" t="s">
        <v>8211</v>
      </c>
      <c r="C1745" t="s">
        <v>4766</v>
      </c>
      <c r="D1745">
        <v>28</v>
      </c>
      <c r="E1745" s="208">
        <v>44378</v>
      </c>
      <c r="F1745" t="s">
        <v>8197</v>
      </c>
      <c r="G1745" t="s">
        <v>4768</v>
      </c>
    </row>
    <row r="1746" spans="1:7">
      <c r="A1746" t="s">
        <v>8212</v>
      </c>
      <c r="B1746" t="s">
        <v>8213</v>
      </c>
      <c r="C1746" t="s">
        <v>4766</v>
      </c>
      <c r="D1746">
        <v>58.35</v>
      </c>
      <c r="E1746" s="208">
        <v>44378</v>
      </c>
      <c r="F1746" t="s">
        <v>8197</v>
      </c>
      <c r="G1746" t="s">
        <v>4768</v>
      </c>
    </row>
    <row r="1747" spans="1:7">
      <c r="A1747" t="s">
        <v>8214</v>
      </c>
      <c r="B1747" t="s">
        <v>8215</v>
      </c>
      <c r="C1747" t="s">
        <v>4766</v>
      </c>
      <c r="D1747">
        <v>31.33</v>
      </c>
      <c r="E1747" s="208">
        <v>44378</v>
      </c>
      <c r="F1747" t="s">
        <v>8197</v>
      </c>
      <c r="G1747" t="s">
        <v>4768</v>
      </c>
    </row>
    <row r="1748" spans="1:7">
      <c r="A1748" t="s">
        <v>8216</v>
      </c>
      <c r="B1748" t="s">
        <v>8217</v>
      </c>
      <c r="C1748" t="s">
        <v>4766</v>
      </c>
      <c r="D1748">
        <v>47</v>
      </c>
      <c r="E1748" s="208">
        <v>44378</v>
      </c>
      <c r="F1748" t="s">
        <v>8197</v>
      </c>
      <c r="G1748" t="s">
        <v>4768</v>
      </c>
    </row>
    <row r="1749" spans="1:7">
      <c r="A1749" t="s">
        <v>8218</v>
      </c>
      <c r="B1749" t="s">
        <v>8219</v>
      </c>
      <c r="C1749" t="s">
        <v>4766</v>
      </c>
      <c r="D1749">
        <v>75.88</v>
      </c>
      <c r="E1749" s="208">
        <v>44378</v>
      </c>
      <c r="F1749" t="s">
        <v>8197</v>
      </c>
      <c r="G1749" t="s">
        <v>4768</v>
      </c>
    </row>
    <row r="1750" spans="1:7">
      <c r="A1750" t="s">
        <v>8220</v>
      </c>
      <c r="B1750" t="s">
        <v>8221</v>
      </c>
      <c r="C1750" t="s">
        <v>4766</v>
      </c>
      <c r="D1750">
        <v>47.5</v>
      </c>
      <c r="E1750" s="208">
        <v>44378</v>
      </c>
      <c r="F1750" t="s">
        <v>8197</v>
      </c>
      <c r="G1750" t="s">
        <v>4768</v>
      </c>
    </row>
    <row r="1751" spans="1:7">
      <c r="A1751" t="s">
        <v>8222</v>
      </c>
      <c r="B1751" t="s">
        <v>8223</v>
      </c>
      <c r="C1751" t="s">
        <v>4766</v>
      </c>
      <c r="D1751">
        <v>21.3</v>
      </c>
      <c r="E1751" s="208">
        <v>44378</v>
      </c>
      <c r="F1751" t="s">
        <v>8197</v>
      </c>
      <c r="G1751" t="s">
        <v>4768</v>
      </c>
    </row>
    <row r="1752" spans="1:7">
      <c r="A1752" t="s">
        <v>8224</v>
      </c>
      <c r="B1752" t="s">
        <v>8225</v>
      </c>
      <c r="C1752" t="s">
        <v>4766</v>
      </c>
      <c r="D1752">
        <v>40.35</v>
      </c>
      <c r="E1752" s="208">
        <v>44378</v>
      </c>
      <c r="F1752" t="s">
        <v>8197</v>
      </c>
      <c r="G1752" t="s">
        <v>4768</v>
      </c>
    </row>
    <row r="1753" spans="1:7">
      <c r="A1753" t="s">
        <v>8226</v>
      </c>
      <c r="B1753" t="s">
        <v>8227</v>
      </c>
      <c r="C1753" t="s">
        <v>4766</v>
      </c>
      <c r="D1753">
        <v>32.65</v>
      </c>
      <c r="E1753" s="208">
        <v>44378</v>
      </c>
      <c r="F1753" t="s">
        <v>8197</v>
      </c>
      <c r="G1753" t="s">
        <v>4768</v>
      </c>
    </row>
    <row r="1754" spans="1:7">
      <c r="A1754" t="s">
        <v>8228</v>
      </c>
      <c r="B1754" t="s">
        <v>8229</v>
      </c>
      <c r="C1754" t="s">
        <v>4766</v>
      </c>
      <c r="D1754">
        <v>40</v>
      </c>
      <c r="E1754" s="208">
        <v>44378</v>
      </c>
      <c r="F1754" t="s">
        <v>8197</v>
      </c>
      <c r="G1754" t="s">
        <v>4768</v>
      </c>
    </row>
    <row r="1755" spans="1:7">
      <c r="A1755" t="s">
        <v>8230</v>
      </c>
      <c r="B1755" t="s">
        <v>8231</v>
      </c>
      <c r="C1755" t="s">
        <v>4766</v>
      </c>
      <c r="D1755">
        <v>56.85</v>
      </c>
      <c r="E1755" s="208">
        <v>44378</v>
      </c>
      <c r="F1755" t="s">
        <v>8197</v>
      </c>
      <c r="G1755" t="s">
        <v>4768</v>
      </c>
    </row>
    <row r="1756" spans="1:7">
      <c r="A1756" t="s">
        <v>8232</v>
      </c>
      <c r="B1756" t="s">
        <v>8233</v>
      </c>
      <c r="C1756" t="s">
        <v>4766</v>
      </c>
      <c r="D1756">
        <v>59.9</v>
      </c>
      <c r="E1756" s="208">
        <v>44378</v>
      </c>
      <c r="F1756" t="s">
        <v>8197</v>
      </c>
      <c r="G1756" t="s">
        <v>4768</v>
      </c>
    </row>
    <row r="1757" spans="1:7">
      <c r="A1757" t="s">
        <v>8234</v>
      </c>
      <c r="B1757" t="s">
        <v>8235</v>
      </c>
      <c r="C1757" t="s">
        <v>4766</v>
      </c>
      <c r="D1757">
        <v>53.95</v>
      </c>
      <c r="E1757" s="208">
        <v>44378</v>
      </c>
      <c r="F1757" t="s">
        <v>8197</v>
      </c>
      <c r="G1757" t="s">
        <v>4768</v>
      </c>
    </row>
    <row r="1758" spans="1:7">
      <c r="A1758" t="s">
        <v>8236</v>
      </c>
      <c r="B1758" t="s">
        <v>8237</v>
      </c>
      <c r="C1758" t="s">
        <v>8238</v>
      </c>
      <c r="D1758">
        <v>63.05</v>
      </c>
      <c r="E1758" s="208">
        <v>44378</v>
      </c>
      <c r="F1758" t="s">
        <v>8197</v>
      </c>
      <c r="G1758" t="s">
        <v>4768</v>
      </c>
    </row>
    <row r="1759" spans="1:7">
      <c r="A1759" t="s">
        <v>8239</v>
      </c>
      <c r="B1759" t="s">
        <v>8240</v>
      </c>
      <c r="C1759" t="s">
        <v>4766</v>
      </c>
      <c r="D1759">
        <v>66.900000000000006</v>
      </c>
      <c r="E1759" s="208">
        <v>44378</v>
      </c>
      <c r="F1759" t="s">
        <v>8197</v>
      </c>
      <c r="G1759" t="s">
        <v>4768</v>
      </c>
    </row>
    <row r="1760" spans="1:7">
      <c r="A1760" t="s">
        <v>8241</v>
      </c>
      <c r="B1760" t="s">
        <v>8242</v>
      </c>
      <c r="C1760" t="s">
        <v>4766</v>
      </c>
      <c r="D1760">
        <v>79.900000000000006</v>
      </c>
      <c r="E1760" s="208">
        <v>44378</v>
      </c>
      <c r="F1760" t="s">
        <v>8197</v>
      </c>
      <c r="G1760" t="s">
        <v>4768</v>
      </c>
    </row>
    <row r="1761" spans="1:7">
      <c r="A1761" t="s">
        <v>8243</v>
      </c>
      <c r="B1761" t="s">
        <v>8244</v>
      </c>
      <c r="C1761" t="s">
        <v>4766</v>
      </c>
      <c r="D1761">
        <v>22.5</v>
      </c>
      <c r="E1761" s="208">
        <v>44378</v>
      </c>
      <c r="F1761" t="s">
        <v>8197</v>
      </c>
      <c r="G1761" t="s">
        <v>4768</v>
      </c>
    </row>
    <row r="1762" spans="1:7">
      <c r="A1762" t="s">
        <v>8245</v>
      </c>
      <c r="B1762" t="s">
        <v>8246</v>
      </c>
      <c r="C1762" t="s">
        <v>4766</v>
      </c>
      <c r="D1762">
        <v>35</v>
      </c>
      <c r="E1762" s="208">
        <v>44378</v>
      </c>
      <c r="F1762" t="s">
        <v>8197</v>
      </c>
      <c r="G1762" t="s">
        <v>4768</v>
      </c>
    </row>
    <row r="1763" spans="1:7">
      <c r="A1763" t="s">
        <v>8247</v>
      </c>
      <c r="B1763" t="s">
        <v>8248</v>
      </c>
      <c r="C1763" t="s">
        <v>4766</v>
      </c>
      <c r="D1763">
        <v>45</v>
      </c>
      <c r="E1763" s="208">
        <v>44378</v>
      </c>
      <c r="F1763" t="s">
        <v>8197</v>
      </c>
      <c r="G1763" t="s">
        <v>4768</v>
      </c>
    </row>
    <row r="1764" spans="1:7">
      <c r="A1764" t="s">
        <v>8249</v>
      </c>
      <c r="B1764" t="s">
        <v>8250</v>
      </c>
      <c r="C1764" t="s">
        <v>4766</v>
      </c>
      <c r="D1764">
        <v>50</v>
      </c>
      <c r="E1764" s="208">
        <v>44378</v>
      </c>
      <c r="F1764" t="s">
        <v>8197</v>
      </c>
      <c r="G1764" t="s">
        <v>4768</v>
      </c>
    </row>
    <row r="1765" spans="1:7">
      <c r="A1765" t="s">
        <v>8251</v>
      </c>
      <c r="B1765" t="s">
        <v>8252</v>
      </c>
      <c r="C1765" t="s">
        <v>4766</v>
      </c>
      <c r="D1765">
        <v>52.5</v>
      </c>
      <c r="E1765" s="208">
        <v>44378</v>
      </c>
      <c r="F1765" t="s">
        <v>8197</v>
      </c>
      <c r="G1765" t="s">
        <v>4768</v>
      </c>
    </row>
    <row r="1766" spans="1:7">
      <c r="A1766" t="s">
        <v>8253</v>
      </c>
      <c r="B1766" t="s">
        <v>8254</v>
      </c>
      <c r="C1766" t="s">
        <v>4766</v>
      </c>
      <c r="D1766">
        <v>55</v>
      </c>
      <c r="E1766" s="208">
        <v>44378</v>
      </c>
      <c r="F1766" t="s">
        <v>8197</v>
      </c>
      <c r="G1766" t="s">
        <v>4768</v>
      </c>
    </row>
    <row r="1767" spans="1:7">
      <c r="A1767" t="s">
        <v>8255</v>
      </c>
      <c r="B1767" t="s">
        <v>8256</v>
      </c>
      <c r="C1767" t="s">
        <v>4766</v>
      </c>
      <c r="D1767">
        <v>57.5</v>
      </c>
      <c r="E1767" s="208">
        <v>44378</v>
      </c>
      <c r="F1767" t="s">
        <v>8197</v>
      </c>
      <c r="G1767" t="s">
        <v>4768</v>
      </c>
    </row>
    <row r="1768" spans="1:7">
      <c r="A1768" t="s">
        <v>8257</v>
      </c>
      <c r="B1768" t="s">
        <v>8258</v>
      </c>
      <c r="C1768" t="s">
        <v>4766</v>
      </c>
      <c r="D1768">
        <v>69.55</v>
      </c>
      <c r="E1768" s="208">
        <v>44378</v>
      </c>
      <c r="F1768" t="s">
        <v>8197</v>
      </c>
      <c r="G1768" t="s">
        <v>4768</v>
      </c>
    </row>
    <row r="1769" spans="1:7">
      <c r="A1769" t="s">
        <v>8259</v>
      </c>
      <c r="B1769" t="s">
        <v>8260</v>
      </c>
      <c r="C1769" t="s">
        <v>4766</v>
      </c>
      <c r="D1769">
        <v>69.55</v>
      </c>
      <c r="E1769" s="208">
        <v>44378</v>
      </c>
      <c r="F1769" t="s">
        <v>8197</v>
      </c>
      <c r="G1769" t="s">
        <v>4768</v>
      </c>
    </row>
    <row r="1770" spans="1:7">
      <c r="A1770" t="s">
        <v>8261</v>
      </c>
      <c r="B1770" t="s">
        <v>8262</v>
      </c>
      <c r="C1770" t="s">
        <v>4766</v>
      </c>
      <c r="D1770">
        <v>83.4</v>
      </c>
      <c r="E1770" s="208">
        <v>44378</v>
      </c>
      <c r="F1770" t="s">
        <v>8197</v>
      </c>
      <c r="G1770" t="s">
        <v>4768</v>
      </c>
    </row>
    <row r="1771" spans="1:7">
      <c r="A1771" t="s">
        <v>8263</v>
      </c>
      <c r="B1771" t="s">
        <v>8264</v>
      </c>
      <c r="C1771" t="s">
        <v>4766</v>
      </c>
      <c r="D1771">
        <v>112.92</v>
      </c>
      <c r="E1771" s="208">
        <v>44378</v>
      </c>
      <c r="F1771" t="s">
        <v>8197</v>
      </c>
      <c r="G1771" t="s">
        <v>4768</v>
      </c>
    </row>
    <row r="1772" spans="1:7">
      <c r="A1772" t="s">
        <v>8265</v>
      </c>
      <c r="B1772" t="s">
        <v>8266</v>
      </c>
      <c r="C1772" t="s">
        <v>4766</v>
      </c>
      <c r="D1772">
        <v>31.94</v>
      </c>
      <c r="E1772" s="208">
        <v>44378</v>
      </c>
      <c r="F1772" t="s">
        <v>8197</v>
      </c>
      <c r="G1772" t="s">
        <v>4768</v>
      </c>
    </row>
    <row r="1773" spans="1:7">
      <c r="A1773" t="s">
        <v>8267</v>
      </c>
      <c r="B1773" t="s">
        <v>8268</v>
      </c>
      <c r="C1773" t="s">
        <v>4766</v>
      </c>
      <c r="D1773">
        <v>90.93</v>
      </c>
      <c r="E1773" s="208">
        <v>44378</v>
      </c>
      <c r="F1773" t="s">
        <v>8197</v>
      </c>
      <c r="G1773" t="s">
        <v>4768</v>
      </c>
    </row>
    <row r="1774" spans="1:7">
      <c r="A1774" t="s">
        <v>8269</v>
      </c>
      <c r="B1774" t="s">
        <v>8270</v>
      </c>
      <c r="C1774" t="s">
        <v>4766</v>
      </c>
      <c r="D1774">
        <v>91.18</v>
      </c>
      <c r="E1774" s="208">
        <v>44378</v>
      </c>
      <c r="F1774" t="s">
        <v>8197</v>
      </c>
      <c r="G1774" t="s">
        <v>4768</v>
      </c>
    </row>
    <row r="1775" spans="1:7">
      <c r="A1775" t="s">
        <v>8271</v>
      </c>
      <c r="B1775" t="s">
        <v>8272</v>
      </c>
      <c r="C1775" t="s">
        <v>4766</v>
      </c>
      <c r="D1775">
        <v>50</v>
      </c>
      <c r="E1775" s="208">
        <v>44378</v>
      </c>
      <c r="F1775" t="s">
        <v>8197</v>
      </c>
      <c r="G1775" t="s">
        <v>4768</v>
      </c>
    </row>
    <row r="1776" spans="1:7">
      <c r="A1776" t="s">
        <v>8273</v>
      </c>
      <c r="B1776" t="s">
        <v>8274</v>
      </c>
      <c r="C1776" t="s">
        <v>4766</v>
      </c>
      <c r="D1776">
        <v>33.049999999999997</v>
      </c>
      <c r="E1776" s="208">
        <v>44378</v>
      </c>
      <c r="F1776" t="s">
        <v>8197</v>
      </c>
      <c r="G1776" t="s">
        <v>4768</v>
      </c>
    </row>
    <row r="1777" spans="1:7">
      <c r="A1777" t="s">
        <v>8275</v>
      </c>
      <c r="B1777" t="s">
        <v>8276</v>
      </c>
      <c r="C1777" t="s">
        <v>4766</v>
      </c>
      <c r="D1777">
        <v>34.450000000000003</v>
      </c>
      <c r="E1777" s="208">
        <v>44378</v>
      </c>
      <c r="F1777" t="s">
        <v>8197</v>
      </c>
      <c r="G1777" t="s">
        <v>4768</v>
      </c>
    </row>
    <row r="1778" spans="1:7">
      <c r="A1778" t="s">
        <v>8277</v>
      </c>
      <c r="B1778" t="s">
        <v>8278</v>
      </c>
      <c r="C1778" t="s">
        <v>4766</v>
      </c>
      <c r="D1778">
        <v>35.950000000000003</v>
      </c>
      <c r="E1778" s="208">
        <v>44378</v>
      </c>
      <c r="F1778" t="s">
        <v>8197</v>
      </c>
      <c r="G1778" t="s">
        <v>4768</v>
      </c>
    </row>
    <row r="1779" spans="1:7">
      <c r="A1779" t="s">
        <v>8279</v>
      </c>
      <c r="B1779" t="s">
        <v>8280</v>
      </c>
      <c r="C1779" t="s">
        <v>4766</v>
      </c>
      <c r="D1779">
        <v>30.93</v>
      </c>
      <c r="E1779" s="208">
        <v>44378</v>
      </c>
      <c r="F1779" t="s">
        <v>8197</v>
      </c>
      <c r="G1779" t="s">
        <v>4768</v>
      </c>
    </row>
    <row r="1780" spans="1:7">
      <c r="A1780" t="s">
        <v>8281</v>
      </c>
      <c r="B1780" t="s">
        <v>8282</v>
      </c>
      <c r="C1780" t="s">
        <v>4803</v>
      </c>
      <c r="D1780">
        <v>14.97</v>
      </c>
      <c r="E1780" s="208">
        <v>44377</v>
      </c>
      <c r="F1780" t="s">
        <v>4779</v>
      </c>
      <c r="G1780" t="s">
        <v>4768</v>
      </c>
    </row>
    <row r="1781" spans="1:7">
      <c r="A1781" t="s">
        <v>8283</v>
      </c>
      <c r="B1781" t="s">
        <v>7180</v>
      </c>
      <c r="C1781" t="s">
        <v>4838</v>
      </c>
      <c r="D1781">
        <v>34.450000000000003</v>
      </c>
      <c r="E1781" s="208">
        <v>44373</v>
      </c>
      <c r="F1781" t="s">
        <v>4772</v>
      </c>
      <c r="G1781" t="s">
        <v>4768</v>
      </c>
    </row>
    <row r="1782" spans="1:7">
      <c r="A1782" t="s">
        <v>8284</v>
      </c>
      <c r="B1782" t="s">
        <v>8285</v>
      </c>
      <c r="C1782" t="s">
        <v>4845</v>
      </c>
      <c r="D1782">
        <v>317.12</v>
      </c>
      <c r="E1782" s="208">
        <v>44368</v>
      </c>
      <c r="F1782" t="s">
        <v>4767</v>
      </c>
      <c r="G1782" t="s">
        <v>4768</v>
      </c>
    </row>
    <row r="1783" spans="1:7">
      <c r="A1783" t="s">
        <v>8286</v>
      </c>
      <c r="B1783" t="s">
        <v>8287</v>
      </c>
      <c r="C1783" t="s">
        <v>4806</v>
      </c>
      <c r="D1783">
        <v>1.1000000000000001</v>
      </c>
      <c r="E1783" s="208">
        <v>44365</v>
      </c>
      <c r="F1783" t="s">
        <v>8183</v>
      </c>
      <c r="G1783" t="s">
        <v>4768</v>
      </c>
    </row>
    <row r="1784" spans="1:7">
      <c r="A1784" t="s">
        <v>8288</v>
      </c>
      <c r="B1784" t="s">
        <v>8289</v>
      </c>
      <c r="C1784" t="s">
        <v>4845</v>
      </c>
      <c r="D1784">
        <v>0.59</v>
      </c>
      <c r="E1784" s="208">
        <v>44361</v>
      </c>
      <c r="F1784" t="s">
        <v>4767</v>
      </c>
      <c r="G1784" t="s">
        <v>4768</v>
      </c>
    </row>
    <row r="1785" spans="1:7">
      <c r="A1785" t="s">
        <v>8290</v>
      </c>
      <c r="B1785" t="s">
        <v>8291</v>
      </c>
      <c r="C1785" t="s">
        <v>4771</v>
      </c>
      <c r="D1785">
        <v>114</v>
      </c>
      <c r="E1785" s="208">
        <v>44358</v>
      </c>
      <c r="F1785" t="s">
        <v>4767</v>
      </c>
      <c r="G1785" t="s">
        <v>4768</v>
      </c>
    </row>
    <row r="1786" spans="1:7">
      <c r="A1786" t="s">
        <v>8292</v>
      </c>
      <c r="B1786" t="s">
        <v>8293</v>
      </c>
      <c r="C1786" t="s">
        <v>4766</v>
      </c>
      <c r="D1786">
        <v>3.76</v>
      </c>
      <c r="E1786" s="208">
        <v>44358</v>
      </c>
      <c r="F1786" t="s">
        <v>8183</v>
      </c>
      <c r="G1786" t="s">
        <v>4768</v>
      </c>
    </row>
    <row r="1787" spans="1:7">
      <c r="A1787" t="s">
        <v>8294</v>
      </c>
      <c r="B1787" t="s">
        <v>7172</v>
      </c>
      <c r="C1787" t="s">
        <v>4838</v>
      </c>
      <c r="D1787">
        <v>12.95</v>
      </c>
      <c r="E1787" s="208">
        <v>44356</v>
      </c>
      <c r="F1787" t="s">
        <v>4772</v>
      </c>
      <c r="G1787" t="s">
        <v>4768</v>
      </c>
    </row>
    <row r="1788" spans="1:7">
      <c r="A1788" t="s">
        <v>8295</v>
      </c>
      <c r="B1788" t="s">
        <v>8296</v>
      </c>
      <c r="C1788" t="s">
        <v>4806</v>
      </c>
      <c r="D1788">
        <v>37.200000000000003</v>
      </c>
      <c r="E1788" s="208">
        <v>44343</v>
      </c>
      <c r="F1788" t="s">
        <v>4772</v>
      </c>
      <c r="G1788" t="s">
        <v>4768</v>
      </c>
    </row>
    <row r="1789" spans="1:7">
      <c r="A1789" t="s">
        <v>8297</v>
      </c>
      <c r="B1789" t="s">
        <v>8298</v>
      </c>
      <c r="C1789" t="s">
        <v>4806</v>
      </c>
      <c r="D1789">
        <v>48.55</v>
      </c>
      <c r="E1789" s="208">
        <v>44335</v>
      </c>
      <c r="F1789" t="s">
        <v>4923</v>
      </c>
      <c r="G1789" t="s">
        <v>4768</v>
      </c>
    </row>
    <row r="1790" spans="1:7">
      <c r="A1790" t="s">
        <v>8299</v>
      </c>
      <c r="B1790" t="s">
        <v>8300</v>
      </c>
      <c r="C1790" t="s">
        <v>4806</v>
      </c>
      <c r="D1790">
        <v>24</v>
      </c>
      <c r="E1790" s="208">
        <v>44333</v>
      </c>
      <c r="F1790" t="s">
        <v>4772</v>
      </c>
      <c r="G1790" t="s">
        <v>4768</v>
      </c>
    </row>
    <row r="1791" spans="1:7">
      <c r="A1791" t="s">
        <v>8301</v>
      </c>
      <c r="B1791" t="s">
        <v>8302</v>
      </c>
      <c r="C1791" t="s">
        <v>4766</v>
      </c>
      <c r="D1791">
        <v>30</v>
      </c>
      <c r="E1791" s="208">
        <v>44330</v>
      </c>
      <c r="F1791" t="s">
        <v>4782</v>
      </c>
      <c r="G1791" t="s">
        <v>4768</v>
      </c>
    </row>
    <row r="1792" spans="1:7">
      <c r="A1792" t="s">
        <v>8303</v>
      </c>
      <c r="B1792" t="s">
        <v>8304</v>
      </c>
      <c r="C1792" t="s">
        <v>4835</v>
      </c>
      <c r="D1792">
        <v>91.87</v>
      </c>
      <c r="E1792" s="208">
        <v>44329</v>
      </c>
      <c r="F1792" t="s">
        <v>4804</v>
      </c>
      <c r="G1792" t="s">
        <v>4768</v>
      </c>
    </row>
    <row r="1793" spans="1:7">
      <c r="A1793" t="s">
        <v>8305</v>
      </c>
      <c r="B1793" t="s">
        <v>8306</v>
      </c>
      <c r="C1793" t="s">
        <v>4806</v>
      </c>
      <c r="D1793">
        <v>12.68</v>
      </c>
      <c r="E1793" s="208">
        <v>44329</v>
      </c>
      <c r="F1793" t="s">
        <v>4804</v>
      </c>
      <c r="G1793" t="s">
        <v>4768</v>
      </c>
    </row>
    <row r="1794" spans="1:7">
      <c r="A1794" t="s">
        <v>8307</v>
      </c>
      <c r="B1794" t="s">
        <v>7478</v>
      </c>
      <c r="C1794" t="s">
        <v>4845</v>
      </c>
      <c r="D1794">
        <v>52</v>
      </c>
      <c r="E1794" s="208">
        <v>44323</v>
      </c>
      <c r="F1794" t="s">
        <v>4767</v>
      </c>
      <c r="G1794" t="s">
        <v>4768</v>
      </c>
    </row>
    <row r="1795" spans="1:7">
      <c r="A1795" t="s">
        <v>8308</v>
      </c>
      <c r="B1795" t="s">
        <v>8309</v>
      </c>
      <c r="C1795" t="s">
        <v>4806</v>
      </c>
      <c r="D1795">
        <v>49.95</v>
      </c>
      <c r="E1795" s="208">
        <v>44322</v>
      </c>
      <c r="F1795" t="s">
        <v>4923</v>
      </c>
      <c r="G1795" t="s">
        <v>4768</v>
      </c>
    </row>
    <row r="1796" spans="1:7">
      <c r="A1796" t="s">
        <v>8310</v>
      </c>
      <c r="B1796" t="s">
        <v>8311</v>
      </c>
      <c r="C1796" t="s">
        <v>5286</v>
      </c>
      <c r="D1796">
        <v>11.5</v>
      </c>
      <c r="E1796" s="208">
        <v>44322</v>
      </c>
      <c r="F1796" t="s">
        <v>4767</v>
      </c>
      <c r="G1796" t="s">
        <v>4768</v>
      </c>
    </row>
    <row r="1797" spans="1:7">
      <c r="A1797" t="s">
        <v>8312</v>
      </c>
      <c r="B1797" t="s">
        <v>8313</v>
      </c>
      <c r="C1797" t="s">
        <v>4803</v>
      </c>
      <c r="D1797">
        <v>254</v>
      </c>
      <c r="E1797" s="208">
        <v>44320</v>
      </c>
      <c r="F1797" t="s">
        <v>4767</v>
      </c>
      <c r="G1797" t="s">
        <v>4768</v>
      </c>
    </row>
    <row r="1798" spans="1:7">
      <c r="A1798" t="s">
        <v>8314</v>
      </c>
      <c r="B1798" t="s">
        <v>8315</v>
      </c>
      <c r="C1798" t="s">
        <v>4766</v>
      </c>
      <c r="D1798">
        <v>6.13</v>
      </c>
      <c r="E1798" s="208">
        <v>44315</v>
      </c>
      <c r="F1798" t="s">
        <v>4877</v>
      </c>
      <c r="G1798" t="s">
        <v>4768</v>
      </c>
    </row>
    <row r="1799" spans="1:7">
      <c r="A1799" t="s">
        <v>8316</v>
      </c>
      <c r="B1799" t="s">
        <v>8317</v>
      </c>
      <c r="C1799" t="s">
        <v>4766</v>
      </c>
      <c r="D1799">
        <v>77.75</v>
      </c>
      <c r="E1799" s="208">
        <v>44312</v>
      </c>
      <c r="F1799" t="s">
        <v>4877</v>
      </c>
      <c r="G1799" t="s">
        <v>4768</v>
      </c>
    </row>
    <row r="1800" spans="1:7">
      <c r="A1800" t="s">
        <v>8318</v>
      </c>
      <c r="B1800" t="s">
        <v>8319</v>
      </c>
      <c r="C1800" t="s">
        <v>4972</v>
      </c>
      <c r="D1800">
        <v>21.26</v>
      </c>
      <c r="E1800" s="208">
        <v>44306</v>
      </c>
      <c r="F1800" t="s">
        <v>6638</v>
      </c>
      <c r="G1800" t="s">
        <v>4768</v>
      </c>
    </row>
    <row r="1801" spans="1:7">
      <c r="A1801" t="s">
        <v>8320</v>
      </c>
      <c r="B1801" t="s">
        <v>7170</v>
      </c>
      <c r="C1801" t="s">
        <v>4838</v>
      </c>
      <c r="D1801">
        <v>11.7</v>
      </c>
      <c r="E1801" s="208">
        <v>44299</v>
      </c>
      <c r="F1801" t="s">
        <v>4772</v>
      </c>
      <c r="G1801" t="s">
        <v>4768</v>
      </c>
    </row>
    <row r="1802" spans="1:7">
      <c r="A1802" t="s">
        <v>8321</v>
      </c>
      <c r="B1802" t="s">
        <v>7362</v>
      </c>
      <c r="C1802" t="s">
        <v>4771</v>
      </c>
      <c r="D1802">
        <v>54</v>
      </c>
      <c r="E1802" s="208">
        <v>44292</v>
      </c>
      <c r="F1802" t="s">
        <v>4772</v>
      </c>
      <c r="G1802" t="s">
        <v>4768</v>
      </c>
    </row>
    <row r="1803" spans="1:7">
      <c r="A1803" t="s">
        <v>8322</v>
      </c>
      <c r="B1803" t="s">
        <v>8323</v>
      </c>
      <c r="C1803" t="s">
        <v>4766</v>
      </c>
      <c r="D1803">
        <v>29.6</v>
      </c>
      <c r="E1803" s="208">
        <v>44287</v>
      </c>
      <c r="F1803" t="s">
        <v>4772</v>
      </c>
      <c r="G1803" t="s">
        <v>4768</v>
      </c>
    </row>
    <row r="1804" spans="1:7">
      <c r="A1804" t="s">
        <v>8324</v>
      </c>
      <c r="B1804" t="s">
        <v>8325</v>
      </c>
      <c r="C1804" t="s">
        <v>8326</v>
      </c>
      <c r="D1804">
        <v>37.99</v>
      </c>
      <c r="E1804" s="208">
        <v>44286</v>
      </c>
      <c r="F1804" t="s">
        <v>4779</v>
      </c>
      <c r="G1804" t="s">
        <v>4768</v>
      </c>
    </row>
    <row r="1805" spans="1:7">
      <c r="A1805" t="s">
        <v>8327</v>
      </c>
      <c r="B1805" t="s">
        <v>8328</v>
      </c>
      <c r="C1805" t="s">
        <v>4803</v>
      </c>
      <c r="D1805">
        <v>6.39</v>
      </c>
      <c r="E1805" s="208">
        <v>44277</v>
      </c>
      <c r="F1805" t="s">
        <v>4782</v>
      </c>
      <c r="G1805" t="s">
        <v>4768</v>
      </c>
    </row>
    <row r="1806" spans="1:7">
      <c r="A1806" t="s">
        <v>8329</v>
      </c>
      <c r="B1806" t="s">
        <v>8330</v>
      </c>
      <c r="C1806" t="s">
        <v>4967</v>
      </c>
      <c r="D1806">
        <v>468.83</v>
      </c>
      <c r="E1806" s="208">
        <v>44273</v>
      </c>
      <c r="F1806" t="s">
        <v>4885</v>
      </c>
      <c r="G1806" t="s">
        <v>4768</v>
      </c>
    </row>
    <row r="1807" spans="1:7">
      <c r="A1807" t="s">
        <v>8331</v>
      </c>
      <c r="B1807" t="s">
        <v>8332</v>
      </c>
      <c r="C1807" t="s">
        <v>4771</v>
      </c>
      <c r="D1807">
        <v>49.5</v>
      </c>
      <c r="E1807" s="208">
        <v>44266</v>
      </c>
      <c r="F1807" t="s">
        <v>4772</v>
      </c>
      <c r="G1807" t="s">
        <v>4768</v>
      </c>
    </row>
    <row r="1808" spans="1:7">
      <c r="A1808" t="s">
        <v>8333</v>
      </c>
      <c r="B1808" t="s">
        <v>8334</v>
      </c>
      <c r="C1808" t="s">
        <v>4806</v>
      </c>
      <c r="D1808">
        <v>84.57</v>
      </c>
      <c r="E1808" s="208">
        <v>44266</v>
      </c>
      <c r="F1808" t="s">
        <v>4877</v>
      </c>
      <c r="G1808" t="s">
        <v>4768</v>
      </c>
    </row>
    <row r="1809" spans="1:7">
      <c r="A1809" t="s">
        <v>8335</v>
      </c>
      <c r="B1809" t="s">
        <v>8336</v>
      </c>
      <c r="C1809" t="s">
        <v>4806</v>
      </c>
      <c r="D1809">
        <v>42.400799999999997</v>
      </c>
      <c r="E1809" s="208">
        <v>44263</v>
      </c>
      <c r="F1809" t="s">
        <v>4923</v>
      </c>
      <c r="G1809" t="s">
        <v>4768</v>
      </c>
    </row>
    <row r="1810" spans="1:7">
      <c r="A1810" t="s">
        <v>8337</v>
      </c>
      <c r="B1810" t="s">
        <v>8338</v>
      </c>
      <c r="C1810" t="s">
        <v>4838</v>
      </c>
      <c r="D1810">
        <v>26.32</v>
      </c>
      <c r="E1810" s="208">
        <v>44239</v>
      </c>
      <c r="F1810" t="s">
        <v>4767</v>
      </c>
      <c r="G1810" t="s">
        <v>4768</v>
      </c>
    </row>
    <row r="1811" spans="1:7">
      <c r="A1811" t="s">
        <v>8339</v>
      </c>
      <c r="B1811" t="s">
        <v>8340</v>
      </c>
      <c r="C1811" t="s">
        <v>4803</v>
      </c>
      <c r="D1811">
        <v>178.85</v>
      </c>
      <c r="E1811" s="208">
        <v>44231</v>
      </c>
      <c r="F1811" t="s">
        <v>4804</v>
      </c>
      <c r="G1811" t="s">
        <v>4768</v>
      </c>
    </row>
    <row r="1812" spans="1:7">
      <c r="A1812" t="s">
        <v>8341</v>
      </c>
      <c r="B1812" t="s">
        <v>8342</v>
      </c>
      <c r="C1812" t="s">
        <v>4766</v>
      </c>
      <c r="D1812">
        <v>206</v>
      </c>
      <c r="E1812" s="208">
        <v>44224</v>
      </c>
      <c r="F1812" t="s">
        <v>4804</v>
      </c>
      <c r="G1812" t="s">
        <v>4768</v>
      </c>
    </row>
    <row r="1813" spans="1:7">
      <c r="A1813" t="s">
        <v>8343</v>
      </c>
      <c r="B1813" t="s">
        <v>8344</v>
      </c>
      <c r="C1813" t="s">
        <v>4766</v>
      </c>
      <c r="D1813">
        <v>531.25</v>
      </c>
      <c r="E1813" s="208">
        <v>44223</v>
      </c>
      <c r="F1813" t="s">
        <v>4767</v>
      </c>
      <c r="G1813" t="s">
        <v>4768</v>
      </c>
    </row>
    <row r="1814" spans="1:7">
      <c r="A1814" t="s">
        <v>8345</v>
      </c>
      <c r="B1814" t="s">
        <v>8346</v>
      </c>
      <c r="C1814" t="s">
        <v>4766</v>
      </c>
      <c r="D1814">
        <v>7.26</v>
      </c>
      <c r="E1814" s="208">
        <v>44222</v>
      </c>
      <c r="F1814" t="s">
        <v>4782</v>
      </c>
      <c r="G1814" t="s">
        <v>4768</v>
      </c>
    </row>
    <row r="1815" spans="1:7">
      <c r="A1815" t="s">
        <v>8347</v>
      </c>
      <c r="B1815" t="s">
        <v>8348</v>
      </c>
      <c r="C1815" t="s">
        <v>4972</v>
      </c>
      <c r="D1815">
        <v>3.3</v>
      </c>
      <c r="E1815" s="208">
        <v>44222</v>
      </c>
      <c r="F1815" t="s">
        <v>4782</v>
      </c>
      <c r="G1815" t="s">
        <v>4768</v>
      </c>
    </row>
    <row r="1816" spans="1:7">
      <c r="A1816" t="s">
        <v>8349</v>
      </c>
      <c r="B1816" t="s">
        <v>8350</v>
      </c>
      <c r="C1816" t="s">
        <v>4766</v>
      </c>
      <c r="D1816">
        <v>99</v>
      </c>
      <c r="E1816" s="208">
        <v>44213</v>
      </c>
      <c r="F1816" t="s">
        <v>6534</v>
      </c>
      <c r="G1816" t="s">
        <v>4768</v>
      </c>
    </row>
    <row r="1817" spans="1:7">
      <c r="A1817" t="s">
        <v>8351</v>
      </c>
      <c r="B1817" t="s">
        <v>8352</v>
      </c>
      <c r="C1817" t="s">
        <v>4838</v>
      </c>
      <c r="D1817">
        <v>29.59</v>
      </c>
      <c r="E1817" s="208">
        <v>44201</v>
      </c>
      <c r="F1817" t="s">
        <v>4767</v>
      </c>
      <c r="G1817" t="s">
        <v>4768</v>
      </c>
    </row>
    <row r="1818" spans="1:7">
      <c r="A1818" t="s">
        <v>8353</v>
      </c>
      <c r="B1818" t="s">
        <v>8354</v>
      </c>
      <c r="C1818" t="s">
        <v>4771</v>
      </c>
      <c r="D1818">
        <v>54</v>
      </c>
      <c r="E1818" s="208">
        <v>44195</v>
      </c>
      <c r="F1818" t="s">
        <v>4772</v>
      </c>
      <c r="G1818" t="s">
        <v>4768</v>
      </c>
    </row>
    <row r="1819" spans="1:7">
      <c r="A1819" t="s">
        <v>8355</v>
      </c>
      <c r="B1819" t="s">
        <v>8356</v>
      </c>
      <c r="C1819" t="s">
        <v>4803</v>
      </c>
      <c r="D1819">
        <v>321</v>
      </c>
      <c r="E1819" s="208">
        <v>44158</v>
      </c>
      <c r="F1819" t="s">
        <v>4996</v>
      </c>
      <c r="G1819" t="s">
        <v>4768</v>
      </c>
    </row>
    <row r="1820" spans="1:7">
      <c r="A1820" t="s">
        <v>8357</v>
      </c>
      <c r="B1820" t="s">
        <v>8358</v>
      </c>
      <c r="C1820" t="s">
        <v>4795</v>
      </c>
      <c r="D1820">
        <v>995.43</v>
      </c>
      <c r="E1820" s="208">
        <v>44153</v>
      </c>
      <c r="F1820" t="s">
        <v>4767</v>
      </c>
      <c r="G1820" t="s">
        <v>4768</v>
      </c>
    </row>
    <row r="1821" spans="1:7">
      <c r="A1821" t="s">
        <v>8359</v>
      </c>
      <c r="B1821" t="s">
        <v>8360</v>
      </c>
      <c r="C1821" t="s">
        <v>4766</v>
      </c>
      <c r="D1821">
        <v>52</v>
      </c>
      <c r="E1821" s="208">
        <v>44144</v>
      </c>
      <c r="F1821" t="s">
        <v>5300</v>
      </c>
      <c r="G1821" t="s">
        <v>4768</v>
      </c>
    </row>
    <row r="1822" spans="1:7">
      <c r="A1822" t="s">
        <v>8361</v>
      </c>
      <c r="B1822" t="s">
        <v>8362</v>
      </c>
      <c r="C1822" t="s">
        <v>4771</v>
      </c>
      <c r="D1822">
        <v>53.5</v>
      </c>
      <c r="E1822" s="208">
        <v>44136</v>
      </c>
      <c r="F1822" t="s">
        <v>4772</v>
      </c>
      <c r="G1822" t="s">
        <v>4768</v>
      </c>
    </row>
    <row r="1823" spans="1:7">
      <c r="A1823" t="s">
        <v>8363</v>
      </c>
      <c r="B1823" t="s">
        <v>8364</v>
      </c>
      <c r="C1823" t="s">
        <v>5551</v>
      </c>
      <c r="D1823">
        <v>370.1</v>
      </c>
      <c r="E1823" s="208">
        <v>44134</v>
      </c>
      <c r="F1823" t="s">
        <v>4772</v>
      </c>
      <c r="G1823" t="s">
        <v>4768</v>
      </c>
    </row>
    <row r="1824" spans="1:7">
      <c r="A1824" t="s">
        <v>8365</v>
      </c>
      <c r="B1824" t="s">
        <v>8366</v>
      </c>
      <c r="C1824" t="s">
        <v>4775</v>
      </c>
      <c r="D1824">
        <v>30.57</v>
      </c>
      <c r="E1824" s="208">
        <v>44131</v>
      </c>
      <c r="F1824" t="s">
        <v>4767</v>
      </c>
      <c r="G1824" t="s">
        <v>4768</v>
      </c>
    </row>
    <row r="1825" spans="1:7">
      <c r="A1825" t="s">
        <v>8367</v>
      </c>
      <c r="B1825" t="s">
        <v>8368</v>
      </c>
      <c r="C1825" t="s">
        <v>4771</v>
      </c>
      <c r="D1825">
        <v>140</v>
      </c>
      <c r="E1825" s="208">
        <v>44131</v>
      </c>
      <c r="F1825" t="s">
        <v>4767</v>
      </c>
      <c r="G1825" t="s">
        <v>4768</v>
      </c>
    </row>
    <row r="1826" spans="1:7">
      <c r="A1826" t="s">
        <v>8369</v>
      </c>
      <c r="B1826" t="s">
        <v>8370</v>
      </c>
      <c r="C1826" t="s">
        <v>4845</v>
      </c>
      <c r="D1826">
        <v>15.53</v>
      </c>
      <c r="E1826" s="208">
        <v>44127</v>
      </c>
      <c r="F1826" t="s">
        <v>4767</v>
      </c>
      <c r="G1826" t="s">
        <v>4768</v>
      </c>
    </row>
    <row r="1827" spans="1:7">
      <c r="A1827" t="s">
        <v>8371</v>
      </c>
      <c r="B1827" t="s">
        <v>8372</v>
      </c>
      <c r="C1827" t="s">
        <v>4803</v>
      </c>
      <c r="D1827">
        <v>51.99</v>
      </c>
      <c r="E1827" s="208">
        <v>44126</v>
      </c>
      <c r="F1827" t="s">
        <v>8373</v>
      </c>
      <c r="G1827" t="s">
        <v>4768</v>
      </c>
    </row>
    <row r="1828" spans="1:7">
      <c r="A1828" t="s">
        <v>8374</v>
      </c>
      <c r="B1828" t="s">
        <v>8375</v>
      </c>
      <c r="C1828" t="s">
        <v>4884</v>
      </c>
      <c r="D1828">
        <v>174</v>
      </c>
      <c r="E1828" s="208">
        <v>44125</v>
      </c>
      <c r="F1828" t="s">
        <v>4996</v>
      </c>
      <c r="G1828" t="s">
        <v>4768</v>
      </c>
    </row>
    <row r="1829" spans="1:7">
      <c r="A1829" t="s">
        <v>8376</v>
      </c>
      <c r="B1829" t="s">
        <v>8377</v>
      </c>
      <c r="C1829" t="s">
        <v>4884</v>
      </c>
      <c r="D1829">
        <v>113.31</v>
      </c>
      <c r="E1829" s="208">
        <v>44120</v>
      </c>
      <c r="F1829" t="s">
        <v>4804</v>
      </c>
      <c r="G1829" t="s">
        <v>4768</v>
      </c>
    </row>
    <row r="1830" spans="1:7">
      <c r="A1830" t="s">
        <v>8378</v>
      </c>
      <c r="B1830" t="s">
        <v>8379</v>
      </c>
      <c r="C1830" t="s">
        <v>4806</v>
      </c>
      <c r="D1830">
        <v>24.95</v>
      </c>
      <c r="E1830" s="208">
        <v>44111</v>
      </c>
      <c r="F1830" t="s">
        <v>4923</v>
      </c>
      <c r="G1830" t="s">
        <v>4768</v>
      </c>
    </row>
    <row r="1831" spans="1:7">
      <c r="A1831" t="s">
        <v>8380</v>
      </c>
      <c r="B1831" t="s">
        <v>8381</v>
      </c>
      <c r="C1831" t="s">
        <v>5172</v>
      </c>
      <c r="D1831">
        <v>72</v>
      </c>
      <c r="E1831" s="208">
        <v>44110</v>
      </c>
      <c r="F1831" t="s">
        <v>4767</v>
      </c>
      <c r="G1831" t="s">
        <v>4768</v>
      </c>
    </row>
    <row r="1832" spans="1:7">
      <c r="A1832" t="s">
        <v>8382</v>
      </c>
      <c r="B1832" t="s">
        <v>8383</v>
      </c>
      <c r="C1832" t="s">
        <v>4766</v>
      </c>
      <c r="D1832">
        <v>26.67</v>
      </c>
      <c r="E1832" s="208">
        <v>44110</v>
      </c>
      <c r="F1832" t="s">
        <v>4767</v>
      </c>
      <c r="G1832" t="s">
        <v>4768</v>
      </c>
    </row>
    <row r="1833" spans="1:7">
      <c r="A1833" t="s">
        <v>8384</v>
      </c>
      <c r="B1833" t="s">
        <v>8385</v>
      </c>
      <c r="C1833" t="s">
        <v>4766</v>
      </c>
      <c r="D1833">
        <v>11.58</v>
      </c>
      <c r="E1833" s="208">
        <v>44105</v>
      </c>
      <c r="F1833" t="s">
        <v>8386</v>
      </c>
      <c r="G1833" t="s">
        <v>4768</v>
      </c>
    </row>
    <row r="1834" spans="1:7">
      <c r="A1834" t="s">
        <v>8387</v>
      </c>
      <c r="B1834" t="s">
        <v>8388</v>
      </c>
      <c r="C1834" t="s">
        <v>4884</v>
      </c>
      <c r="D1834">
        <v>814</v>
      </c>
      <c r="E1834" s="208">
        <v>44104</v>
      </c>
      <c r="F1834" t="s">
        <v>4996</v>
      </c>
      <c r="G1834" t="s">
        <v>4768</v>
      </c>
    </row>
    <row r="1835" spans="1:7">
      <c r="A1835" t="s">
        <v>8389</v>
      </c>
      <c r="B1835" t="s">
        <v>8390</v>
      </c>
      <c r="C1835" t="s">
        <v>8391</v>
      </c>
      <c r="D1835">
        <v>129.12</v>
      </c>
      <c r="E1835" s="208">
        <v>44103</v>
      </c>
      <c r="F1835" t="s">
        <v>4804</v>
      </c>
      <c r="G1835" t="s">
        <v>4768</v>
      </c>
    </row>
    <row r="1836" spans="1:7">
      <c r="A1836" t="s">
        <v>8392</v>
      </c>
      <c r="B1836" t="s">
        <v>8393</v>
      </c>
      <c r="C1836" t="s">
        <v>4884</v>
      </c>
      <c r="D1836">
        <v>529</v>
      </c>
      <c r="E1836" s="208">
        <v>44103</v>
      </c>
      <c r="F1836" t="s">
        <v>4996</v>
      </c>
      <c r="G1836" t="s">
        <v>4768</v>
      </c>
    </row>
    <row r="1837" spans="1:7">
      <c r="A1837" t="s">
        <v>8394</v>
      </c>
      <c r="B1837" t="s">
        <v>8395</v>
      </c>
      <c r="C1837" t="s">
        <v>4806</v>
      </c>
      <c r="D1837">
        <v>8.94</v>
      </c>
      <c r="E1837" s="208">
        <v>44097</v>
      </c>
      <c r="F1837" t="s">
        <v>4767</v>
      </c>
      <c r="G1837" t="s">
        <v>4768</v>
      </c>
    </row>
    <row r="1838" spans="1:7">
      <c r="A1838" t="s">
        <v>8396</v>
      </c>
      <c r="B1838" t="s">
        <v>8397</v>
      </c>
      <c r="C1838" t="s">
        <v>4803</v>
      </c>
      <c r="D1838">
        <v>71.52</v>
      </c>
      <c r="E1838" s="208">
        <v>44096</v>
      </c>
      <c r="F1838" t="s">
        <v>4846</v>
      </c>
      <c r="G1838" t="s">
        <v>4768</v>
      </c>
    </row>
    <row r="1839" spans="1:7">
      <c r="A1839" t="s">
        <v>8398</v>
      </c>
      <c r="B1839" t="s">
        <v>8399</v>
      </c>
      <c r="C1839" t="s">
        <v>4766</v>
      </c>
      <c r="D1839">
        <v>8.9</v>
      </c>
      <c r="E1839" s="208">
        <v>44095</v>
      </c>
      <c r="F1839" t="s">
        <v>4885</v>
      </c>
      <c r="G1839" t="s">
        <v>4768</v>
      </c>
    </row>
    <row r="1840" spans="1:7">
      <c r="A1840" t="s">
        <v>8400</v>
      </c>
      <c r="B1840" t="s">
        <v>8401</v>
      </c>
      <c r="C1840" t="s">
        <v>4766</v>
      </c>
      <c r="D1840">
        <v>58.49</v>
      </c>
      <c r="E1840" s="208">
        <v>44090</v>
      </c>
      <c r="F1840" t="s">
        <v>8038</v>
      </c>
      <c r="G1840" t="s">
        <v>4768</v>
      </c>
    </row>
    <row r="1841" spans="1:7">
      <c r="A1841" t="s">
        <v>8402</v>
      </c>
      <c r="B1841" t="s">
        <v>8403</v>
      </c>
      <c r="C1841" t="s">
        <v>4766</v>
      </c>
      <c r="D1841">
        <v>399</v>
      </c>
      <c r="E1841" s="208">
        <v>44085</v>
      </c>
      <c r="F1841" t="s">
        <v>1267</v>
      </c>
      <c r="G1841" t="s">
        <v>4768</v>
      </c>
    </row>
    <row r="1842" spans="1:7">
      <c r="A1842" t="s">
        <v>8404</v>
      </c>
      <c r="B1842" t="s">
        <v>8405</v>
      </c>
      <c r="C1842" t="s">
        <v>4766</v>
      </c>
      <c r="D1842">
        <v>57.99</v>
      </c>
      <c r="E1842" s="208">
        <v>44084</v>
      </c>
      <c r="F1842" t="s">
        <v>4767</v>
      </c>
      <c r="G1842" t="s">
        <v>4768</v>
      </c>
    </row>
    <row r="1843" spans="1:7">
      <c r="A1843" t="s">
        <v>8406</v>
      </c>
      <c r="B1843" t="s">
        <v>8407</v>
      </c>
      <c r="C1843" t="s">
        <v>4771</v>
      </c>
      <c r="D1843">
        <v>363.84</v>
      </c>
      <c r="E1843" s="208">
        <v>44083</v>
      </c>
      <c r="F1843" t="s">
        <v>4767</v>
      </c>
      <c r="G1843" t="s">
        <v>4768</v>
      </c>
    </row>
    <row r="1844" spans="1:7">
      <c r="A1844" t="s">
        <v>8408</v>
      </c>
      <c r="B1844" t="s">
        <v>8409</v>
      </c>
      <c r="C1844" t="s">
        <v>4871</v>
      </c>
      <c r="D1844">
        <v>8.15</v>
      </c>
      <c r="E1844" s="208">
        <v>44082</v>
      </c>
      <c r="F1844" t="s">
        <v>4772</v>
      </c>
      <c r="G1844" t="s">
        <v>4768</v>
      </c>
    </row>
    <row r="1845" spans="1:7">
      <c r="A1845" t="s">
        <v>8410</v>
      </c>
      <c r="B1845" t="s">
        <v>8411</v>
      </c>
      <c r="C1845" t="s">
        <v>4803</v>
      </c>
      <c r="D1845">
        <v>153.11000000000001</v>
      </c>
      <c r="E1845" s="208">
        <v>44082</v>
      </c>
      <c r="F1845" t="s">
        <v>4804</v>
      </c>
      <c r="G1845" t="s">
        <v>4768</v>
      </c>
    </row>
    <row r="1846" spans="1:7">
      <c r="A1846" t="s">
        <v>8412</v>
      </c>
      <c r="B1846" t="s">
        <v>8413</v>
      </c>
      <c r="C1846" t="s">
        <v>4806</v>
      </c>
      <c r="D1846">
        <v>25.5</v>
      </c>
      <c r="E1846" s="208">
        <v>44082</v>
      </c>
      <c r="F1846" t="s">
        <v>4923</v>
      </c>
      <c r="G1846" t="s">
        <v>4768</v>
      </c>
    </row>
    <row r="1847" spans="1:7">
      <c r="A1847" t="s">
        <v>8414</v>
      </c>
      <c r="B1847" t="s">
        <v>8415</v>
      </c>
      <c r="C1847" t="s">
        <v>4884</v>
      </c>
      <c r="D1847">
        <v>169</v>
      </c>
      <c r="E1847" s="208">
        <v>44076</v>
      </c>
      <c r="F1847" t="s">
        <v>4996</v>
      </c>
      <c r="G1847" t="s">
        <v>4768</v>
      </c>
    </row>
    <row r="1848" spans="1:7">
      <c r="A1848" t="s">
        <v>8416</v>
      </c>
      <c r="B1848" t="s">
        <v>8417</v>
      </c>
      <c r="C1848" t="s">
        <v>4838</v>
      </c>
      <c r="D1848">
        <v>42.24</v>
      </c>
      <c r="E1848" s="208">
        <v>44074</v>
      </c>
      <c r="F1848" t="s">
        <v>4767</v>
      </c>
      <c r="G1848" t="s">
        <v>4768</v>
      </c>
    </row>
    <row r="1849" spans="1:7">
      <c r="A1849" t="s">
        <v>8418</v>
      </c>
      <c r="B1849" t="s">
        <v>8419</v>
      </c>
      <c r="C1849" t="s">
        <v>8326</v>
      </c>
      <c r="D1849">
        <v>46.17</v>
      </c>
      <c r="E1849" s="208">
        <v>44074</v>
      </c>
      <c r="F1849" t="s">
        <v>4767</v>
      </c>
      <c r="G1849" t="s">
        <v>4768</v>
      </c>
    </row>
    <row r="1850" spans="1:7">
      <c r="A1850" t="s">
        <v>8420</v>
      </c>
      <c r="B1850" t="s">
        <v>8421</v>
      </c>
      <c r="C1850" t="s">
        <v>4803</v>
      </c>
      <c r="D1850">
        <v>64.95</v>
      </c>
      <c r="E1850" s="208">
        <v>44071</v>
      </c>
      <c r="F1850" t="s">
        <v>4767</v>
      </c>
      <c r="G1850" t="s">
        <v>4768</v>
      </c>
    </row>
    <row r="1851" spans="1:7">
      <c r="A1851" t="s">
        <v>8422</v>
      </c>
      <c r="B1851" t="s">
        <v>8423</v>
      </c>
      <c r="C1851" t="s">
        <v>562</v>
      </c>
      <c r="D1851">
        <v>41</v>
      </c>
      <c r="E1851" s="208">
        <v>44069</v>
      </c>
      <c r="F1851" t="s">
        <v>4804</v>
      </c>
      <c r="G1851" t="s">
        <v>4768</v>
      </c>
    </row>
    <row r="1852" spans="1:7">
      <c r="A1852" t="s">
        <v>8424</v>
      </c>
      <c r="B1852" t="s">
        <v>7486</v>
      </c>
      <c r="C1852" t="s">
        <v>4845</v>
      </c>
      <c r="D1852">
        <v>260</v>
      </c>
      <c r="E1852" s="208">
        <v>44068</v>
      </c>
      <c r="F1852" t="s">
        <v>4767</v>
      </c>
      <c r="G1852" t="s">
        <v>4768</v>
      </c>
    </row>
    <row r="1853" spans="1:7">
      <c r="A1853" t="s">
        <v>8425</v>
      </c>
      <c r="B1853" t="s">
        <v>8426</v>
      </c>
      <c r="C1853" t="s">
        <v>4895</v>
      </c>
      <c r="D1853">
        <v>53.99</v>
      </c>
      <c r="E1853" s="208">
        <v>44068</v>
      </c>
      <c r="F1853" t="s">
        <v>4767</v>
      </c>
      <c r="G1853" t="s">
        <v>4768</v>
      </c>
    </row>
    <row r="1854" spans="1:7">
      <c r="A1854" t="s">
        <v>8427</v>
      </c>
      <c r="B1854" t="s">
        <v>8428</v>
      </c>
      <c r="C1854" t="s">
        <v>4766</v>
      </c>
      <c r="D1854">
        <v>211.76</v>
      </c>
      <c r="E1854" s="208">
        <v>44063</v>
      </c>
      <c r="F1854" t="s">
        <v>4804</v>
      </c>
      <c r="G1854" t="s">
        <v>4768</v>
      </c>
    </row>
    <row r="1855" spans="1:7">
      <c r="A1855" t="s">
        <v>8429</v>
      </c>
      <c r="B1855" t="s">
        <v>8430</v>
      </c>
      <c r="C1855" t="s">
        <v>4766</v>
      </c>
      <c r="D1855">
        <v>220</v>
      </c>
      <c r="E1855" s="208">
        <v>44063</v>
      </c>
      <c r="F1855" t="s">
        <v>4923</v>
      </c>
      <c r="G1855" t="s">
        <v>4768</v>
      </c>
    </row>
    <row r="1856" spans="1:7">
      <c r="A1856" t="s">
        <v>8431</v>
      </c>
      <c r="B1856" t="s">
        <v>6986</v>
      </c>
      <c r="C1856" t="s">
        <v>4838</v>
      </c>
      <c r="D1856">
        <v>11.75</v>
      </c>
      <c r="E1856" s="208">
        <v>44060</v>
      </c>
      <c r="F1856" t="s">
        <v>4767</v>
      </c>
      <c r="G1856" t="s">
        <v>4768</v>
      </c>
    </row>
    <row r="1857" spans="1:7">
      <c r="A1857" t="s">
        <v>8432</v>
      </c>
      <c r="B1857" t="s">
        <v>8433</v>
      </c>
      <c r="C1857" t="s">
        <v>4766</v>
      </c>
      <c r="D1857">
        <v>8.94</v>
      </c>
      <c r="E1857" s="208">
        <v>44060</v>
      </c>
      <c r="F1857" t="s">
        <v>4767</v>
      </c>
      <c r="G1857" t="s">
        <v>4768</v>
      </c>
    </row>
    <row r="1858" spans="1:7">
      <c r="A1858" t="s">
        <v>8434</v>
      </c>
      <c r="B1858" t="s">
        <v>8435</v>
      </c>
      <c r="C1858" t="s">
        <v>4895</v>
      </c>
      <c r="D1858">
        <v>87.74</v>
      </c>
      <c r="E1858" s="208">
        <v>44060</v>
      </c>
      <c r="F1858" t="s">
        <v>4767</v>
      </c>
      <c r="G1858" t="s">
        <v>4768</v>
      </c>
    </row>
    <row r="1859" spans="1:7">
      <c r="A1859" t="s">
        <v>8436</v>
      </c>
      <c r="B1859" t="s">
        <v>7482</v>
      </c>
      <c r="C1859" t="s">
        <v>4845</v>
      </c>
      <c r="D1859">
        <v>260</v>
      </c>
      <c r="E1859" s="208">
        <v>44060</v>
      </c>
      <c r="F1859" t="s">
        <v>4767</v>
      </c>
      <c r="G1859" t="s">
        <v>4768</v>
      </c>
    </row>
    <row r="1860" spans="1:7">
      <c r="A1860" t="s">
        <v>8437</v>
      </c>
      <c r="B1860" t="s">
        <v>8438</v>
      </c>
      <c r="C1860" t="s">
        <v>4835</v>
      </c>
      <c r="D1860">
        <v>296.95</v>
      </c>
      <c r="E1860" s="208">
        <v>44060</v>
      </c>
      <c r="F1860" t="s">
        <v>4772</v>
      </c>
      <c r="G1860" t="s">
        <v>4768</v>
      </c>
    </row>
    <row r="1861" spans="1:7">
      <c r="A1861" t="s">
        <v>8439</v>
      </c>
      <c r="B1861" t="s">
        <v>8440</v>
      </c>
      <c r="C1861" t="s">
        <v>4806</v>
      </c>
      <c r="D1861">
        <v>6.2</v>
      </c>
      <c r="E1861" s="208">
        <v>44056</v>
      </c>
      <c r="F1861" t="s">
        <v>4767</v>
      </c>
      <c r="G1861" t="s">
        <v>4768</v>
      </c>
    </row>
    <row r="1862" spans="1:7">
      <c r="A1862" t="s">
        <v>8441</v>
      </c>
      <c r="B1862" t="s">
        <v>8442</v>
      </c>
      <c r="C1862" t="s">
        <v>4775</v>
      </c>
      <c r="D1862">
        <v>28.57</v>
      </c>
      <c r="E1862" s="208">
        <v>44055</v>
      </c>
      <c r="F1862" t="s">
        <v>4767</v>
      </c>
      <c r="G1862" t="s">
        <v>4768</v>
      </c>
    </row>
    <row r="1863" spans="1:7">
      <c r="A1863" t="s">
        <v>8443</v>
      </c>
      <c r="B1863" t="s">
        <v>8444</v>
      </c>
      <c r="C1863" t="s">
        <v>4766</v>
      </c>
      <c r="D1863">
        <v>6.99</v>
      </c>
      <c r="E1863" s="208">
        <v>44055</v>
      </c>
      <c r="F1863" t="s">
        <v>4767</v>
      </c>
      <c r="G1863" t="s">
        <v>4768</v>
      </c>
    </row>
    <row r="1864" spans="1:7">
      <c r="A1864" t="s">
        <v>8445</v>
      </c>
      <c r="B1864" t="s">
        <v>8446</v>
      </c>
      <c r="C1864" t="s">
        <v>4766</v>
      </c>
      <c r="D1864">
        <v>349</v>
      </c>
      <c r="E1864" s="208">
        <v>44053</v>
      </c>
      <c r="F1864" t="s">
        <v>4832</v>
      </c>
      <c r="G1864" t="s">
        <v>4768</v>
      </c>
    </row>
    <row r="1865" spans="1:7">
      <c r="A1865" t="s">
        <v>8447</v>
      </c>
      <c r="B1865" t="s">
        <v>8448</v>
      </c>
      <c r="C1865" t="s">
        <v>4766</v>
      </c>
      <c r="D1865">
        <v>116.77</v>
      </c>
      <c r="E1865" s="208">
        <v>44042</v>
      </c>
      <c r="F1865" t="s">
        <v>4881</v>
      </c>
      <c r="G1865" t="s">
        <v>4768</v>
      </c>
    </row>
    <row r="1866" spans="1:7">
      <c r="A1866" t="s">
        <v>8449</v>
      </c>
      <c r="B1866" t="s">
        <v>7178</v>
      </c>
      <c r="C1866" t="s">
        <v>4838</v>
      </c>
      <c r="D1866">
        <v>26.88</v>
      </c>
      <c r="E1866" s="208">
        <v>44041</v>
      </c>
      <c r="F1866" t="s">
        <v>4767</v>
      </c>
      <c r="G1866" t="s">
        <v>4768</v>
      </c>
    </row>
    <row r="1867" spans="1:7">
      <c r="A1867" t="s">
        <v>8450</v>
      </c>
      <c r="B1867" t="s">
        <v>8451</v>
      </c>
      <c r="C1867" t="s">
        <v>4806</v>
      </c>
      <c r="D1867">
        <v>29.32</v>
      </c>
      <c r="E1867" s="208">
        <v>44041</v>
      </c>
      <c r="F1867" t="s">
        <v>4767</v>
      </c>
      <c r="G1867" t="s">
        <v>4768</v>
      </c>
    </row>
    <row r="1868" spans="1:7">
      <c r="A1868" t="s">
        <v>8452</v>
      </c>
      <c r="B1868" t="s">
        <v>8453</v>
      </c>
      <c r="C1868" t="s">
        <v>4806</v>
      </c>
      <c r="D1868">
        <v>29.32</v>
      </c>
      <c r="E1868" s="208">
        <v>44041</v>
      </c>
      <c r="F1868" t="s">
        <v>4767</v>
      </c>
      <c r="G1868" t="s">
        <v>4768</v>
      </c>
    </row>
    <row r="1869" spans="1:7">
      <c r="A1869" t="s">
        <v>8454</v>
      </c>
      <c r="B1869" t="s">
        <v>8455</v>
      </c>
      <c r="C1869" t="s">
        <v>4803</v>
      </c>
      <c r="D1869">
        <v>59</v>
      </c>
      <c r="E1869" s="208">
        <v>44039</v>
      </c>
      <c r="F1869" t="s">
        <v>4804</v>
      </c>
      <c r="G1869" t="s">
        <v>4768</v>
      </c>
    </row>
    <row r="1870" spans="1:7">
      <c r="A1870" t="s">
        <v>8456</v>
      </c>
      <c r="B1870" t="s">
        <v>8457</v>
      </c>
      <c r="C1870" t="s">
        <v>4766</v>
      </c>
      <c r="D1870">
        <v>229.99</v>
      </c>
      <c r="E1870" s="208">
        <v>44034</v>
      </c>
      <c r="F1870" t="s">
        <v>4782</v>
      </c>
      <c r="G1870" t="s">
        <v>4768</v>
      </c>
    </row>
    <row r="1871" spans="1:7">
      <c r="A1871" t="s">
        <v>8458</v>
      </c>
      <c r="B1871" t="s">
        <v>8428</v>
      </c>
      <c r="C1871" t="s">
        <v>4806</v>
      </c>
      <c r="D1871">
        <v>22.95</v>
      </c>
      <c r="E1871" s="208">
        <v>44034</v>
      </c>
      <c r="F1871" t="s">
        <v>4936</v>
      </c>
      <c r="G1871" t="s">
        <v>4768</v>
      </c>
    </row>
    <row r="1872" spans="1:7">
      <c r="A1872" t="s">
        <v>8459</v>
      </c>
      <c r="B1872" t="s">
        <v>8460</v>
      </c>
      <c r="C1872" t="s">
        <v>8461</v>
      </c>
      <c r="D1872">
        <v>37.31</v>
      </c>
      <c r="E1872" s="208">
        <v>44033</v>
      </c>
      <c r="F1872" t="s">
        <v>4767</v>
      </c>
      <c r="G1872" t="s">
        <v>4768</v>
      </c>
    </row>
    <row r="1873" spans="1:7">
      <c r="A1873" t="s">
        <v>8462</v>
      </c>
      <c r="B1873" t="s">
        <v>7488</v>
      </c>
      <c r="C1873" t="s">
        <v>4845</v>
      </c>
      <c r="D1873">
        <v>299</v>
      </c>
      <c r="E1873" s="208">
        <v>44033</v>
      </c>
      <c r="F1873" t="s">
        <v>4767</v>
      </c>
      <c r="G1873" t="s">
        <v>4768</v>
      </c>
    </row>
    <row r="1874" spans="1:7">
      <c r="A1874" t="s">
        <v>8463</v>
      </c>
      <c r="B1874" t="s">
        <v>7265</v>
      </c>
      <c r="C1874" t="s">
        <v>4895</v>
      </c>
      <c r="D1874">
        <v>34.83</v>
      </c>
      <c r="E1874" s="208">
        <v>44029</v>
      </c>
      <c r="F1874" t="s">
        <v>4767</v>
      </c>
      <c r="G1874" t="s">
        <v>4768</v>
      </c>
    </row>
    <row r="1875" spans="1:7">
      <c r="A1875" t="s">
        <v>8464</v>
      </c>
      <c r="B1875" t="s">
        <v>7175</v>
      </c>
      <c r="C1875" t="s">
        <v>4838</v>
      </c>
      <c r="D1875">
        <v>20.8</v>
      </c>
      <c r="E1875" s="208">
        <v>44028</v>
      </c>
      <c r="F1875" t="s">
        <v>4767</v>
      </c>
      <c r="G1875" t="s">
        <v>4768</v>
      </c>
    </row>
    <row r="1876" spans="1:7">
      <c r="A1876" t="s">
        <v>8465</v>
      </c>
      <c r="B1876" t="s">
        <v>8466</v>
      </c>
      <c r="C1876" t="s">
        <v>4806</v>
      </c>
      <c r="D1876">
        <v>24.06</v>
      </c>
      <c r="E1876" s="208">
        <v>44011</v>
      </c>
      <c r="F1876" t="s">
        <v>4923</v>
      </c>
      <c r="G1876" t="s">
        <v>4768</v>
      </c>
    </row>
    <row r="1877" spans="1:7">
      <c r="A1877" t="s">
        <v>8467</v>
      </c>
      <c r="B1877" t="s">
        <v>8468</v>
      </c>
      <c r="C1877" t="s">
        <v>4766</v>
      </c>
      <c r="D1877">
        <v>2.75</v>
      </c>
      <c r="E1877" s="208">
        <v>44006</v>
      </c>
      <c r="F1877" t="s">
        <v>8197</v>
      </c>
      <c r="G1877" t="s">
        <v>4768</v>
      </c>
    </row>
    <row r="1878" spans="1:7">
      <c r="A1878" t="s">
        <v>8469</v>
      </c>
      <c r="B1878" t="s">
        <v>8470</v>
      </c>
      <c r="C1878" t="s">
        <v>4766</v>
      </c>
      <c r="D1878">
        <v>35.909999999999997</v>
      </c>
      <c r="E1878" s="208">
        <v>44005</v>
      </c>
      <c r="F1878" t="s">
        <v>8471</v>
      </c>
      <c r="G1878" t="s">
        <v>4768</v>
      </c>
    </row>
    <row r="1879" spans="1:7">
      <c r="A1879" t="s">
        <v>8472</v>
      </c>
      <c r="B1879" t="s">
        <v>8473</v>
      </c>
      <c r="C1879" t="s">
        <v>4766</v>
      </c>
      <c r="D1879">
        <v>68.86</v>
      </c>
      <c r="E1879" s="208">
        <v>44004</v>
      </c>
      <c r="F1879" t="s">
        <v>8386</v>
      </c>
      <c r="G1879" t="s">
        <v>4768</v>
      </c>
    </row>
    <row r="1880" spans="1:7">
      <c r="A1880" t="s">
        <v>8474</v>
      </c>
      <c r="B1880" t="s">
        <v>7190</v>
      </c>
      <c r="C1880" t="s">
        <v>4838</v>
      </c>
      <c r="D1880">
        <v>31.04</v>
      </c>
      <c r="E1880" s="208">
        <v>43994</v>
      </c>
      <c r="F1880" t="s">
        <v>4772</v>
      </c>
      <c r="G1880" t="s">
        <v>4768</v>
      </c>
    </row>
    <row r="1881" spans="1:7">
      <c r="A1881" t="s">
        <v>8475</v>
      </c>
      <c r="B1881" t="s">
        <v>8476</v>
      </c>
      <c r="C1881" t="s">
        <v>6331</v>
      </c>
      <c r="D1881">
        <v>372.43</v>
      </c>
      <c r="E1881" s="208">
        <v>43990</v>
      </c>
      <c r="F1881" t="s">
        <v>4767</v>
      </c>
      <c r="G1881" t="s">
        <v>4768</v>
      </c>
    </row>
    <row r="1882" spans="1:7">
      <c r="A1882" t="s">
        <v>8477</v>
      </c>
      <c r="B1882" t="s">
        <v>8478</v>
      </c>
      <c r="C1882" t="s">
        <v>4831</v>
      </c>
      <c r="D1882">
        <v>66.92</v>
      </c>
      <c r="E1882" s="208">
        <v>43981</v>
      </c>
      <c r="F1882" t="s">
        <v>8479</v>
      </c>
      <c r="G1882" t="s">
        <v>4768</v>
      </c>
    </row>
    <row r="1883" spans="1:7">
      <c r="A1883" t="s">
        <v>8480</v>
      </c>
      <c r="B1883" t="s">
        <v>8481</v>
      </c>
      <c r="C1883" t="s">
        <v>4831</v>
      </c>
      <c r="D1883">
        <v>16.059999999999999</v>
      </c>
      <c r="E1883" s="208">
        <v>43981</v>
      </c>
      <c r="F1883" t="s">
        <v>8479</v>
      </c>
      <c r="G1883" t="s">
        <v>4768</v>
      </c>
    </row>
    <row r="1884" spans="1:7">
      <c r="A1884" t="s">
        <v>8482</v>
      </c>
      <c r="B1884" t="s">
        <v>8483</v>
      </c>
      <c r="C1884" t="s">
        <v>4766</v>
      </c>
      <c r="D1884">
        <v>107</v>
      </c>
      <c r="E1884" s="208">
        <v>43978</v>
      </c>
      <c r="F1884" t="s">
        <v>4772</v>
      </c>
      <c r="G1884" t="s">
        <v>4768</v>
      </c>
    </row>
    <row r="1885" spans="1:7">
      <c r="A1885" t="s">
        <v>8484</v>
      </c>
      <c r="B1885" t="s">
        <v>8485</v>
      </c>
      <c r="C1885" t="s">
        <v>4884</v>
      </c>
      <c r="D1885">
        <v>217.3</v>
      </c>
      <c r="E1885" s="208">
        <v>43977</v>
      </c>
      <c r="F1885" t="s">
        <v>7862</v>
      </c>
      <c r="G1885" t="s">
        <v>4768</v>
      </c>
    </row>
    <row r="1886" spans="1:7">
      <c r="A1886" t="s">
        <v>8486</v>
      </c>
      <c r="B1886" t="s">
        <v>8487</v>
      </c>
      <c r="C1886" t="s">
        <v>4888</v>
      </c>
      <c r="D1886">
        <v>31.44</v>
      </c>
      <c r="E1886" s="208">
        <v>43977</v>
      </c>
      <c r="F1886" t="s">
        <v>4782</v>
      </c>
      <c r="G1886" t="s">
        <v>4768</v>
      </c>
    </row>
    <row r="1887" spans="1:7">
      <c r="A1887" t="s">
        <v>8488</v>
      </c>
      <c r="B1887" t="s">
        <v>8489</v>
      </c>
      <c r="C1887" t="s">
        <v>4806</v>
      </c>
      <c r="D1887">
        <v>12.03</v>
      </c>
      <c r="E1887" s="208">
        <v>43977</v>
      </c>
      <c r="F1887" t="s">
        <v>4923</v>
      </c>
      <c r="G1887" t="s">
        <v>4768</v>
      </c>
    </row>
    <row r="1888" spans="1:7">
      <c r="A1888" t="s">
        <v>8490</v>
      </c>
      <c r="B1888" t="s">
        <v>8491</v>
      </c>
      <c r="C1888" t="s">
        <v>4895</v>
      </c>
      <c r="D1888">
        <v>78.59</v>
      </c>
      <c r="E1888" s="208">
        <v>43970</v>
      </c>
      <c r="F1888" t="s">
        <v>4767</v>
      </c>
      <c r="G1888" t="s">
        <v>4768</v>
      </c>
    </row>
    <row r="1889" spans="1:7">
      <c r="A1889" t="s">
        <v>8492</v>
      </c>
      <c r="B1889" t="s">
        <v>8493</v>
      </c>
      <c r="C1889" t="s">
        <v>4884</v>
      </c>
      <c r="D1889">
        <v>165</v>
      </c>
      <c r="E1889" s="208">
        <v>43970</v>
      </c>
      <c r="F1889" t="s">
        <v>8494</v>
      </c>
      <c r="G1889" t="s">
        <v>4768</v>
      </c>
    </row>
    <row r="1890" spans="1:7">
      <c r="A1890" t="s">
        <v>8495</v>
      </c>
      <c r="B1890" t="s">
        <v>8496</v>
      </c>
      <c r="C1890" t="s">
        <v>4795</v>
      </c>
      <c r="D1890">
        <v>60.5</v>
      </c>
      <c r="E1890" s="208">
        <v>43969</v>
      </c>
      <c r="F1890" t="s">
        <v>7862</v>
      </c>
      <c r="G1890" t="s">
        <v>4768</v>
      </c>
    </row>
    <row r="1891" spans="1:7">
      <c r="A1891" t="s">
        <v>8497</v>
      </c>
      <c r="B1891" t="s">
        <v>8498</v>
      </c>
      <c r="C1891" t="s">
        <v>4771</v>
      </c>
      <c r="D1891">
        <v>304.3</v>
      </c>
      <c r="E1891" s="208">
        <v>43958</v>
      </c>
      <c r="F1891" t="s">
        <v>4767</v>
      </c>
      <c r="G1891" t="s">
        <v>4768</v>
      </c>
    </row>
    <row r="1892" spans="1:7">
      <c r="A1892" t="s">
        <v>8499</v>
      </c>
      <c r="B1892" t="s">
        <v>8500</v>
      </c>
      <c r="C1892" t="s">
        <v>4795</v>
      </c>
      <c r="D1892">
        <v>200</v>
      </c>
      <c r="E1892" s="208">
        <v>43958</v>
      </c>
      <c r="F1892" t="s">
        <v>4767</v>
      </c>
      <c r="G1892" t="s">
        <v>4768</v>
      </c>
    </row>
    <row r="1893" spans="1:7">
      <c r="A1893" t="s">
        <v>8501</v>
      </c>
      <c r="B1893" t="s">
        <v>8502</v>
      </c>
      <c r="C1893" t="s">
        <v>4884</v>
      </c>
      <c r="D1893">
        <v>49.2</v>
      </c>
      <c r="E1893" s="208">
        <v>43958</v>
      </c>
      <c r="F1893" t="s">
        <v>4767</v>
      </c>
      <c r="G1893" t="s">
        <v>4768</v>
      </c>
    </row>
    <row r="1894" spans="1:7">
      <c r="A1894" t="s">
        <v>8503</v>
      </c>
      <c r="B1894" t="s">
        <v>8504</v>
      </c>
      <c r="C1894" t="s">
        <v>4803</v>
      </c>
      <c r="D1894">
        <v>68.7</v>
      </c>
      <c r="E1894" s="208">
        <v>43958</v>
      </c>
      <c r="F1894" t="s">
        <v>4772</v>
      </c>
      <c r="G1894" t="s">
        <v>4768</v>
      </c>
    </row>
    <row r="1895" spans="1:7">
      <c r="A1895" t="s">
        <v>8505</v>
      </c>
      <c r="B1895" t="s">
        <v>8506</v>
      </c>
      <c r="C1895" t="s">
        <v>6085</v>
      </c>
      <c r="D1895">
        <v>0.62</v>
      </c>
      <c r="E1895" s="208">
        <v>43955</v>
      </c>
      <c r="F1895" t="s">
        <v>4767</v>
      </c>
      <c r="G1895" t="s">
        <v>4768</v>
      </c>
    </row>
    <row r="1896" spans="1:7">
      <c r="A1896" t="s">
        <v>8507</v>
      </c>
      <c r="B1896" t="s">
        <v>8508</v>
      </c>
      <c r="C1896" t="s">
        <v>4766</v>
      </c>
      <c r="D1896">
        <v>249.99</v>
      </c>
      <c r="E1896" s="208">
        <v>43950</v>
      </c>
      <c r="F1896" t="s">
        <v>8509</v>
      </c>
      <c r="G1896" t="s">
        <v>4768</v>
      </c>
    </row>
    <row r="1897" spans="1:7">
      <c r="A1897" t="s">
        <v>8510</v>
      </c>
      <c r="B1897" t="s">
        <v>8511</v>
      </c>
      <c r="C1897" t="s">
        <v>4766</v>
      </c>
      <c r="D1897">
        <v>26.5</v>
      </c>
      <c r="E1897" s="208">
        <v>43935</v>
      </c>
      <c r="F1897" t="s">
        <v>4772</v>
      </c>
      <c r="G1897" t="s">
        <v>4768</v>
      </c>
    </row>
    <row r="1898" spans="1:7">
      <c r="A1898" t="s">
        <v>8512</v>
      </c>
      <c r="B1898" t="s">
        <v>8513</v>
      </c>
      <c r="C1898" t="s">
        <v>4766</v>
      </c>
      <c r="D1898">
        <v>478.4</v>
      </c>
      <c r="E1898" s="208">
        <v>43928</v>
      </c>
      <c r="F1898" t="s">
        <v>4772</v>
      </c>
      <c r="G1898" t="s">
        <v>4768</v>
      </c>
    </row>
    <row r="1899" spans="1:7">
      <c r="A1899" t="s">
        <v>8514</v>
      </c>
      <c r="B1899" t="s">
        <v>7188</v>
      </c>
      <c r="C1899" t="s">
        <v>4806</v>
      </c>
      <c r="D1899">
        <v>14346.44</v>
      </c>
      <c r="E1899" s="208">
        <v>43902</v>
      </c>
      <c r="F1899" t="s">
        <v>4772</v>
      </c>
      <c r="G1899" t="s">
        <v>4768</v>
      </c>
    </row>
    <row r="1900" spans="1:7">
      <c r="A1900" t="s">
        <v>8515</v>
      </c>
      <c r="B1900" t="s">
        <v>8516</v>
      </c>
      <c r="C1900" t="s">
        <v>4803</v>
      </c>
      <c r="D1900">
        <v>100.14</v>
      </c>
      <c r="E1900" s="208">
        <v>43892</v>
      </c>
      <c r="F1900" t="s">
        <v>4804</v>
      </c>
      <c r="G1900" t="s">
        <v>4768</v>
      </c>
    </row>
    <row r="1901" spans="1:7">
      <c r="A1901" t="s">
        <v>8517</v>
      </c>
      <c r="B1901" t="s">
        <v>8518</v>
      </c>
      <c r="C1901" t="s">
        <v>4766</v>
      </c>
      <c r="D1901">
        <v>2.44</v>
      </c>
      <c r="E1901" s="208">
        <v>43887</v>
      </c>
      <c r="F1901" t="s">
        <v>7796</v>
      </c>
      <c r="G1901" t="s">
        <v>4768</v>
      </c>
    </row>
    <row r="1902" spans="1:7">
      <c r="A1902" t="s">
        <v>8519</v>
      </c>
      <c r="B1902" t="s">
        <v>8520</v>
      </c>
      <c r="C1902" t="s">
        <v>4803</v>
      </c>
      <c r="D1902">
        <v>114.27</v>
      </c>
      <c r="E1902" s="208">
        <v>43882</v>
      </c>
      <c r="F1902" t="s">
        <v>4804</v>
      </c>
      <c r="G1902" t="s">
        <v>4768</v>
      </c>
    </row>
    <row r="1903" spans="1:7">
      <c r="A1903" t="s">
        <v>8521</v>
      </c>
      <c r="B1903" t="s">
        <v>8522</v>
      </c>
      <c r="C1903" t="s">
        <v>4803</v>
      </c>
      <c r="D1903">
        <v>125.06</v>
      </c>
      <c r="E1903" s="208">
        <v>43865</v>
      </c>
      <c r="F1903" t="s">
        <v>4804</v>
      </c>
      <c r="G1903" t="s">
        <v>4768</v>
      </c>
    </row>
    <row r="1904" spans="1:7">
      <c r="A1904" t="s">
        <v>8523</v>
      </c>
      <c r="B1904" t="s">
        <v>8524</v>
      </c>
      <c r="C1904" t="s">
        <v>4766</v>
      </c>
      <c r="D1904">
        <v>58.37</v>
      </c>
      <c r="E1904" s="208">
        <v>43851</v>
      </c>
      <c r="F1904" t="s">
        <v>4832</v>
      </c>
      <c r="G1904" t="s">
        <v>4768</v>
      </c>
    </row>
    <row r="1905" spans="1:7">
      <c r="A1905" t="s">
        <v>8525</v>
      </c>
      <c r="B1905" t="s">
        <v>8526</v>
      </c>
      <c r="C1905" t="s">
        <v>4766</v>
      </c>
      <c r="D1905">
        <v>25.01</v>
      </c>
      <c r="E1905" s="208">
        <v>43838</v>
      </c>
      <c r="F1905" t="s">
        <v>4782</v>
      </c>
      <c r="G1905" t="s">
        <v>4768</v>
      </c>
    </row>
    <row r="1906" spans="1:7">
      <c r="A1906" t="s">
        <v>8527</v>
      </c>
      <c r="B1906" t="s">
        <v>8528</v>
      </c>
      <c r="C1906" t="s">
        <v>4795</v>
      </c>
      <c r="D1906">
        <v>130</v>
      </c>
      <c r="E1906" s="208">
        <v>43837</v>
      </c>
      <c r="F1906" t="s">
        <v>4877</v>
      </c>
      <c r="G1906" t="s">
        <v>4768</v>
      </c>
    </row>
    <row r="1907" spans="1:7">
      <c r="A1907" t="s">
        <v>8529</v>
      </c>
      <c r="B1907" t="s">
        <v>8530</v>
      </c>
      <c r="C1907" t="s">
        <v>4838</v>
      </c>
      <c r="D1907">
        <v>20.95</v>
      </c>
      <c r="E1907" s="208">
        <v>43833</v>
      </c>
      <c r="F1907" t="s">
        <v>4772</v>
      </c>
      <c r="G1907" t="s">
        <v>4768</v>
      </c>
    </row>
    <row r="1908" spans="1:7">
      <c r="A1908" t="s">
        <v>8531</v>
      </c>
      <c r="B1908" t="s">
        <v>8532</v>
      </c>
      <c r="C1908" t="s">
        <v>4766</v>
      </c>
      <c r="D1908">
        <v>1.2</v>
      </c>
      <c r="E1908" s="208">
        <v>43833</v>
      </c>
      <c r="F1908" t="s">
        <v>4881</v>
      </c>
      <c r="G1908" t="s">
        <v>4768</v>
      </c>
    </row>
    <row r="1909" spans="1:7">
      <c r="A1909" t="s">
        <v>8533</v>
      </c>
      <c r="B1909" t="s">
        <v>8534</v>
      </c>
      <c r="C1909" t="s">
        <v>4795</v>
      </c>
      <c r="D1909">
        <v>21.75</v>
      </c>
      <c r="E1909" s="208">
        <v>43833</v>
      </c>
      <c r="F1909" t="s">
        <v>4832</v>
      </c>
      <c r="G1909" t="s">
        <v>4768</v>
      </c>
    </row>
    <row r="1910" spans="1:7">
      <c r="A1910" t="s">
        <v>8535</v>
      </c>
      <c r="B1910" t="s">
        <v>8536</v>
      </c>
      <c r="C1910" t="s">
        <v>4766</v>
      </c>
      <c r="D1910">
        <v>1.44</v>
      </c>
      <c r="E1910" s="208">
        <v>43833</v>
      </c>
      <c r="F1910" t="s">
        <v>4881</v>
      </c>
      <c r="G1910" t="s">
        <v>4768</v>
      </c>
    </row>
    <row r="1911" spans="1:7">
      <c r="A1911" t="s">
        <v>8537</v>
      </c>
      <c r="B1911" t="s">
        <v>8538</v>
      </c>
      <c r="C1911" t="s">
        <v>4884</v>
      </c>
      <c r="D1911">
        <v>13.09</v>
      </c>
      <c r="E1911" s="208">
        <v>43819</v>
      </c>
      <c r="F1911" t="s">
        <v>5183</v>
      </c>
      <c r="G1911" t="s">
        <v>4768</v>
      </c>
    </row>
    <row r="1912" spans="1:7">
      <c r="A1912" t="s">
        <v>8539</v>
      </c>
      <c r="B1912" t="s">
        <v>8540</v>
      </c>
      <c r="C1912" t="s">
        <v>5286</v>
      </c>
      <c r="D1912">
        <v>11.33</v>
      </c>
      <c r="E1912" s="208">
        <v>43819</v>
      </c>
      <c r="F1912" t="s">
        <v>4832</v>
      </c>
      <c r="G1912" t="s">
        <v>4768</v>
      </c>
    </row>
    <row r="1913" spans="1:7">
      <c r="A1913" t="s">
        <v>8541</v>
      </c>
      <c r="B1913" t="s">
        <v>8542</v>
      </c>
      <c r="C1913" t="s">
        <v>4985</v>
      </c>
      <c r="D1913">
        <v>81.88</v>
      </c>
      <c r="E1913" s="208">
        <v>43819</v>
      </c>
      <c r="F1913" t="s">
        <v>4804</v>
      </c>
      <c r="G1913" t="s">
        <v>4768</v>
      </c>
    </row>
    <row r="1914" spans="1:7">
      <c r="A1914" t="s">
        <v>8543</v>
      </c>
      <c r="B1914" t="s">
        <v>8544</v>
      </c>
      <c r="C1914" t="s">
        <v>4766</v>
      </c>
      <c r="D1914">
        <v>19.59</v>
      </c>
      <c r="E1914" s="208">
        <v>43818</v>
      </c>
      <c r="F1914" t="s">
        <v>4782</v>
      </c>
      <c r="G1914" t="s">
        <v>4768</v>
      </c>
    </row>
    <row r="1915" spans="1:7">
      <c r="A1915" t="s">
        <v>8545</v>
      </c>
      <c r="B1915" t="s">
        <v>8546</v>
      </c>
      <c r="C1915" t="s">
        <v>4766</v>
      </c>
      <c r="D1915">
        <v>19.59</v>
      </c>
      <c r="E1915" s="208">
        <v>43818</v>
      </c>
      <c r="F1915" t="s">
        <v>4782</v>
      </c>
      <c r="G1915" t="s">
        <v>4768</v>
      </c>
    </row>
    <row r="1916" spans="1:7">
      <c r="A1916" t="s">
        <v>8547</v>
      </c>
      <c r="B1916" t="s">
        <v>8548</v>
      </c>
      <c r="C1916" t="s">
        <v>4766</v>
      </c>
      <c r="D1916">
        <v>9.19</v>
      </c>
      <c r="E1916" s="208">
        <v>43815</v>
      </c>
      <c r="F1916" t="s">
        <v>4782</v>
      </c>
      <c r="G1916" t="s">
        <v>4768</v>
      </c>
    </row>
    <row r="1917" spans="1:7">
      <c r="A1917" t="s">
        <v>8549</v>
      </c>
      <c r="B1917" t="s">
        <v>8550</v>
      </c>
      <c r="C1917" t="s">
        <v>4803</v>
      </c>
      <c r="D1917">
        <v>63</v>
      </c>
      <c r="E1917" s="208">
        <v>43811</v>
      </c>
      <c r="F1917" t="s">
        <v>4767</v>
      </c>
      <c r="G1917" t="s">
        <v>4768</v>
      </c>
    </row>
    <row r="1918" spans="1:7">
      <c r="A1918" t="s">
        <v>8551</v>
      </c>
      <c r="B1918" t="s">
        <v>8552</v>
      </c>
      <c r="C1918" t="s">
        <v>4838</v>
      </c>
      <c r="D1918">
        <v>32.24</v>
      </c>
      <c r="E1918" s="208">
        <v>43811</v>
      </c>
      <c r="F1918" t="s">
        <v>4767</v>
      </c>
      <c r="G1918" t="s">
        <v>4768</v>
      </c>
    </row>
    <row r="1919" spans="1:7">
      <c r="A1919" t="s">
        <v>8553</v>
      </c>
      <c r="B1919" t="s">
        <v>8554</v>
      </c>
      <c r="C1919" t="s">
        <v>6613</v>
      </c>
      <c r="D1919">
        <v>132.1</v>
      </c>
      <c r="E1919" s="208">
        <v>43811</v>
      </c>
      <c r="F1919" t="s">
        <v>4772</v>
      </c>
      <c r="G1919" t="s">
        <v>4768</v>
      </c>
    </row>
    <row r="1920" spans="1:7">
      <c r="A1920" t="s">
        <v>8555</v>
      </c>
      <c r="B1920" t="s">
        <v>8556</v>
      </c>
      <c r="C1920" t="s">
        <v>4884</v>
      </c>
      <c r="D1920">
        <v>156</v>
      </c>
      <c r="E1920" s="208">
        <v>43811</v>
      </c>
      <c r="F1920" t="s">
        <v>4772</v>
      </c>
      <c r="G1920" t="s">
        <v>4768</v>
      </c>
    </row>
    <row r="1921" spans="1:7">
      <c r="A1921" t="s">
        <v>8557</v>
      </c>
      <c r="B1921" t="s">
        <v>8558</v>
      </c>
      <c r="C1921" t="s">
        <v>4766</v>
      </c>
      <c r="D1921">
        <v>38.6</v>
      </c>
      <c r="E1921" s="208">
        <v>43809</v>
      </c>
      <c r="F1921" t="s">
        <v>4767</v>
      </c>
      <c r="G1921" t="s">
        <v>4768</v>
      </c>
    </row>
    <row r="1922" spans="1:7">
      <c r="A1922" t="s">
        <v>8559</v>
      </c>
      <c r="B1922" t="s">
        <v>8560</v>
      </c>
      <c r="C1922" t="s">
        <v>8561</v>
      </c>
      <c r="D1922">
        <v>9.19</v>
      </c>
      <c r="E1922" s="208">
        <v>43808</v>
      </c>
      <c r="F1922" t="s">
        <v>4782</v>
      </c>
      <c r="G1922" t="s">
        <v>4768</v>
      </c>
    </row>
    <row r="1923" spans="1:7">
      <c r="A1923" t="s">
        <v>8562</v>
      </c>
      <c r="B1923" t="s">
        <v>8563</v>
      </c>
      <c r="C1923" t="s">
        <v>4766</v>
      </c>
      <c r="D1923">
        <v>48.49</v>
      </c>
      <c r="E1923" s="208">
        <v>43808</v>
      </c>
      <c r="F1923" t="s">
        <v>4846</v>
      </c>
      <c r="G1923" t="s">
        <v>4768</v>
      </c>
    </row>
    <row r="1924" spans="1:7">
      <c r="A1924" t="s">
        <v>8564</v>
      </c>
      <c r="B1924" t="s">
        <v>8565</v>
      </c>
      <c r="C1924" t="s">
        <v>4795</v>
      </c>
      <c r="D1924">
        <v>449</v>
      </c>
      <c r="E1924" s="208">
        <v>43808</v>
      </c>
      <c r="F1924" t="s">
        <v>4772</v>
      </c>
      <c r="G1924" t="s">
        <v>4768</v>
      </c>
    </row>
    <row r="1925" spans="1:7">
      <c r="A1925" t="s">
        <v>8566</v>
      </c>
      <c r="B1925" t="s">
        <v>8567</v>
      </c>
      <c r="C1925" t="s">
        <v>4766</v>
      </c>
      <c r="D1925">
        <v>10.79</v>
      </c>
      <c r="E1925" s="208">
        <v>43801</v>
      </c>
      <c r="F1925" t="s">
        <v>4782</v>
      </c>
      <c r="G1925" t="s">
        <v>4768</v>
      </c>
    </row>
    <row r="1926" spans="1:7">
      <c r="A1926" t="s">
        <v>8568</v>
      </c>
      <c r="B1926" t="s">
        <v>8569</v>
      </c>
      <c r="C1926" t="s">
        <v>4795</v>
      </c>
      <c r="D1926">
        <v>87.5</v>
      </c>
      <c r="E1926" s="208">
        <v>43799</v>
      </c>
      <c r="F1926" t="s">
        <v>5183</v>
      </c>
      <c r="G1926" t="s">
        <v>4768</v>
      </c>
    </row>
    <row r="1927" spans="1:7">
      <c r="A1927" t="s">
        <v>8570</v>
      </c>
      <c r="B1927" t="s">
        <v>8571</v>
      </c>
      <c r="C1927" t="s">
        <v>4795</v>
      </c>
      <c r="D1927">
        <v>94.2</v>
      </c>
      <c r="E1927" s="208">
        <v>43799</v>
      </c>
      <c r="F1927" t="s">
        <v>5183</v>
      </c>
      <c r="G1927" t="s">
        <v>4768</v>
      </c>
    </row>
    <row r="1928" spans="1:7">
      <c r="A1928" t="s">
        <v>8572</v>
      </c>
      <c r="B1928" t="s">
        <v>8573</v>
      </c>
      <c r="C1928" t="s">
        <v>4795</v>
      </c>
      <c r="D1928">
        <v>81.5</v>
      </c>
      <c r="E1928" s="208">
        <v>43799</v>
      </c>
      <c r="F1928" t="s">
        <v>5183</v>
      </c>
      <c r="G1928" t="s">
        <v>4768</v>
      </c>
    </row>
    <row r="1929" spans="1:7">
      <c r="A1929" t="s">
        <v>8574</v>
      </c>
      <c r="B1929" t="s">
        <v>8575</v>
      </c>
      <c r="C1929" t="s">
        <v>4803</v>
      </c>
      <c r="D1929">
        <v>117</v>
      </c>
      <c r="E1929" s="208">
        <v>43798</v>
      </c>
      <c r="F1929" t="s">
        <v>4767</v>
      </c>
      <c r="G1929" t="s">
        <v>4768</v>
      </c>
    </row>
    <row r="1930" spans="1:7">
      <c r="A1930" t="s">
        <v>8576</v>
      </c>
      <c r="B1930" t="s">
        <v>8577</v>
      </c>
      <c r="C1930" t="s">
        <v>4766</v>
      </c>
      <c r="D1930">
        <v>2.29</v>
      </c>
      <c r="E1930" s="208">
        <v>43794</v>
      </c>
      <c r="F1930" t="s">
        <v>4782</v>
      </c>
      <c r="G1930" t="s">
        <v>4768</v>
      </c>
    </row>
    <row r="1931" spans="1:7">
      <c r="A1931" t="s">
        <v>8578</v>
      </c>
      <c r="B1931" t="s">
        <v>8579</v>
      </c>
      <c r="C1931" t="s">
        <v>4766</v>
      </c>
      <c r="D1931">
        <v>6.34</v>
      </c>
      <c r="E1931" s="208">
        <v>43794</v>
      </c>
      <c r="F1931" t="s">
        <v>4782</v>
      </c>
      <c r="G1931" t="s">
        <v>4768</v>
      </c>
    </row>
    <row r="1932" spans="1:7">
      <c r="A1932" t="s">
        <v>8580</v>
      </c>
      <c r="B1932" t="s">
        <v>8581</v>
      </c>
      <c r="C1932" t="s">
        <v>4766</v>
      </c>
      <c r="D1932">
        <v>15.45</v>
      </c>
      <c r="E1932" s="208">
        <v>43794</v>
      </c>
      <c r="F1932" t="s">
        <v>4832</v>
      </c>
      <c r="G1932" t="s">
        <v>4768</v>
      </c>
    </row>
    <row r="1933" spans="1:7">
      <c r="A1933" t="s">
        <v>8582</v>
      </c>
      <c r="B1933" t="s">
        <v>8583</v>
      </c>
      <c r="C1933" t="s">
        <v>4795</v>
      </c>
      <c r="D1933">
        <v>1.65</v>
      </c>
      <c r="E1933" s="208">
        <v>43794</v>
      </c>
      <c r="F1933" t="s">
        <v>4782</v>
      </c>
      <c r="G1933" t="s">
        <v>4768</v>
      </c>
    </row>
    <row r="1934" spans="1:7">
      <c r="A1934" t="s">
        <v>8584</v>
      </c>
      <c r="B1934" t="s">
        <v>8585</v>
      </c>
      <c r="C1934" t="s">
        <v>4895</v>
      </c>
      <c r="D1934">
        <v>220</v>
      </c>
      <c r="E1934" s="208">
        <v>43794</v>
      </c>
      <c r="F1934" t="s">
        <v>4767</v>
      </c>
      <c r="G1934" t="s">
        <v>4768</v>
      </c>
    </row>
    <row r="1935" spans="1:7">
      <c r="A1935" t="s">
        <v>8586</v>
      </c>
      <c r="B1935" t="s">
        <v>8587</v>
      </c>
      <c r="C1935" t="s">
        <v>4795</v>
      </c>
      <c r="D1935">
        <v>149</v>
      </c>
      <c r="E1935" s="208">
        <v>43791</v>
      </c>
      <c r="F1935" t="s">
        <v>4767</v>
      </c>
      <c r="G1935" t="s">
        <v>4768</v>
      </c>
    </row>
    <row r="1936" spans="1:7">
      <c r="A1936" t="s">
        <v>8588</v>
      </c>
      <c r="B1936" t="s">
        <v>8589</v>
      </c>
      <c r="C1936" t="s">
        <v>4795</v>
      </c>
      <c r="D1936">
        <v>49.75</v>
      </c>
      <c r="E1936" s="208">
        <v>43791</v>
      </c>
      <c r="F1936" t="s">
        <v>4832</v>
      </c>
      <c r="G1936" t="s">
        <v>4768</v>
      </c>
    </row>
    <row r="1937" spans="1:7">
      <c r="A1937" t="s">
        <v>8590</v>
      </c>
      <c r="B1937" t="s">
        <v>8591</v>
      </c>
      <c r="C1937" t="s">
        <v>4766</v>
      </c>
      <c r="D1937">
        <v>2.1800000000000002</v>
      </c>
      <c r="E1937" s="208">
        <v>43789</v>
      </c>
      <c r="F1937" t="s">
        <v>4832</v>
      </c>
      <c r="G1937" t="s">
        <v>4768</v>
      </c>
    </row>
    <row r="1938" spans="1:7">
      <c r="A1938" t="s">
        <v>8592</v>
      </c>
      <c r="B1938" t="s">
        <v>8593</v>
      </c>
      <c r="C1938" t="s">
        <v>4845</v>
      </c>
      <c r="D1938">
        <v>185</v>
      </c>
      <c r="E1938" s="208">
        <v>43789</v>
      </c>
      <c r="F1938" t="s">
        <v>4767</v>
      </c>
      <c r="G1938" t="s">
        <v>4768</v>
      </c>
    </row>
    <row r="1939" spans="1:7">
      <c r="A1939" t="s">
        <v>8594</v>
      </c>
      <c r="B1939" t="s">
        <v>8595</v>
      </c>
      <c r="C1939" t="s">
        <v>4835</v>
      </c>
      <c r="D1939">
        <v>20.47</v>
      </c>
      <c r="E1939" s="208">
        <v>43788</v>
      </c>
      <c r="F1939" t="s">
        <v>4832</v>
      </c>
      <c r="G1939" t="s">
        <v>4768</v>
      </c>
    </row>
    <row r="1940" spans="1:7">
      <c r="A1940" t="s">
        <v>8596</v>
      </c>
      <c r="B1940" t="s">
        <v>8597</v>
      </c>
      <c r="C1940" t="s">
        <v>4888</v>
      </c>
      <c r="D1940">
        <v>5.9</v>
      </c>
      <c r="E1940" s="208">
        <v>43788</v>
      </c>
      <c r="F1940" t="s">
        <v>4772</v>
      </c>
      <c r="G1940" t="s">
        <v>4768</v>
      </c>
    </row>
    <row r="1941" spans="1:7">
      <c r="A1941" t="s">
        <v>8598</v>
      </c>
      <c r="B1941" t="s">
        <v>8599</v>
      </c>
      <c r="C1941" t="s">
        <v>4766</v>
      </c>
      <c r="D1941">
        <v>19.579999999999998</v>
      </c>
      <c r="E1941" s="208">
        <v>43788</v>
      </c>
      <c r="F1941" t="s">
        <v>4832</v>
      </c>
      <c r="G1941" t="s">
        <v>4768</v>
      </c>
    </row>
    <row r="1942" spans="1:7">
      <c r="A1942" t="s">
        <v>8600</v>
      </c>
      <c r="B1942" t="s">
        <v>8601</v>
      </c>
      <c r="C1942" t="s">
        <v>4806</v>
      </c>
      <c r="D1942">
        <v>31.15</v>
      </c>
      <c r="E1942" s="208">
        <v>43787</v>
      </c>
      <c r="F1942" t="s">
        <v>8602</v>
      </c>
      <c r="G1942" t="s">
        <v>4768</v>
      </c>
    </row>
    <row r="1943" spans="1:7">
      <c r="A1943" t="s">
        <v>8603</v>
      </c>
      <c r="B1943" t="s">
        <v>8604</v>
      </c>
      <c r="C1943" t="s">
        <v>4766</v>
      </c>
      <c r="D1943">
        <v>19.48</v>
      </c>
      <c r="E1943" s="208">
        <v>43784</v>
      </c>
      <c r="F1943" t="s">
        <v>8605</v>
      </c>
      <c r="G1943" t="s">
        <v>4768</v>
      </c>
    </row>
    <row r="1944" spans="1:7">
      <c r="A1944" t="s">
        <v>8606</v>
      </c>
      <c r="B1944" t="s">
        <v>8607</v>
      </c>
      <c r="C1944" t="s">
        <v>4766</v>
      </c>
      <c r="D1944">
        <v>24.04</v>
      </c>
      <c r="E1944" s="208">
        <v>43784</v>
      </c>
      <c r="F1944" t="s">
        <v>8471</v>
      </c>
      <c r="G1944" t="s">
        <v>4768</v>
      </c>
    </row>
    <row r="1945" spans="1:7">
      <c r="A1945" t="s">
        <v>8608</v>
      </c>
      <c r="B1945" t="s">
        <v>8609</v>
      </c>
      <c r="C1945" t="s">
        <v>4771</v>
      </c>
      <c r="D1945">
        <v>275</v>
      </c>
      <c r="E1945" s="208">
        <v>43783</v>
      </c>
      <c r="F1945" t="s">
        <v>4767</v>
      </c>
      <c r="G1945" t="s">
        <v>4768</v>
      </c>
    </row>
    <row r="1946" spans="1:7">
      <c r="A1946" t="s">
        <v>8610</v>
      </c>
      <c r="B1946" t="s">
        <v>8611</v>
      </c>
      <c r="C1946" t="s">
        <v>4803</v>
      </c>
      <c r="D1946">
        <v>76</v>
      </c>
      <c r="E1946" s="208">
        <v>43783</v>
      </c>
      <c r="F1946" t="s">
        <v>4767</v>
      </c>
      <c r="G1946" t="s">
        <v>4768</v>
      </c>
    </row>
    <row r="1947" spans="1:7">
      <c r="A1947" t="s">
        <v>8612</v>
      </c>
      <c r="B1947" t="s">
        <v>8613</v>
      </c>
      <c r="C1947" t="s">
        <v>4766</v>
      </c>
      <c r="D1947">
        <v>37.5</v>
      </c>
      <c r="E1947" s="208">
        <v>43782</v>
      </c>
      <c r="F1947" t="s">
        <v>4832</v>
      </c>
      <c r="G1947" t="s">
        <v>4768</v>
      </c>
    </row>
    <row r="1948" spans="1:7">
      <c r="A1948" t="s">
        <v>8614</v>
      </c>
      <c r="B1948" t="s">
        <v>8615</v>
      </c>
      <c r="C1948" t="s">
        <v>4799</v>
      </c>
      <c r="D1948">
        <v>57.57</v>
      </c>
      <c r="E1948" s="208">
        <v>43781</v>
      </c>
      <c r="F1948" t="s">
        <v>8616</v>
      </c>
      <c r="G1948" t="s">
        <v>4768</v>
      </c>
    </row>
    <row r="1949" spans="1:7">
      <c r="A1949" t="s">
        <v>8617</v>
      </c>
      <c r="B1949" t="s">
        <v>8618</v>
      </c>
      <c r="C1949" t="s">
        <v>4831</v>
      </c>
      <c r="D1949">
        <v>21.75</v>
      </c>
      <c r="E1949" s="208">
        <v>43775</v>
      </c>
      <c r="F1949" t="s">
        <v>8616</v>
      </c>
      <c r="G1949" t="s">
        <v>4768</v>
      </c>
    </row>
    <row r="1950" spans="1:7">
      <c r="A1950" t="s">
        <v>8619</v>
      </c>
      <c r="B1950" t="s">
        <v>8620</v>
      </c>
      <c r="C1950" t="s">
        <v>4766</v>
      </c>
      <c r="D1950">
        <v>2.83</v>
      </c>
      <c r="E1950" s="208">
        <v>43775</v>
      </c>
      <c r="F1950" t="s">
        <v>4832</v>
      </c>
      <c r="G1950" t="s">
        <v>4768</v>
      </c>
    </row>
    <row r="1951" spans="1:7">
      <c r="A1951" t="s">
        <v>8621</v>
      </c>
      <c r="B1951" t="s">
        <v>8622</v>
      </c>
      <c r="C1951" t="s">
        <v>4766</v>
      </c>
      <c r="D1951">
        <v>9.3000000000000007</v>
      </c>
      <c r="E1951" s="208">
        <v>43770</v>
      </c>
      <c r="F1951" t="s">
        <v>6534</v>
      </c>
      <c r="G1951" t="s">
        <v>4768</v>
      </c>
    </row>
    <row r="1952" spans="1:7">
      <c r="A1952" t="s">
        <v>8623</v>
      </c>
      <c r="B1952" t="s">
        <v>8624</v>
      </c>
      <c r="C1952" t="s">
        <v>4766</v>
      </c>
      <c r="D1952">
        <v>18.02</v>
      </c>
      <c r="E1952" s="208">
        <v>43770</v>
      </c>
      <c r="F1952" t="s">
        <v>4832</v>
      </c>
      <c r="G1952" t="s">
        <v>4768</v>
      </c>
    </row>
    <row r="1953" spans="1:7">
      <c r="A1953" t="s">
        <v>8625</v>
      </c>
      <c r="B1953" t="s">
        <v>8626</v>
      </c>
      <c r="C1953" t="s">
        <v>4766</v>
      </c>
      <c r="D1953">
        <v>6</v>
      </c>
      <c r="E1953" s="208">
        <v>43770</v>
      </c>
      <c r="F1953" t="s">
        <v>4832</v>
      </c>
      <c r="G1953" t="s">
        <v>4768</v>
      </c>
    </row>
    <row r="1954" spans="1:7">
      <c r="A1954" t="s">
        <v>8627</v>
      </c>
      <c r="B1954" t="s">
        <v>8628</v>
      </c>
      <c r="C1954" t="s">
        <v>4766</v>
      </c>
      <c r="D1954">
        <v>2.73</v>
      </c>
      <c r="E1954" s="208">
        <v>43770</v>
      </c>
      <c r="F1954" t="s">
        <v>4832</v>
      </c>
      <c r="G1954" t="s">
        <v>4768</v>
      </c>
    </row>
    <row r="1955" spans="1:7">
      <c r="A1955" t="s">
        <v>8629</v>
      </c>
      <c r="B1955" t="s">
        <v>8630</v>
      </c>
      <c r="C1955" t="s">
        <v>4835</v>
      </c>
      <c r="D1955">
        <v>17</v>
      </c>
      <c r="E1955" s="208">
        <v>43769</v>
      </c>
      <c r="F1955" t="s">
        <v>4772</v>
      </c>
      <c r="G1955" t="s">
        <v>4768</v>
      </c>
    </row>
    <row r="1956" spans="1:7">
      <c r="A1956" t="s">
        <v>8631</v>
      </c>
      <c r="B1956" t="s">
        <v>8632</v>
      </c>
      <c r="C1956" t="s">
        <v>4766</v>
      </c>
      <c r="D1956">
        <v>102</v>
      </c>
      <c r="E1956" s="208">
        <v>43769</v>
      </c>
      <c r="F1956" t="s">
        <v>8633</v>
      </c>
      <c r="G1956" t="s">
        <v>4768</v>
      </c>
    </row>
    <row r="1957" spans="1:7">
      <c r="A1957" t="s">
        <v>8634</v>
      </c>
      <c r="B1957" t="s">
        <v>8635</v>
      </c>
      <c r="C1957" t="s">
        <v>562</v>
      </c>
      <c r="D1957">
        <v>188.39</v>
      </c>
      <c r="E1957" s="208">
        <v>43768</v>
      </c>
      <c r="F1957" t="s">
        <v>4804</v>
      </c>
      <c r="G1957" t="s">
        <v>4768</v>
      </c>
    </row>
    <row r="1958" spans="1:7">
      <c r="A1958" t="s">
        <v>8636</v>
      </c>
      <c r="B1958" t="s">
        <v>8637</v>
      </c>
      <c r="C1958" t="s">
        <v>4766</v>
      </c>
      <c r="D1958">
        <v>81</v>
      </c>
      <c r="E1958" s="208">
        <v>43767</v>
      </c>
      <c r="F1958" t="s">
        <v>8638</v>
      </c>
      <c r="G1958" t="s">
        <v>4768</v>
      </c>
    </row>
    <row r="1959" spans="1:7">
      <c r="A1959" t="s">
        <v>8639</v>
      </c>
      <c r="B1959" t="s">
        <v>8640</v>
      </c>
      <c r="C1959" t="s">
        <v>4806</v>
      </c>
      <c r="D1959">
        <v>16.2</v>
      </c>
      <c r="E1959" s="208">
        <v>43761</v>
      </c>
      <c r="F1959" t="s">
        <v>4772</v>
      </c>
      <c r="G1959" t="s">
        <v>4768</v>
      </c>
    </row>
    <row r="1960" spans="1:7">
      <c r="A1960" t="s">
        <v>8641</v>
      </c>
      <c r="B1960" t="s">
        <v>8642</v>
      </c>
      <c r="C1960" t="s">
        <v>4803</v>
      </c>
      <c r="D1960">
        <v>110</v>
      </c>
      <c r="E1960" s="208">
        <v>43759</v>
      </c>
      <c r="F1960" t="s">
        <v>4772</v>
      </c>
      <c r="G1960" t="s">
        <v>4768</v>
      </c>
    </row>
    <row r="1961" spans="1:7">
      <c r="A1961" t="s">
        <v>8643</v>
      </c>
      <c r="B1961" t="s">
        <v>8644</v>
      </c>
      <c r="C1961" t="s">
        <v>4884</v>
      </c>
      <c r="D1961">
        <v>321.7</v>
      </c>
      <c r="E1961" s="208">
        <v>43756</v>
      </c>
      <c r="F1961" t="s">
        <v>4885</v>
      </c>
      <c r="G1961" t="s">
        <v>4768</v>
      </c>
    </row>
    <row r="1962" spans="1:7">
      <c r="A1962" t="s">
        <v>8645</v>
      </c>
      <c r="B1962" t="s">
        <v>8646</v>
      </c>
      <c r="C1962" t="s">
        <v>4766</v>
      </c>
      <c r="D1962">
        <v>10.39</v>
      </c>
      <c r="E1962" s="208">
        <v>43754</v>
      </c>
      <c r="F1962" t="s">
        <v>4782</v>
      </c>
      <c r="G1962" t="s">
        <v>4768</v>
      </c>
    </row>
    <row r="1963" spans="1:7">
      <c r="A1963" t="s">
        <v>8647</v>
      </c>
      <c r="B1963" t="s">
        <v>8648</v>
      </c>
      <c r="C1963" t="s">
        <v>5551</v>
      </c>
      <c r="D1963">
        <v>3.03</v>
      </c>
      <c r="E1963" s="208">
        <v>43752</v>
      </c>
      <c r="F1963" t="s">
        <v>4782</v>
      </c>
      <c r="G1963" t="s">
        <v>4768</v>
      </c>
    </row>
    <row r="1964" spans="1:7">
      <c r="A1964" t="s">
        <v>8649</v>
      </c>
      <c r="B1964" t="s">
        <v>8650</v>
      </c>
      <c r="C1964" t="s">
        <v>4766</v>
      </c>
      <c r="D1964">
        <v>122.55</v>
      </c>
      <c r="E1964" s="208">
        <v>43749</v>
      </c>
      <c r="F1964" t="s">
        <v>8386</v>
      </c>
      <c r="G1964" t="s">
        <v>4768</v>
      </c>
    </row>
    <row r="1965" spans="1:7">
      <c r="A1965" t="s">
        <v>8651</v>
      </c>
      <c r="B1965" t="s">
        <v>8652</v>
      </c>
      <c r="C1965" t="s">
        <v>4766</v>
      </c>
      <c r="D1965">
        <v>119.16</v>
      </c>
      <c r="E1965" s="208">
        <v>43748</v>
      </c>
      <c r="F1965" t="s">
        <v>4832</v>
      </c>
      <c r="G1965" t="s">
        <v>4768</v>
      </c>
    </row>
    <row r="1966" spans="1:7">
      <c r="A1966" t="s">
        <v>8653</v>
      </c>
      <c r="B1966" t="s">
        <v>8654</v>
      </c>
      <c r="C1966" t="s">
        <v>4831</v>
      </c>
      <c r="D1966">
        <v>109.14</v>
      </c>
      <c r="E1966" s="208">
        <v>43748</v>
      </c>
      <c r="F1966" t="s">
        <v>4832</v>
      </c>
      <c r="G1966" t="s">
        <v>4768</v>
      </c>
    </row>
    <row r="1967" spans="1:7">
      <c r="A1967" t="s">
        <v>8655</v>
      </c>
      <c r="B1967" t="s">
        <v>8656</v>
      </c>
      <c r="C1967" t="s">
        <v>4831</v>
      </c>
      <c r="D1967">
        <v>140.26</v>
      </c>
      <c r="E1967" s="208">
        <v>43748</v>
      </c>
      <c r="F1967" t="s">
        <v>4832</v>
      </c>
      <c r="G1967" t="s">
        <v>4768</v>
      </c>
    </row>
    <row r="1968" spans="1:7">
      <c r="A1968" t="s">
        <v>8657</v>
      </c>
      <c r="B1968" t="s">
        <v>8658</v>
      </c>
      <c r="C1968" t="s">
        <v>4884</v>
      </c>
      <c r="D1968">
        <v>123.91</v>
      </c>
      <c r="E1968" s="208">
        <v>43746</v>
      </c>
      <c r="F1968" t="s">
        <v>4804</v>
      </c>
      <c r="G1968" t="s">
        <v>4768</v>
      </c>
    </row>
    <row r="1969" spans="1:7">
      <c r="A1969" t="s">
        <v>8659</v>
      </c>
      <c r="B1969" t="s">
        <v>8660</v>
      </c>
      <c r="C1969" t="s">
        <v>4766</v>
      </c>
      <c r="D1969">
        <v>23.91</v>
      </c>
      <c r="E1969" s="208">
        <v>43745</v>
      </c>
      <c r="F1969" t="s">
        <v>4782</v>
      </c>
      <c r="G1969" t="s">
        <v>4768</v>
      </c>
    </row>
    <row r="1970" spans="1:7">
      <c r="A1970" t="s">
        <v>8661</v>
      </c>
      <c r="B1970" t="s">
        <v>8662</v>
      </c>
      <c r="C1970" t="s">
        <v>4766</v>
      </c>
      <c r="D1970">
        <v>4.3600000000000003</v>
      </c>
      <c r="E1970" s="208">
        <v>43741</v>
      </c>
      <c r="F1970" t="s">
        <v>4782</v>
      </c>
      <c r="G1970" t="s">
        <v>4768</v>
      </c>
    </row>
    <row r="1971" spans="1:7">
      <c r="A1971" t="s">
        <v>8663</v>
      </c>
      <c r="B1971" t="s">
        <v>8664</v>
      </c>
      <c r="C1971" t="s">
        <v>4831</v>
      </c>
      <c r="D1971">
        <v>28.41</v>
      </c>
      <c r="E1971" s="208">
        <v>43740</v>
      </c>
      <c r="F1971" t="s">
        <v>4832</v>
      </c>
      <c r="G1971" t="s">
        <v>4768</v>
      </c>
    </row>
    <row r="1972" spans="1:7">
      <c r="A1972" t="s">
        <v>8665</v>
      </c>
      <c r="B1972" t="s">
        <v>8666</v>
      </c>
      <c r="C1972" t="s">
        <v>4831</v>
      </c>
      <c r="D1972">
        <v>22.37</v>
      </c>
      <c r="E1972" s="208">
        <v>43740</v>
      </c>
      <c r="F1972" t="s">
        <v>4832</v>
      </c>
      <c r="G1972" t="s">
        <v>4768</v>
      </c>
    </row>
    <row r="1973" spans="1:7">
      <c r="A1973" t="s">
        <v>8667</v>
      </c>
      <c r="B1973" t="s">
        <v>8668</v>
      </c>
      <c r="C1973" t="s">
        <v>4766</v>
      </c>
      <c r="D1973">
        <v>18.5</v>
      </c>
      <c r="E1973" s="208">
        <v>43740</v>
      </c>
      <c r="F1973" t="s">
        <v>4772</v>
      </c>
      <c r="G1973" t="s">
        <v>4768</v>
      </c>
    </row>
    <row r="1974" spans="1:7">
      <c r="A1974" t="s">
        <v>8669</v>
      </c>
      <c r="B1974" t="s">
        <v>8670</v>
      </c>
      <c r="C1974" t="s">
        <v>4766</v>
      </c>
      <c r="D1974">
        <v>35.869999999999997</v>
      </c>
      <c r="E1974" s="208">
        <v>43738</v>
      </c>
      <c r="F1974" t="s">
        <v>4782</v>
      </c>
      <c r="G1974" t="s">
        <v>4768</v>
      </c>
    </row>
    <row r="1975" spans="1:7">
      <c r="A1975" t="s">
        <v>8671</v>
      </c>
      <c r="B1975" t="s">
        <v>8672</v>
      </c>
      <c r="C1975" t="s">
        <v>4766</v>
      </c>
      <c r="D1975">
        <v>7.97</v>
      </c>
      <c r="E1975" s="208">
        <v>43735</v>
      </c>
      <c r="F1975" t="s">
        <v>7798</v>
      </c>
      <c r="G1975" t="s">
        <v>4768</v>
      </c>
    </row>
    <row r="1976" spans="1:7">
      <c r="A1976" t="s">
        <v>8673</v>
      </c>
      <c r="B1976" t="s">
        <v>8674</v>
      </c>
      <c r="C1976" t="s">
        <v>4766</v>
      </c>
      <c r="D1976">
        <v>6.27</v>
      </c>
      <c r="E1976" s="208">
        <v>43735</v>
      </c>
      <c r="F1976" t="s">
        <v>7798</v>
      </c>
      <c r="G1976" t="s">
        <v>4768</v>
      </c>
    </row>
    <row r="1977" spans="1:7">
      <c r="A1977" t="s">
        <v>8675</v>
      </c>
      <c r="B1977" t="s">
        <v>8676</v>
      </c>
      <c r="C1977" t="s">
        <v>4795</v>
      </c>
      <c r="D1977">
        <v>2.97</v>
      </c>
      <c r="E1977" s="208">
        <v>43735</v>
      </c>
      <c r="F1977" t="s">
        <v>7798</v>
      </c>
      <c r="G1977" t="s">
        <v>4768</v>
      </c>
    </row>
    <row r="1978" spans="1:7">
      <c r="A1978" t="s">
        <v>8677</v>
      </c>
      <c r="B1978" t="s">
        <v>8678</v>
      </c>
      <c r="C1978" t="s">
        <v>4803</v>
      </c>
      <c r="D1978">
        <v>146</v>
      </c>
      <c r="E1978" s="208">
        <v>43732</v>
      </c>
      <c r="F1978" t="s">
        <v>4767</v>
      </c>
      <c r="G1978" t="s">
        <v>4768</v>
      </c>
    </row>
    <row r="1979" spans="1:7">
      <c r="A1979" t="s">
        <v>8679</v>
      </c>
      <c r="B1979" t="s">
        <v>8680</v>
      </c>
      <c r="C1979" t="s">
        <v>4766</v>
      </c>
      <c r="D1979">
        <v>1</v>
      </c>
      <c r="E1979" s="208">
        <v>43726</v>
      </c>
      <c r="F1979" t="s">
        <v>4782</v>
      </c>
      <c r="G1979" t="s">
        <v>4768</v>
      </c>
    </row>
    <row r="1980" spans="1:7">
      <c r="A1980" t="s">
        <v>8681</v>
      </c>
      <c r="B1980" t="s">
        <v>8682</v>
      </c>
      <c r="C1980" t="s">
        <v>4806</v>
      </c>
      <c r="D1980">
        <v>7.75</v>
      </c>
      <c r="E1980" s="208">
        <v>43726</v>
      </c>
      <c r="F1980" t="s">
        <v>4772</v>
      </c>
      <c r="G1980" t="s">
        <v>4768</v>
      </c>
    </row>
    <row r="1981" spans="1:7">
      <c r="A1981" t="s">
        <v>8683</v>
      </c>
      <c r="B1981" t="s">
        <v>8684</v>
      </c>
      <c r="C1981" t="s">
        <v>4766</v>
      </c>
      <c r="D1981">
        <v>24.99</v>
      </c>
      <c r="E1981" s="208">
        <v>43724</v>
      </c>
      <c r="F1981" t="s">
        <v>4832</v>
      </c>
      <c r="G1981" t="s">
        <v>4768</v>
      </c>
    </row>
    <row r="1982" spans="1:7">
      <c r="A1982" t="s">
        <v>8685</v>
      </c>
      <c r="B1982" t="s">
        <v>8686</v>
      </c>
      <c r="C1982" t="s">
        <v>4766</v>
      </c>
      <c r="D1982">
        <v>9.9</v>
      </c>
      <c r="E1982" s="208">
        <v>43713</v>
      </c>
      <c r="F1982" t="s">
        <v>4832</v>
      </c>
      <c r="G1982" t="s">
        <v>4768</v>
      </c>
    </row>
    <row r="1983" spans="1:7">
      <c r="A1983" t="s">
        <v>8687</v>
      </c>
      <c r="B1983" t="s">
        <v>8688</v>
      </c>
      <c r="C1983" t="s">
        <v>4803</v>
      </c>
      <c r="D1983">
        <v>117</v>
      </c>
      <c r="E1983" s="208">
        <v>43713</v>
      </c>
      <c r="F1983" t="s">
        <v>4767</v>
      </c>
      <c r="G1983" t="s">
        <v>4768</v>
      </c>
    </row>
    <row r="1984" spans="1:7">
      <c r="A1984" t="s">
        <v>8689</v>
      </c>
      <c r="B1984" t="s">
        <v>8690</v>
      </c>
      <c r="C1984" t="s">
        <v>4806</v>
      </c>
      <c r="D1984">
        <v>46.42</v>
      </c>
      <c r="E1984" s="208">
        <v>43711</v>
      </c>
      <c r="F1984" t="s">
        <v>4767</v>
      </c>
      <c r="G1984" t="s">
        <v>4768</v>
      </c>
    </row>
    <row r="1985" spans="1:7">
      <c r="A1985" t="s">
        <v>8691</v>
      </c>
      <c r="B1985" t="s">
        <v>8692</v>
      </c>
      <c r="C1985" t="s">
        <v>4766</v>
      </c>
      <c r="D1985">
        <v>8.49</v>
      </c>
      <c r="E1985" s="208">
        <v>43709</v>
      </c>
      <c r="F1985" t="s">
        <v>6534</v>
      </c>
      <c r="G1985" t="s">
        <v>4768</v>
      </c>
    </row>
    <row r="1986" spans="1:7">
      <c r="A1986" t="s">
        <v>8693</v>
      </c>
      <c r="B1986" t="s">
        <v>8694</v>
      </c>
      <c r="C1986" t="s">
        <v>4766</v>
      </c>
      <c r="D1986">
        <v>14</v>
      </c>
      <c r="E1986" s="208">
        <v>43707</v>
      </c>
      <c r="F1986" t="s">
        <v>7798</v>
      </c>
      <c r="G1986" t="s">
        <v>4768</v>
      </c>
    </row>
    <row r="1987" spans="1:7">
      <c r="A1987" t="s">
        <v>8695</v>
      </c>
      <c r="B1987" t="s">
        <v>8696</v>
      </c>
      <c r="C1987" t="s">
        <v>4884</v>
      </c>
      <c r="D1987">
        <v>20.22</v>
      </c>
      <c r="E1987" s="208">
        <v>43707</v>
      </c>
      <c r="F1987" t="s">
        <v>7798</v>
      </c>
      <c r="G1987" t="s">
        <v>4768</v>
      </c>
    </row>
    <row r="1988" spans="1:7">
      <c r="A1988" t="s">
        <v>8697</v>
      </c>
      <c r="B1988" t="s">
        <v>8698</v>
      </c>
      <c r="C1988" t="s">
        <v>562</v>
      </c>
      <c r="D1988">
        <v>7.54</v>
      </c>
      <c r="E1988" s="208">
        <v>43706</v>
      </c>
      <c r="F1988" t="s">
        <v>4804</v>
      </c>
      <c r="G1988" t="s">
        <v>4768</v>
      </c>
    </row>
    <row r="1989" spans="1:7">
      <c r="A1989" t="s">
        <v>8699</v>
      </c>
      <c r="B1989" t="s">
        <v>8700</v>
      </c>
      <c r="C1989" t="s">
        <v>4806</v>
      </c>
      <c r="D1989">
        <v>75</v>
      </c>
      <c r="E1989" s="208">
        <v>43706</v>
      </c>
      <c r="F1989" t="s">
        <v>8602</v>
      </c>
      <c r="G1989" t="s">
        <v>4768</v>
      </c>
    </row>
    <row r="1990" spans="1:7">
      <c r="A1990" t="s">
        <v>8701</v>
      </c>
      <c r="B1990" t="s">
        <v>8702</v>
      </c>
      <c r="C1990" t="s">
        <v>4888</v>
      </c>
      <c r="D1990">
        <v>0.65</v>
      </c>
      <c r="E1990" s="208">
        <v>43706</v>
      </c>
      <c r="F1990" t="s">
        <v>4772</v>
      </c>
      <c r="G1990" t="s">
        <v>4768</v>
      </c>
    </row>
    <row r="1991" spans="1:7">
      <c r="A1991" t="s">
        <v>8703</v>
      </c>
      <c r="B1991" t="s">
        <v>8704</v>
      </c>
      <c r="C1991" t="s">
        <v>4803</v>
      </c>
      <c r="D1991">
        <v>189</v>
      </c>
      <c r="E1991" s="208">
        <v>43706</v>
      </c>
      <c r="F1991" t="s">
        <v>4772</v>
      </c>
      <c r="G1991" t="s">
        <v>4768</v>
      </c>
    </row>
    <row r="1992" spans="1:7">
      <c r="A1992" t="s">
        <v>8705</v>
      </c>
      <c r="B1992" t="s">
        <v>8706</v>
      </c>
      <c r="C1992" t="s">
        <v>4766</v>
      </c>
      <c r="D1992">
        <v>7.99</v>
      </c>
      <c r="E1992" s="208">
        <v>43705</v>
      </c>
      <c r="F1992" t="s">
        <v>8707</v>
      </c>
      <c r="G1992" t="s">
        <v>4768</v>
      </c>
    </row>
    <row r="1993" spans="1:7">
      <c r="A1993" t="s">
        <v>8708</v>
      </c>
      <c r="B1993" t="s">
        <v>8709</v>
      </c>
      <c r="C1993" t="s">
        <v>4766</v>
      </c>
      <c r="D1993">
        <v>17.190000000000001</v>
      </c>
      <c r="E1993" s="208">
        <v>43705</v>
      </c>
      <c r="F1993" t="s">
        <v>4782</v>
      </c>
      <c r="G1993" t="s">
        <v>4768</v>
      </c>
    </row>
    <row r="1994" spans="1:7">
      <c r="A1994" t="s">
        <v>8710</v>
      </c>
      <c r="B1994" t="s">
        <v>8711</v>
      </c>
      <c r="C1994" t="s">
        <v>4766</v>
      </c>
      <c r="D1994">
        <v>12.49</v>
      </c>
      <c r="E1994" s="208">
        <v>43705</v>
      </c>
      <c r="F1994" t="s">
        <v>8707</v>
      </c>
      <c r="G1994" t="s">
        <v>4768</v>
      </c>
    </row>
    <row r="1995" spans="1:7">
      <c r="A1995" t="s">
        <v>8712</v>
      </c>
      <c r="B1995" t="s">
        <v>8713</v>
      </c>
      <c r="C1995" t="s">
        <v>4795</v>
      </c>
      <c r="D1995">
        <v>67</v>
      </c>
      <c r="E1995" s="208">
        <v>43705</v>
      </c>
      <c r="F1995" t="s">
        <v>4772</v>
      </c>
      <c r="G1995" t="s">
        <v>4768</v>
      </c>
    </row>
    <row r="1996" spans="1:7">
      <c r="A1996" t="s">
        <v>8714</v>
      </c>
      <c r="B1996" t="s">
        <v>8715</v>
      </c>
      <c r="C1996" t="s">
        <v>4803</v>
      </c>
      <c r="D1996">
        <v>165</v>
      </c>
      <c r="E1996" s="208">
        <v>43703</v>
      </c>
      <c r="F1996" t="s">
        <v>4772</v>
      </c>
      <c r="G1996" t="s">
        <v>4768</v>
      </c>
    </row>
    <row r="1997" spans="1:7">
      <c r="A1997" t="s">
        <v>8716</v>
      </c>
      <c r="B1997" t="s">
        <v>8717</v>
      </c>
      <c r="C1997" t="s">
        <v>4766</v>
      </c>
      <c r="D1997">
        <v>47.72</v>
      </c>
      <c r="E1997" s="208">
        <v>43700</v>
      </c>
      <c r="F1997" t="s">
        <v>4832</v>
      </c>
      <c r="G1997" t="s">
        <v>4768</v>
      </c>
    </row>
    <row r="1998" spans="1:7">
      <c r="A1998" t="s">
        <v>8718</v>
      </c>
      <c r="B1998" t="s">
        <v>8719</v>
      </c>
      <c r="C1998" t="s">
        <v>4806</v>
      </c>
      <c r="D1998">
        <v>17</v>
      </c>
      <c r="E1998" s="208">
        <v>43700</v>
      </c>
      <c r="F1998" t="s">
        <v>4877</v>
      </c>
      <c r="G1998" t="s">
        <v>4768</v>
      </c>
    </row>
    <row r="1999" spans="1:7">
      <c r="A1999" t="s">
        <v>8720</v>
      </c>
      <c r="B1999" t="s">
        <v>8721</v>
      </c>
      <c r="C1999" t="s">
        <v>4838</v>
      </c>
      <c r="D1999">
        <v>35.049999999999997</v>
      </c>
      <c r="E1999" s="208">
        <v>43699</v>
      </c>
      <c r="F1999" t="s">
        <v>4772</v>
      </c>
      <c r="G1999" t="s">
        <v>4768</v>
      </c>
    </row>
    <row r="2000" spans="1:7">
      <c r="A2000" t="s">
        <v>8722</v>
      </c>
      <c r="B2000" t="s">
        <v>8723</v>
      </c>
      <c r="C2000" t="s">
        <v>4766</v>
      </c>
      <c r="D2000">
        <v>59</v>
      </c>
      <c r="E2000" s="208">
        <v>43699</v>
      </c>
      <c r="F2000" t="s">
        <v>4832</v>
      </c>
      <c r="G2000" t="s">
        <v>4768</v>
      </c>
    </row>
    <row r="2001" spans="1:7">
      <c r="A2001" t="s">
        <v>8724</v>
      </c>
      <c r="B2001" t="s">
        <v>8725</v>
      </c>
      <c r="C2001" t="s">
        <v>4766</v>
      </c>
      <c r="D2001">
        <v>15</v>
      </c>
      <c r="E2001" s="208">
        <v>43699</v>
      </c>
      <c r="F2001" t="s">
        <v>4782</v>
      </c>
      <c r="G2001" t="s">
        <v>4768</v>
      </c>
    </row>
    <row r="2002" spans="1:7">
      <c r="A2002" t="s">
        <v>8726</v>
      </c>
      <c r="B2002" t="s">
        <v>8727</v>
      </c>
      <c r="C2002" t="s">
        <v>4884</v>
      </c>
      <c r="D2002">
        <v>122</v>
      </c>
      <c r="E2002" s="208">
        <v>43698</v>
      </c>
      <c r="F2002" t="s">
        <v>4772</v>
      </c>
      <c r="G2002" t="s">
        <v>4768</v>
      </c>
    </row>
    <row r="2003" spans="1:7">
      <c r="A2003" t="s">
        <v>8728</v>
      </c>
      <c r="B2003" t="s">
        <v>8729</v>
      </c>
      <c r="C2003" t="s">
        <v>4884</v>
      </c>
      <c r="D2003">
        <v>92</v>
      </c>
      <c r="E2003" s="208">
        <v>43698</v>
      </c>
      <c r="F2003" t="s">
        <v>4767</v>
      </c>
      <c r="G2003" t="s">
        <v>4768</v>
      </c>
    </row>
    <row r="2004" spans="1:7">
      <c r="A2004" t="s">
        <v>8730</v>
      </c>
      <c r="B2004" t="s">
        <v>8731</v>
      </c>
      <c r="C2004" t="s">
        <v>4766</v>
      </c>
      <c r="D2004">
        <v>179.99</v>
      </c>
      <c r="E2004" s="208">
        <v>43696</v>
      </c>
      <c r="F2004" t="s">
        <v>8509</v>
      </c>
      <c r="G2004" t="s">
        <v>4768</v>
      </c>
    </row>
    <row r="2005" spans="1:7">
      <c r="A2005" t="s">
        <v>8732</v>
      </c>
      <c r="B2005" t="s">
        <v>8733</v>
      </c>
      <c r="C2005" t="s">
        <v>4806</v>
      </c>
      <c r="D2005">
        <v>25.44</v>
      </c>
      <c r="E2005" s="208">
        <v>43693</v>
      </c>
      <c r="F2005" t="s">
        <v>4804</v>
      </c>
      <c r="G2005" t="s">
        <v>4768</v>
      </c>
    </row>
    <row r="2006" spans="1:7">
      <c r="A2006" t="s">
        <v>8734</v>
      </c>
      <c r="B2006" t="s">
        <v>8735</v>
      </c>
      <c r="C2006" t="s">
        <v>4806</v>
      </c>
      <c r="D2006">
        <v>17.5</v>
      </c>
      <c r="E2006" s="208">
        <v>43693</v>
      </c>
      <c r="F2006" t="s">
        <v>4877</v>
      </c>
      <c r="G2006" t="s">
        <v>4768</v>
      </c>
    </row>
    <row r="2007" spans="1:7">
      <c r="A2007" t="s">
        <v>8736</v>
      </c>
      <c r="B2007" t="s">
        <v>8737</v>
      </c>
      <c r="C2007" t="s">
        <v>4831</v>
      </c>
      <c r="D2007">
        <v>21.15</v>
      </c>
      <c r="E2007" s="208">
        <v>43691</v>
      </c>
      <c r="F2007" t="s">
        <v>4782</v>
      </c>
      <c r="G2007" t="s">
        <v>4768</v>
      </c>
    </row>
    <row r="2008" spans="1:7">
      <c r="A2008" t="s">
        <v>8738</v>
      </c>
      <c r="B2008" t="s">
        <v>8739</v>
      </c>
      <c r="C2008" t="s">
        <v>4766</v>
      </c>
      <c r="D2008">
        <v>13.22</v>
      </c>
      <c r="E2008" s="208">
        <v>43689</v>
      </c>
      <c r="F2008" t="s">
        <v>6534</v>
      </c>
      <c r="G2008" t="s">
        <v>4768</v>
      </c>
    </row>
    <row r="2009" spans="1:7">
      <c r="A2009" t="s">
        <v>8740</v>
      </c>
      <c r="B2009" t="s">
        <v>8741</v>
      </c>
      <c r="C2009" t="s">
        <v>4766</v>
      </c>
      <c r="D2009">
        <v>5.82</v>
      </c>
      <c r="E2009" s="208">
        <v>43686</v>
      </c>
      <c r="F2009" t="s">
        <v>4846</v>
      </c>
      <c r="G2009" t="s">
        <v>4768</v>
      </c>
    </row>
    <row r="2010" spans="1:7">
      <c r="A2010" t="s">
        <v>8742</v>
      </c>
      <c r="B2010" t="s">
        <v>8743</v>
      </c>
      <c r="C2010" t="s">
        <v>4766</v>
      </c>
      <c r="D2010">
        <v>32.19</v>
      </c>
      <c r="E2010" s="208">
        <v>43686</v>
      </c>
      <c r="F2010" t="s">
        <v>4846</v>
      </c>
      <c r="G2010" t="s">
        <v>4768</v>
      </c>
    </row>
    <row r="2011" spans="1:7">
      <c r="A2011" t="s">
        <v>8744</v>
      </c>
      <c r="B2011" t="s">
        <v>8745</v>
      </c>
      <c r="C2011" t="s">
        <v>4895</v>
      </c>
      <c r="D2011">
        <v>196</v>
      </c>
      <c r="E2011" s="208">
        <v>43686</v>
      </c>
      <c r="F2011" t="s">
        <v>4767</v>
      </c>
      <c r="G2011" t="s">
        <v>4768</v>
      </c>
    </row>
    <row r="2012" spans="1:7">
      <c r="A2012" t="s">
        <v>8746</v>
      </c>
      <c r="B2012" t="s">
        <v>8747</v>
      </c>
      <c r="C2012" t="s">
        <v>4766</v>
      </c>
      <c r="D2012">
        <v>2.75</v>
      </c>
      <c r="E2012" s="208">
        <v>43685</v>
      </c>
      <c r="F2012" t="s">
        <v>4767</v>
      </c>
      <c r="G2012" t="s">
        <v>4768</v>
      </c>
    </row>
    <row r="2013" spans="1:7">
      <c r="A2013" t="s">
        <v>8748</v>
      </c>
      <c r="B2013" t="s">
        <v>8749</v>
      </c>
      <c r="C2013" t="s">
        <v>4766</v>
      </c>
      <c r="D2013">
        <v>9.99</v>
      </c>
      <c r="E2013" s="208">
        <v>43684</v>
      </c>
      <c r="F2013" t="s">
        <v>4782</v>
      </c>
      <c r="G2013" t="s">
        <v>4768</v>
      </c>
    </row>
    <row r="2014" spans="1:7">
      <c r="A2014" t="s">
        <v>8750</v>
      </c>
      <c r="B2014" t="s">
        <v>8751</v>
      </c>
      <c r="C2014" t="s">
        <v>4766</v>
      </c>
      <c r="D2014">
        <v>125</v>
      </c>
      <c r="E2014" s="208">
        <v>43684</v>
      </c>
      <c r="F2014" t="s">
        <v>8197</v>
      </c>
      <c r="G2014" t="s">
        <v>4768</v>
      </c>
    </row>
    <row r="2015" spans="1:7">
      <c r="A2015" t="s">
        <v>8752</v>
      </c>
      <c r="B2015" t="s">
        <v>8753</v>
      </c>
      <c r="C2015" t="s">
        <v>4766</v>
      </c>
      <c r="D2015">
        <v>27.29</v>
      </c>
      <c r="E2015" s="208">
        <v>43679</v>
      </c>
      <c r="F2015" t="s">
        <v>4767</v>
      </c>
      <c r="G2015" t="s">
        <v>4768</v>
      </c>
    </row>
    <row r="2016" spans="1:7">
      <c r="A2016" t="s">
        <v>8754</v>
      </c>
      <c r="B2016" t="s">
        <v>8755</v>
      </c>
      <c r="C2016" t="s">
        <v>4766</v>
      </c>
      <c r="D2016">
        <v>11.29</v>
      </c>
      <c r="E2016" s="208">
        <v>43675</v>
      </c>
      <c r="F2016" t="s">
        <v>4782</v>
      </c>
      <c r="G2016" t="s">
        <v>4768</v>
      </c>
    </row>
    <row r="2017" spans="1:7">
      <c r="A2017" t="s">
        <v>8756</v>
      </c>
      <c r="B2017" t="s">
        <v>8757</v>
      </c>
      <c r="C2017" t="s">
        <v>8391</v>
      </c>
      <c r="D2017">
        <v>92</v>
      </c>
      <c r="E2017" s="208">
        <v>43674</v>
      </c>
      <c r="F2017" t="s">
        <v>4772</v>
      </c>
      <c r="G2017" t="s">
        <v>4768</v>
      </c>
    </row>
    <row r="2018" spans="1:7">
      <c r="A2018" t="s">
        <v>8758</v>
      </c>
      <c r="B2018" t="s">
        <v>8759</v>
      </c>
      <c r="C2018" t="s">
        <v>4766</v>
      </c>
      <c r="D2018">
        <v>18</v>
      </c>
      <c r="E2018" s="208">
        <v>43672</v>
      </c>
      <c r="F2018" t="s">
        <v>8760</v>
      </c>
      <c r="G2018" t="s">
        <v>4768</v>
      </c>
    </row>
    <row r="2019" spans="1:7">
      <c r="A2019" t="s">
        <v>8761</v>
      </c>
      <c r="B2019" t="s">
        <v>8762</v>
      </c>
      <c r="C2019" t="s">
        <v>4766</v>
      </c>
      <c r="D2019">
        <v>4.74</v>
      </c>
      <c r="E2019" s="208">
        <v>43671</v>
      </c>
      <c r="F2019" t="s">
        <v>4782</v>
      </c>
      <c r="G2019" t="s">
        <v>4768</v>
      </c>
    </row>
    <row r="2020" spans="1:7">
      <c r="A2020" t="s">
        <v>8763</v>
      </c>
      <c r="B2020" t="s">
        <v>8764</v>
      </c>
      <c r="C2020" t="s">
        <v>4803</v>
      </c>
      <c r="D2020">
        <v>57</v>
      </c>
      <c r="E2020" s="208">
        <v>43670</v>
      </c>
      <c r="F2020" t="s">
        <v>4772</v>
      </c>
      <c r="G2020" t="s">
        <v>4768</v>
      </c>
    </row>
    <row r="2021" spans="1:7">
      <c r="A2021" t="s">
        <v>8765</v>
      </c>
      <c r="B2021" t="s">
        <v>8766</v>
      </c>
      <c r="C2021" t="s">
        <v>4831</v>
      </c>
      <c r="D2021">
        <v>0.19</v>
      </c>
      <c r="E2021" s="208">
        <v>43670</v>
      </c>
      <c r="F2021" t="s">
        <v>4782</v>
      </c>
      <c r="G2021" t="s">
        <v>4768</v>
      </c>
    </row>
    <row r="2022" spans="1:7">
      <c r="A2022" t="s">
        <v>8767</v>
      </c>
      <c r="B2022" t="s">
        <v>8768</v>
      </c>
      <c r="C2022" t="s">
        <v>4766</v>
      </c>
      <c r="D2022">
        <v>33.5</v>
      </c>
      <c r="E2022" s="208">
        <v>43669</v>
      </c>
      <c r="F2022" t="s">
        <v>4782</v>
      </c>
      <c r="G2022" t="s">
        <v>4768</v>
      </c>
    </row>
    <row r="2023" spans="1:7">
      <c r="A2023" t="s">
        <v>8769</v>
      </c>
      <c r="B2023" t="s">
        <v>8770</v>
      </c>
      <c r="C2023" t="s">
        <v>4766</v>
      </c>
      <c r="D2023">
        <v>14.05</v>
      </c>
      <c r="E2023" s="208">
        <v>43668</v>
      </c>
      <c r="F2023" t="s">
        <v>4832</v>
      </c>
      <c r="G2023" t="s">
        <v>4768</v>
      </c>
    </row>
    <row r="2024" spans="1:7">
      <c r="A2024" t="s">
        <v>8771</v>
      </c>
      <c r="B2024" t="s">
        <v>8772</v>
      </c>
      <c r="C2024" t="s">
        <v>4766</v>
      </c>
      <c r="D2024">
        <v>31.99</v>
      </c>
      <c r="E2024" s="208">
        <v>43663</v>
      </c>
      <c r="F2024" t="s">
        <v>4782</v>
      </c>
      <c r="G2024" t="s">
        <v>4768</v>
      </c>
    </row>
    <row r="2025" spans="1:7">
      <c r="A2025" t="s">
        <v>8773</v>
      </c>
      <c r="B2025" t="s">
        <v>8774</v>
      </c>
      <c r="C2025" t="s">
        <v>4766</v>
      </c>
      <c r="D2025">
        <v>14.05</v>
      </c>
      <c r="E2025" s="208">
        <v>43661</v>
      </c>
      <c r="F2025" t="s">
        <v>4832</v>
      </c>
      <c r="G2025" t="s">
        <v>4768</v>
      </c>
    </row>
    <row r="2026" spans="1:7">
      <c r="A2026" t="s">
        <v>8775</v>
      </c>
      <c r="B2026" t="s">
        <v>8776</v>
      </c>
      <c r="C2026" t="s">
        <v>4920</v>
      </c>
      <c r="D2026">
        <v>30.6</v>
      </c>
      <c r="E2026" s="208">
        <v>43661</v>
      </c>
      <c r="F2026" t="s">
        <v>7862</v>
      </c>
      <c r="G2026" t="s">
        <v>4768</v>
      </c>
    </row>
    <row r="2027" spans="1:7">
      <c r="A2027" t="s">
        <v>8777</v>
      </c>
      <c r="B2027" t="s">
        <v>8778</v>
      </c>
      <c r="C2027" t="s">
        <v>4884</v>
      </c>
      <c r="D2027">
        <v>259.7</v>
      </c>
      <c r="E2027" s="208">
        <v>43661</v>
      </c>
      <c r="F2027" t="s">
        <v>7862</v>
      </c>
      <c r="G2027" t="s">
        <v>4768</v>
      </c>
    </row>
    <row r="2028" spans="1:7">
      <c r="A2028" t="s">
        <v>8779</v>
      </c>
      <c r="B2028" t="s">
        <v>8780</v>
      </c>
      <c r="C2028" t="s">
        <v>4766</v>
      </c>
      <c r="D2028">
        <v>10.99</v>
      </c>
      <c r="E2028" s="208">
        <v>43657</v>
      </c>
      <c r="F2028" t="s">
        <v>4782</v>
      </c>
      <c r="G2028" t="s">
        <v>4768</v>
      </c>
    </row>
    <row r="2029" spans="1:7">
      <c r="A2029" t="s">
        <v>8781</v>
      </c>
      <c r="B2029" t="s">
        <v>8782</v>
      </c>
      <c r="C2029" t="s">
        <v>4766</v>
      </c>
      <c r="D2029">
        <v>34.99</v>
      </c>
      <c r="E2029" s="208">
        <v>43654</v>
      </c>
      <c r="F2029" t="s">
        <v>4782</v>
      </c>
      <c r="G2029" t="s">
        <v>4768</v>
      </c>
    </row>
    <row r="2030" spans="1:7">
      <c r="A2030" t="s">
        <v>8783</v>
      </c>
      <c r="B2030" t="s">
        <v>8784</v>
      </c>
      <c r="C2030" t="s">
        <v>4766</v>
      </c>
      <c r="D2030">
        <v>7.99</v>
      </c>
      <c r="E2030" s="208">
        <v>43654</v>
      </c>
      <c r="F2030" t="s">
        <v>4782</v>
      </c>
      <c r="G2030" t="s">
        <v>4768</v>
      </c>
    </row>
    <row r="2031" spans="1:7">
      <c r="A2031" t="s">
        <v>8785</v>
      </c>
      <c r="B2031" t="s">
        <v>8786</v>
      </c>
      <c r="C2031" t="s">
        <v>4795</v>
      </c>
      <c r="D2031">
        <v>16.309999999999999</v>
      </c>
      <c r="E2031" s="208">
        <v>43650</v>
      </c>
      <c r="F2031" t="s">
        <v>4832</v>
      </c>
      <c r="G2031" t="s">
        <v>4768</v>
      </c>
    </row>
    <row r="2032" spans="1:7">
      <c r="A2032" t="s">
        <v>8787</v>
      </c>
      <c r="B2032" t="s">
        <v>8788</v>
      </c>
      <c r="C2032" t="s">
        <v>4766</v>
      </c>
      <c r="D2032">
        <v>850</v>
      </c>
      <c r="E2032" s="208">
        <v>43650</v>
      </c>
      <c r="F2032" t="s">
        <v>8789</v>
      </c>
      <c r="G2032" t="s">
        <v>4768</v>
      </c>
    </row>
    <row r="2033" spans="1:7">
      <c r="A2033" t="s">
        <v>8790</v>
      </c>
      <c r="B2033" t="s">
        <v>8791</v>
      </c>
      <c r="C2033" t="s">
        <v>4766</v>
      </c>
      <c r="D2033">
        <v>30.39</v>
      </c>
      <c r="E2033" s="208">
        <v>43649</v>
      </c>
      <c r="F2033" t="s">
        <v>8386</v>
      </c>
      <c r="G2033" t="s">
        <v>4768</v>
      </c>
    </row>
    <row r="2034" spans="1:7">
      <c r="A2034" t="s">
        <v>8792</v>
      </c>
      <c r="B2034" t="s">
        <v>8793</v>
      </c>
      <c r="C2034" t="s">
        <v>8326</v>
      </c>
      <c r="D2034">
        <v>40.950000000000003</v>
      </c>
      <c r="E2034" s="208">
        <v>43649</v>
      </c>
      <c r="F2034" t="s">
        <v>4772</v>
      </c>
      <c r="G2034" t="s">
        <v>4768</v>
      </c>
    </row>
    <row r="2035" spans="1:7">
      <c r="A2035" t="s">
        <v>8794</v>
      </c>
      <c r="B2035" t="s">
        <v>8795</v>
      </c>
      <c r="C2035" t="s">
        <v>4884</v>
      </c>
      <c r="D2035">
        <v>391.86</v>
      </c>
      <c r="E2035" s="208">
        <v>43649</v>
      </c>
      <c r="F2035" t="s">
        <v>8796</v>
      </c>
      <c r="G2035" t="s">
        <v>4768</v>
      </c>
    </row>
    <row r="2036" spans="1:7">
      <c r="A2036" t="s">
        <v>8797</v>
      </c>
      <c r="B2036" t="s">
        <v>8798</v>
      </c>
      <c r="C2036" t="s">
        <v>4803</v>
      </c>
      <c r="D2036">
        <v>60.19</v>
      </c>
      <c r="E2036" s="208">
        <v>43646</v>
      </c>
      <c r="F2036" t="s">
        <v>8799</v>
      </c>
      <c r="G2036" t="s">
        <v>4768</v>
      </c>
    </row>
    <row r="2037" spans="1:7">
      <c r="A2037" t="s">
        <v>8800</v>
      </c>
      <c r="B2037" t="s">
        <v>8801</v>
      </c>
      <c r="C2037" t="s">
        <v>4766</v>
      </c>
      <c r="D2037">
        <v>48.16</v>
      </c>
      <c r="E2037" s="208">
        <v>43641</v>
      </c>
      <c r="F2037" t="s">
        <v>4767</v>
      </c>
      <c r="G2037" t="s">
        <v>4768</v>
      </c>
    </row>
    <row r="2038" spans="1:7">
      <c r="A2038" t="s">
        <v>8802</v>
      </c>
      <c r="B2038" t="s">
        <v>8803</v>
      </c>
      <c r="C2038" t="s">
        <v>4803</v>
      </c>
      <c r="D2038">
        <v>493</v>
      </c>
      <c r="E2038" s="208">
        <v>43637</v>
      </c>
      <c r="F2038" t="s">
        <v>4772</v>
      </c>
      <c r="G2038" t="s">
        <v>4768</v>
      </c>
    </row>
    <row r="2039" spans="1:7">
      <c r="A2039" t="s">
        <v>8804</v>
      </c>
      <c r="B2039" t="s">
        <v>8805</v>
      </c>
      <c r="C2039" t="s">
        <v>4766</v>
      </c>
      <c r="D2039">
        <v>53.95</v>
      </c>
      <c r="E2039" s="208">
        <v>43635</v>
      </c>
      <c r="F2039" t="s">
        <v>8197</v>
      </c>
      <c r="G2039" t="s">
        <v>4768</v>
      </c>
    </row>
    <row r="2040" spans="1:7">
      <c r="A2040" t="s">
        <v>8806</v>
      </c>
      <c r="B2040" t="s">
        <v>8807</v>
      </c>
      <c r="C2040" t="s">
        <v>4766</v>
      </c>
      <c r="D2040">
        <v>122</v>
      </c>
      <c r="E2040" s="208">
        <v>43633</v>
      </c>
      <c r="F2040" t="s">
        <v>4772</v>
      </c>
      <c r="G2040" t="s">
        <v>4768</v>
      </c>
    </row>
    <row r="2041" spans="1:7">
      <c r="A2041" t="s">
        <v>8808</v>
      </c>
      <c r="B2041" t="s">
        <v>8809</v>
      </c>
      <c r="C2041" t="s">
        <v>4766</v>
      </c>
      <c r="D2041">
        <v>16.2</v>
      </c>
      <c r="E2041" s="208">
        <v>43633</v>
      </c>
      <c r="F2041" t="s">
        <v>4772</v>
      </c>
      <c r="G2041" t="s">
        <v>4768</v>
      </c>
    </row>
    <row r="2042" spans="1:7">
      <c r="A2042" t="s">
        <v>8810</v>
      </c>
      <c r="B2042" t="s">
        <v>8811</v>
      </c>
      <c r="C2042" t="s">
        <v>4766</v>
      </c>
      <c r="D2042">
        <v>9.49</v>
      </c>
      <c r="E2042" s="208">
        <v>43626</v>
      </c>
      <c r="F2042" t="s">
        <v>4782</v>
      </c>
      <c r="G2042" t="s">
        <v>4768</v>
      </c>
    </row>
    <row r="2043" spans="1:7">
      <c r="A2043" t="s">
        <v>8812</v>
      </c>
      <c r="B2043" t="s">
        <v>8813</v>
      </c>
      <c r="C2043" t="s">
        <v>4972</v>
      </c>
      <c r="D2043">
        <v>4.04</v>
      </c>
      <c r="E2043" s="208">
        <v>43625</v>
      </c>
      <c r="F2043" t="s">
        <v>4877</v>
      </c>
      <c r="G2043" t="s">
        <v>4768</v>
      </c>
    </row>
    <row r="2044" spans="1:7">
      <c r="A2044" t="s">
        <v>8814</v>
      </c>
      <c r="B2044" t="s">
        <v>8815</v>
      </c>
      <c r="C2044" t="s">
        <v>4766</v>
      </c>
      <c r="D2044">
        <v>10.39</v>
      </c>
      <c r="E2044" s="208">
        <v>43621</v>
      </c>
      <c r="F2044" t="s">
        <v>4782</v>
      </c>
      <c r="G2044" t="s">
        <v>4768</v>
      </c>
    </row>
    <row r="2045" spans="1:7">
      <c r="A2045" t="s">
        <v>8816</v>
      </c>
      <c r="B2045" t="s">
        <v>8817</v>
      </c>
      <c r="C2045" t="s">
        <v>4766</v>
      </c>
      <c r="D2045">
        <v>35.99</v>
      </c>
      <c r="E2045" s="208">
        <v>43621</v>
      </c>
      <c r="F2045" t="s">
        <v>4782</v>
      </c>
      <c r="G2045" t="s">
        <v>4768</v>
      </c>
    </row>
    <row r="2046" spans="1:7">
      <c r="A2046" t="s">
        <v>8818</v>
      </c>
      <c r="B2046" t="s">
        <v>8819</v>
      </c>
      <c r="C2046" t="s">
        <v>4831</v>
      </c>
      <c r="D2046">
        <v>3.98</v>
      </c>
      <c r="E2046" s="208">
        <v>43618</v>
      </c>
      <c r="F2046" t="s">
        <v>6534</v>
      </c>
      <c r="G2046" t="s">
        <v>4768</v>
      </c>
    </row>
    <row r="2047" spans="1:7">
      <c r="A2047" t="s">
        <v>8820</v>
      </c>
      <c r="B2047" t="s">
        <v>8821</v>
      </c>
      <c r="C2047" t="s">
        <v>4766</v>
      </c>
      <c r="D2047">
        <v>79.98</v>
      </c>
      <c r="E2047" s="208">
        <v>43616</v>
      </c>
      <c r="F2047" t="s">
        <v>7796</v>
      </c>
      <c r="G2047" t="s">
        <v>4768</v>
      </c>
    </row>
    <row r="2048" spans="1:7">
      <c r="A2048" t="s">
        <v>8822</v>
      </c>
      <c r="B2048" t="s">
        <v>8823</v>
      </c>
      <c r="C2048" t="s">
        <v>4766</v>
      </c>
      <c r="D2048">
        <v>18.489999999999998</v>
      </c>
      <c r="E2048" s="208">
        <v>43616</v>
      </c>
      <c r="F2048" t="s">
        <v>7796</v>
      </c>
      <c r="G2048" t="s">
        <v>4768</v>
      </c>
    </row>
    <row r="2049" spans="1:7">
      <c r="A2049" t="s">
        <v>8824</v>
      </c>
      <c r="B2049" t="s">
        <v>8825</v>
      </c>
      <c r="C2049" t="s">
        <v>4795</v>
      </c>
      <c r="D2049">
        <v>67.2</v>
      </c>
      <c r="E2049" s="208">
        <v>43614</v>
      </c>
      <c r="F2049" t="s">
        <v>4772</v>
      </c>
      <c r="G2049" t="s">
        <v>4768</v>
      </c>
    </row>
    <row r="2050" spans="1:7">
      <c r="A2050" t="s">
        <v>8826</v>
      </c>
      <c r="B2050" t="s">
        <v>8827</v>
      </c>
      <c r="C2050" t="s">
        <v>5344</v>
      </c>
      <c r="D2050">
        <v>9.91</v>
      </c>
      <c r="E2050" s="208">
        <v>43613</v>
      </c>
      <c r="F2050" t="s">
        <v>4767</v>
      </c>
      <c r="G2050" t="s">
        <v>4768</v>
      </c>
    </row>
    <row r="2051" spans="1:7">
      <c r="A2051" t="s">
        <v>8828</v>
      </c>
      <c r="B2051" t="s">
        <v>8829</v>
      </c>
      <c r="C2051" t="s">
        <v>4845</v>
      </c>
      <c r="D2051">
        <v>8.1</v>
      </c>
      <c r="E2051" s="208">
        <v>43613</v>
      </c>
      <c r="F2051" t="s">
        <v>4767</v>
      </c>
      <c r="G2051" t="s">
        <v>4768</v>
      </c>
    </row>
    <row r="2052" spans="1:7">
      <c r="A2052" t="s">
        <v>8830</v>
      </c>
      <c r="B2052" t="s">
        <v>8831</v>
      </c>
      <c r="C2052" t="s">
        <v>6331</v>
      </c>
      <c r="D2052">
        <v>155.69999999999999</v>
      </c>
      <c r="E2052" s="208">
        <v>43612</v>
      </c>
      <c r="F2052" t="s">
        <v>4767</v>
      </c>
      <c r="G2052" t="s">
        <v>4768</v>
      </c>
    </row>
    <row r="2053" spans="1:7">
      <c r="A2053" t="s">
        <v>8832</v>
      </c>
      <c r="B2053" t="s">
        <v>8833</v>
      </c>
      <c r="C2053" t="s">
        <v>4766</v>
      </c>
      <c r="D2053">
        <v>7.32</v>
      </c>
      <c r="E2053" s="208">
        <v>43612</v>
      </c>
      <c r="F2053" t="s">
        <v>8834</v>
      </c>
      <c r="G2053" t="s">
        <v>4768</v>
      </c>
    </row>
    <row r="2054" spans="1:7">
      <c r="A2054" t="s">
        <v>8835</v>
      </c>
      <c r="B2054" t="s">
        <v>8836</v>
      </c>
      <c r="C2054" t="s">
        <v>4806</v>
      </c>
      <c r="D2054">
        <v>16.2</v>
      </c>
      <c r="E2054" s="208">
        <v>43609</v>
      </c>
      <c r="F2054" t="s">
        <v>4772</v>
      </c>
      <c r="G2054" t="s">
        <v>4768</v>
      </c>
    </row>
    <row r="2055" spans="1:7">
      <c r="A2055" t="s">
        <v>8837</v>
      </c>
      <c r="B2055" t="s">
        <v>8838</v>
      </c>
      <c r="C2055" t="s">
        <v>4803</v>
      </c>
      <c r="D2055">
        <v>19.95</v>
      </c>
      <c r="E2055" s="208">
        <v>43606</v>
      </c>
      <c r="F2055" t="s">
        <v>4782</v>
      </c>
      <c r="G2055" t="s">
        <v>4768</v>
      </c>
    </row>
    <row r="2056" spans="1:7">
      <c r="A2056" t="s">
        <v>8839</v>
      </c>
      <c r="B2056" t="s">
        <v>8840</v>
      </c>
      <c r="C2056" t="s">
        <v>4766</v>
      </c>
      <c r="D2056">
        <v>50966</v>
      </c>
      <c r="E2056" s="208">
        <v>43600</v>
      </c>
      <c r="F2056" t="s">
        <v>4842</v>
      </c>
      <c r="G2056" t="s">
        <v>4768</v>
      </c>
    </row>
    <row r="2057" spans="1:7">
      <c r="A2057" t="s">
        <v>8841</v>
      </c>
      <c r="B2057" t="s">
        <v>8842</v>
      </c>
      <c r="C2057" t="s">
        <v>4766</v>
      </c>
      <c r="D2057">
        <v>58.2</v>
      </c>
      <c r="E2057" s="208">
        <v>43600</v>
      </c>
      <c r="F2057" t="s">
        <v>4772</v>
      </c>
      <c r="G2057" t="s">
        <v>4768</v>
      </c>
    </row>
    <row r="2058" spans="1:7">
      <c r="A2058" t="s">
        <v>8843</v>
      </c>
      <c r="B2058" t="s">
        <v>8844</v>
      </c>
      <c r="C2058" t="s">
        <v>4766</v>
      </c>
      <c r="D2058">
        <v>179.99</v>
      </c>
      <c r="E2058" s="208">
        <v>43598</v>
      </c>
      <c r="F2058" t="s">
        <v>4782</v>
      </c>
      <c r="G2058" t="s">
        <v>4768</v>
      </c>
    </row>
    <row r="2059" spans="1:7">
      <c r="A2059" t="s">
        <v>8845</v>
      </c>
      <c r="B2059" t="s">
        <v>8846</v>
      </c>
      <c r="C2059" t="s">
        <v>6331</v>
      </c>
      <c r="D2059">
        <v>152.46</v>
      </c>
      <c r="E2059" s="208">
        <v>43598</v>
      </c>
      <c r="F2059" t="s">
        <v>4767</v>
      </c>
      <c r="G2059" t="s">
        <v>4768</v>
      </c>
    </row>
    <row r="2060" spans="1:7">
      <c r="A2060" t="s">
        <v>8847</v>
      </c>
      <c r="B2060" t="s">
        <v>8848</v>
      </c>
      <c r="C2060" t="s">
        <v>4766</v>
      </c>
      <c r="D2060">
        <v>15.49</v>
      </c>
      <c r="E2060" s="208">
        <v>43593</v>
      </c>
      <c r="F2060" t="s">
        <v>4782</v>
      </c>
      <c r="G2060" t="s">
        <v>4768</v>
      </c>
    </row>
    <row r="2061" spans="1:7">
      <c r="A2061" t="s">
        <v>8849</v>
      </c>
      <c r="B2061" t="s">
        <v>8850</v>
      </c>
      <c r="C2061" t="s">
        <v>4803</v>
      </c>
      <c r="D2061">
        <v>59.23</v>
      </c>
      <c r="E2061" s="208">
        <v>43592</v>
      </c>
      <c r="F2061" t="s">
        <v>4846</v>
      </c>
      <c r="G2061" t="s">
        <v>4768</v>
      </c>
    </row>
    <row r="2062" spans="1:7">
      <c r="A2062" t="s">
        <v>8851</v>
      </c>
      <c r="B2062" t="s">
        <v>8852</v>
      </c>
      <c r="C2062" t="s">
        <v>4795</v>
      </c>
      <c r="D2062">
        <v>15</v>
      </c>
      <c r="E2062" s="208">
        <v>43591</v>
      </c>
      <c r="F2062" t="s">
        <v>4767</v>
      </c>
      <c r="G2062" t="s">
        <v>4768</v>
      </c>
    </row>
    <row r="2063" spans="1:7">
      <c r="A2063" t="s">
        <v>8853</v>
      </c>
      <c r="B2063" t="s">
        <v>8854</v>
      </c>
      <c r="C2063" t="s">
        <v>4838</v>
      </c>
      <c r="D2063">
        <v>42.25</v>
      </c>
      <c r="E2063" s="208">
        <v>43588</v>
      </c>
      <c r="F2063" t="s">
        <v>4772</v>
      </c>
      <c r="G2063" t="s">
        <v>4768</v>
      </c>
    </row>
    <row r="2064" spans="1:7">
      <c r="A2064" t="s">
        <v>8855</v>
      </c>
      <c r="B2064" t="s">
        <v>8856</v>
      </c>
      <c r="C2064" t="s">
        <v>4806</v>
      </c>
      <c r="D2064">
        <v>55</v>
      </c>
      <c r="E2064" s="208">
        <v>43588</v>
      </c>
      <c r="F2064" t="s">
        <v>8602</v>
      </c>
      <c r="G2064" t="s">
        <v>4768</v>
      </c>
    </row>
    <row r="2065" spans="1:7">
      <c r="A2065" t="s">
        <v>8857</v>
      </c>
      <c r="B2065" t="s">
        <v>8858</v>
      </c>
      <c r="C2065" t="s">
        <v>4771</v>
      </c>
      <c r="D2065">
        <v>42.05</v>
      </c>
      <c r="E2065" s="208">
        <v>43584</v>
      </c>
      <c r="F2065" t="s">
        <v>4772</v>
      </c>
      <c r="G2065" t="s">
        <v>4768</v>
      </c>
    </row>
    <row r="2066" spans="1:7">
      <c r="A2066" t="s">
        <v>8859</v>
      </c>
      <c r="B2066" t="s">
        <v>8860</v>
      </c>
      <c r="C2066" t="s">
        <v>4884</v>
      </c>
      <c r="D2066">
        <v>239</v>
      </c>
      <c r="E2066" s="208">
        <v>43580</v>
      </c>
      <c r="F2066" t="s">
        <v>4772</v>
      </c>
      <c r="G2066" t="s">
        <v>4768</v>
      </c>
    </row>
    <row r="2067" spans="1:7">
      <c r="A2067" t="s">
        <v>8861</v>
      </c>
      <c r="B2067" t="s">
        <v>8862</v>
      </c>
      <c r="C2067" t="s">
        <v>4766</v>
      </c>
      <c r="D2067">
        <v>40.020000000000003</v>
      </c>
      <c r="E2067" s="208">
        <v>43570</v>
      </c>
      <c r="F2067" t="s">
        <v>4832</v>
      </c>
      <c r="G2067" t="s">
        <v>4768</v>
      </c>
    </row>
    <row r="2068" spans="1:7">
      <c r="A2068" t="s">
        <v>8863</v>
      </c>
      <c r="B2068" t="s">
        <v>8864</v>
      </c>
      <c r="C2068" t="s">
        <v>4766</v>
      </c>
      <c r="D2068">
        <v>36.5</v>
      </c>
      <c r="E2068" s="208">
        <v>43567</v>
      </c>
      <c r="F2068" t="s">
        <v>7785</v>
      </c>
      <c r="G2068" t="s">
        <v>4768</v>
      </c>
    </row>
    <row r="2069" spans="1:7">
      <c r="A2069" t="s">
        <v>8865</v>
      </c>
      <c r="B2069" t="s">
        <v>8866</v>
      </c>
      <c r="C2069" t="s">
        <v>4766</v>
      </c>
      <c r="D2069">
        <v>104.87</v>
      </c>
      <c r="E2069" s="208">
        <v>43565</v>
      </c>
      <c r="F2069" t="s">
        <v>4832</v>
      </c>
      <c r="G2069" t="s">
        <v>4768</v>
      </c>
    </row>
    <row r="2070" spans="1:7">
      <c r="A2070" t="s">
        <v>8867</v>
      </c>
      <c r="B2070" t="s">
        <v>8868</v>
      </c>
      <c r="C2070" t="s">
        <v>4884</v>
      </c>
      <c r="D2070">
        <v>196.11</v>
      </c>
      <c r="E2070" s="208">
        <v>43560</v>
      </c>
      <c r="F2070" t="s">
        <v>4846</v>
      </c>
      <c r="G2070" t="s">
        <v>4768</v>
      </c>
    </row>
    <row r="2071" spans="1:7">
      <c r="A2071" t="s">
        <v>8869</v>
      </c>
      <c r="B2071" t="s">
        <v>8870</v>
      </c>
      <c r="C2071" t="s">
        <v>4771</v>
      </c>
      <c r="D2071">
        <v>59.5</v>
      </c>
      <c r="E2071" s="208">
        <v>43558</v>
      </c>
      <c r="F2071" t="s">
        <v>4772</v>
      </c>
      <c r="G2071" t="s">
        <v>4768</v>
      </c>
    </row>
    <row r="2072" spans="1:7">
      <c r="A2072" t="s">
        <v>8871</v>
      </c>
      <c r="B2072" t="s">
        <v>8872</v>
      </c>
      <c r="C2072" t="s">
        <v>4884</v>
      </c>
      <c r="D2072">
        <v>26.81</v>
      </c>
      <c r="E2072" s="208">
        <v>43558</v>
      </c>
      <c r="F2072" t="s">
        <v>4832</v>
      </c>
      <c r="G2072" t="s">
        <v>4768</v>
      </c>
    </row>
    <row r="2073" spans="1:7">
      <c r="A2073" t="s">
        <v>8873</v>
      </c>
      <c r="B2073" t="s">
        <v>8874</v>
      </c>
      <c r="C2073" t="s">
        <v>4803</v>
      </c>
      <c r="D2073">
        <v>96.24</v>
      </c>
      <c r="E2073" s="208">
        <v>43558</v>
      </c>
      <c r="F2073" t="s">
        <v>4846</v>
      </c>
      <c r="G2073" t="s">
        <v>4768</v>
      </c>
    </row>
    <row r="2074" spans="1:7">
      <c r="A2074" t="s">
        <v>8875</v>
      </c>
      <c r="B2074" t="s">
        <v>8876</v>
      </c>
      <c r="C2074" t="s">
        <v>4803</v>
      </c>
      <c r="D2074">
        <v>134.69</v>
      </c>
      <c r="E2074" s="208">
        <v>43558</v>
      </c>
      <c r="F2074" t="s">
        <v>4846</v>
      </c>
      <c r="G2074" t="s">
        <v>4768</v>
      </c>
    </row>
    <row r="2075" spans="1:7">
      <c r="A2075" t="s">
        <v>8877</v>
      </c>
      <c r="B2075" t="s">
        <v>8878</v>
      </c>
      <c r="C2075" t="s">
        <v>4766</v>
      </c>
      <c r="D2075">
        <v>7.99</v>
      </c>
      <c r="E2075" s="208">
        <v>43555</v>
      </c>
      <c r="F2075" t="s">
        <v>4782</v>
      </c>
      <c r="G2075" t="s">
        <v>4768</v>
      </c>
    </row>
    <row r="2076" spans="1:7">
      <c r="A2076" t="s">
        <v>8879</v>
      </c>
      <c r="B2076" t="s">
        <v>8880</v>
      </c>
      <c r="C2076" t="s">
        <v>4766</v>
      </c>
      <c r="D2076">
        <v>3.2</v>
      </c>
      <c r="E2076" s="208">
        <v>43552</v>
      </c>
      <c r="F2076" t="s">
        <v>7785</v>
      </c>
      <c r="G2076" t="s">
        <v>4768</v>
      </c>
    </row>
    <row r="2077" spans="1:7">
      <c r="A2077" t="s">
        <v>8881</v>
      </c>
      <c r="B2077" t="s">
        <v>8882</v>
      </c>
      <c r="C2077" t="s">
        <v>4831</v>
      </c>
      <c r="D2077">
        <v>19.59</v>
      </c>
      <c r="E2077" s="208">
        <v>43551</v>
      </c>
      <c r="F2077" t="s">
        <v>4782</v>
      </c>
      <c r="G2077" t="s">
        <v>4768</v>
      </c>
    </row>
    <row r="2078" spans="1:7">
      <c r="A2078" t="s">
        <v>8883</v>
      </c>
      <c r="B2078" t="s">
        <v>8884</v>
      </c>
      <c r="C2078" t="s">
        <v>4766</v>
      </c>
      <c r="D2078">
        <v>81.599999999999994</v>
      </c>
      <c r="E2078" s="208">
        <v>43549</v>
      </c>
      <c r="F2078" t="s">
        <v>8885</v>
      </c>
      <c r="G2078" t="s">
        <v>4768</v>
      </c>
    </row>
    <row r="2079" spans="1:7">
      <c r="A2079" t="s">
        <v>8886</v>
      </c>
      <c r="B2079" t="s">
        <v>8887</v>
      </c>
      <c r="C2079" t="s">
        <v>4803</v>
      </c>
      <c r="D2079">
        <v>85.2</v>
      </c>
      <c r="E2079" s="208">
        <v>43546</v>
      </c>
      <c r="F2079" t="s">
        <v>4846</v>
      </c>
      <c r="G2079" t="s">
        <v>4768</v>
      </c>
    </row>
    <row r="2080" spans="1:7">
      <c r="A2080" t="s">
        <v>8888</v>
      </c>
      <c r="B2080" t="s">
        <v>8889</v>
      </c>
      <c r="C2080" t="s">
        <v>4766</v>
      </c>
      <c r="D2080">
        <v>9.69</v>
      </c>
      <c r="E2080" s="208">
        <v>43544</v>
      </c>
      <c r="F2080" t="s">
        <v>4782</v>
      </c>
      <c r="G2080" t="s">
        <v>4768</v>
      </c>
    </row>
    <row r="2081" spans="1:7">
      <c r="A2081" t="s">
        <v>8890</v>
      </c>
      <c r="B2081" t="s">
        <v>8891</v>
      </c>
      <c r="C2081" t="s">
        <v>4766</v>
      </c>
      <c r="D2081">
        <v>0.99</v>
      </c>
      <c r="E2081" s="208">
        <v>43544</v>
      </c>
      <c r="F2081" t="s">
        <v>4782</v>
      </c>
      <c r="G2081" t="s">
        <v>4768</v>
      </c>
    </row>
    <row r="2082" spans="1:7">
      <c r="A2082" t="s">
        <v>8892</v>
      </c>
      <c r="B2082" t="s">
        <v>8893</v>
      </c>
      <c r="C2082" t="s">
        <v>4831</v>
      </c>
      <c r="D2082">
        <v>0.99</v>
      </c>
      <c r="E2082" s="208">
        <v>43544</v>
      </c>
      <c r="F2082" t="s">
        <v>4782</v>
      </c>
      <c r="G2082" t="s">
        <v>4768</v>
      </c>
    </row>
    <row r="2083" spans="1:7">
      <c r="A2083" t="s">
        <v>8894</v>
      </c>
      <c r="B2083" t="s">
        <v>8895</v>
      </c>
      <c r="C2083" t="s">
        <v>4766</v>
      </c>
      <c r="D2083">
        <v>12.1</v>
      </c>
      <c r="E2083" s="208">
        <v>43543</v>
      </c>
      <c r="F2083" t="s">
        <v>4782</v>
      </c>
      <c r="G2083" t="s">
        <v>4768</v>
      </c>
    </row>
    <row r="2084" spans="1:7">
      <c r="A2084" t="s">
        <v>8896</v>
      </c>
      <c r="B2084" t="s">
        <v>8897</v>
      </c>
      <c r="C2084" t="s">
        <v>4985</v>
      </c>
      <c r="D2084">
        <v>55.13</v>
      </c>
      <c r="E2084" s="208">
        <v>43532</v>
      </c>
      <c r="F2084" t="s">
        <v>4804</v>
      </c>
      <c r="G2084" t="s">
        <v>4768</v>
      </c>
    </row>
    <row r="2085" spans="1:7">
      <c r="A2085" t="s">
        <v>8898</v>
      </c>
      <c r="B2085" t="s">
        <v>8899</v>
      </c>
      <c r="C2085" t="s">
        <v>4766</v>
      </c>
      <c r="D2085">
        <v>6.85</v>
      </c>
      <c r="E2085" s="208">
        <v>43531</v>
      </c>
      <c r="F2085" t="s">
        <v>4767</v>
      </c>
      <c r="G2085" t="s">
        <v>4768</v>
      </c>
    </row>
    <row r="2086" spans="1:7">
      <c r="A2086" t="s">
        <v>8900</v>
      </c>
      <c r="B2086" t="s">
        <v>8901</v>
      </c>
      <c r="C2086" t="s">
        <v>4831</v>
      </c>
      <c r="D2086">
        <v>15.29</v>
      </c>
      <c r="E2086" s="208">
        <v>43517</v>
      </c>
      <c r="F2086" t="s">
        <v>4782</v>
      </c>
      <c r="G2086" t="s">
        <v>4768</v>
      </c>
    </row>
    <row r="2087" spans="1:7">
      <c r="A2087" t="s">
        <v>8902</v>
      </c>
      <c r="B2087" t="s">
        <v>8903</v>
      </c>
      <c r="C2087" t="s">
        <v>4766</v>
      </c>
      <c r="D2087">
        <v>40.020000000000003</v>
      </c>
      <c r="E2087" s="208">
        <v>43516</v>
      </c>
      <c r="F2087" t="s">
        <v>4881</v>
      </c>
      <c r="G2087" t="s">
        <v>4768</v>
      </c>
    </row>
    <row r="2088" spans="1:7">
      <c r="A2088" t="s">
        <v>8904</v>
      </c>
      <c r="B2088" t="s">
        <v>8905</v>
      </c>
      <c r="C2088" t="s">
        <v>4803</v>
      </c>
      <c r="D2088">
        <v>0.59</v>
      </c>
      <c r="E2088" s="208">
        <v>43496</v>
      </c>
      <c r="F2088" t="s">
        <v>4782</v>
      </c>
      <c r="G2088" t="s">
        <v>4768</v>
      </c>
    </row>
    <row r="2089" spans="1:7">
      <c r="A2089" t="s">
        <v>8906</v>
      </c>
      <c r="B2089" t="s">
        <v>8907</v>
      </c>
      <c r="C2089" t="s">
        <v>4766</v>
      </c>
      <c r="D2089">
        <v>2.39</v>
      </c>
      <c r="E2089" s="208">
        <v>43474</v>
      </c>
      <c r="F2089" t="s">
        <v>4782</v>
      </c>
      <c r="G2089" t="s">
        <v>4768</v>
      </c>
    </row>
    <row r="2090" spans="1:7">
      <c r="A2090" t="s">
        <v>8908</v>
      </c>
      <c r="B2090" t="s">
        <v>8909</v>
      </c>
      <c r="C2090" t="s">
        <v>4835</v>
      </c>
      <c r="D2090">
        <v>218.6</v>
      </c>
      <c r="E2090" s="208">
        <v>43474</v>
      </c>
      <c r="F2090" t="s">
        <v>4772</v>
      </c>
      <c r="G2090" t="s">
        <v>4768</v>
      </c>
    </row>
    <row r="2091" spans="1:7">
      <c r="A2091" t="s">
        <v>8910</v>
      </c>
      <c r="B2091" t="s">
        <v>8911</v>
      </c>
      <c r="C2091" t="s">
        <v>4806</v>
      </c>
      <c r="D2091">
        <v>30.8</v>
      </c>
      <c r="E2091" s="208">
        <v>43474</v>
      </c>
      <c r="F2091" t="s">
        <v>8602</v>
      </c>
      <c r="G2091" t="s">
        <v>4768</v>
      </c>
    </row>
    <row r="2092" spans="1:7">
      <c r="A2092" t="s">
        <v>8912</v>
      </c>
      <c r="B2092" t="s">
        <v>8913</v>
      </c>
      <c r="C2092" t="s">
        <v>6866</v>
      </c>
      <c r="D2092">
        <v>70</v>
      </c>
      <c r="E2092" s="208">
        <v>43473</v>
      </c>
      <c r="F2092" t="s">
        <v>4772</v>
      </c>
      <c r="G2092" t="s">
        <v>4768</v>
      </c>
    </row>
    <row r="2093" spans="1:7">
      <c r="A2093" t="s">
        <v>8914</v>
      </c>
      <c r="B2093" t="s">
        <v>8915</v>
      </c>
      <c r="C2093" t="s">
        <v>4884</v>
      </c>
      <c r="D2093">
        <v>145.66</v>
      </c>
      <c r="E2093" s="208">
        <v>43472</v>
      </c>
      <c r="F2093" t="s">
        <v>4885</v>
      </c>
      <c r="G2093" t="s">
        <v>4768</v>
      </c>
    </row>
    <row r="2094" spans="1:7">
      <c r="A2094" t="s">
        <v>8916</v>
      </c>
      <c r="B2094" t="s">
        <v>8917</v>
      </c>
      <c r="C2094" t="s">
        <v>4803</v>
      </c>
      <c r="D2094">
        <v>65.400000000000006</v>
      </c>
      <c r="E2094" s="208">
        <v>43469</v>
      </c>
      <c r="F2094" t="s">
        <v>8038</v>
      </c>
      <c r="G2094" t="s">
        <v>4768</v>
      </c>
    </row>
    <row r="2095" spans="1:7">
      <c r="A2095" t="s">
        <v>8918</v>
      </c>
      <c r="B2095" t="s">
        <v>8919</v>
      </c>
      <c r="C2095" t="s">
        <v>4766</v>
      </c>
      <c r="D2095">
        <v>359</v>
      </c>
      <c r="E2095" s="208">
        <v>43468</v>
      </c>
      <c r="F2095" t="s">
        <v>4772</v>
      </c>
      <c r="G2095" t="s">
        <v>4768</v>
      </c>
    </row>
    <row r="2096" spans="1:7">
      <c r="A2096" t="s">
        <v>8920</v>
      </c>
      <c r="B2096" t="s">
        <v>8921</v>
      </c>
      <c r="C2096" t="s">
        <v>4803</v>
      </c>
      <c r="D2096">
        <v>62.75</v>
      </c>
      <c r="E2096" s="208">
        <v>43452</v>
      </c>
      <c r="F2096" t="s">
        <v>8038</v>
      </c>
      <c r="G2096" t="s">
        <v>4768</v>
      </c>
    </row>
    <row r="2097" spans="1:7">
      <c r="A2097" t="s">
        <v>8922</v>
      </c>
      <c r="B2097" t="s">
        <v>8923</v>
      </c>
      <c r="C2097" t="s">
        <v>4766</v>
      </c>
      <c r="D2097">
        <v>27.99</v>
      </c>
      <c r="E2097" s="208">
        <v>43439</v>
      </c>
      <c r="F2097" t="s">
        <v>4782</v>
      </c>
      <c r="G2097" t="s">
        <v>4768</v>
      </c>
    </row>
    <row r="2098" spans="1:7">
      <c r="A2098" t="s">
        <v>8924</v>
      </c>
      <c r="B2098" t="s">
        <v>8925</v>
      </c>
      <c r="C2098" t="s">
        <v>4766</v>
      </c>
      <c r="D2098">
        <v>16.34</v>
      </c>
      <c r="E2098" s="208">
        <v>43438</v>
      </c>
      <c r="F2098" t="s">
        <v>4767</v>
      </c>
      <c r="G2098" t="s">
        <v>4768</v>
      </c>
    </row>
    <row r="2099" spans="1:7">
      <c r="A2099" t="s">
        <v>8926</v>
      </c>
      <c r="B2099" t="s">
        <v>8927</v>
      </c>
      <c r="C2099" t="s">
        <v>4771</v>
      </c>
      <c r="D2099">
        <v>62.75</v>
      </c>
      <c r="E2099" s="208">
        <v>43437</v>
      </c>
      <c r="F2099" t="s">
        <v>8038</v>
      </c>
      <c r="G2099" t="s">
        <v>4768</v>
      </c>
    </row>
    <row r="2100" spans="1:7">
      <c r="A2100" t="s">
        <v>8928</v>
      </c>
      <c r="B2100" t="s">
        <v>8929</v>
      </c>
      <c r="C2100" t="s">
        <v>6331</v>
      </c>
      <c r="D2100">
        <v>372.43</v>
      </c>
      <c r="E2100" s="208">
        <v>43434</v>
      </c>
      <c r="F2100" t="s">
        <v>4767</v>
      </c>
      <c r="G2100" t="s">
        <v>4768</v>
      </c>
    </row>
    <row r="2101" spans="1:7">
      <c r="A2101" t="s">
        <v>8930</v>
      </c>
      <c r="B2101" t="s">
        <v>8931</v>
      </c>
      <c r="C2101" t="s">
        <v>4884</v>
      </c>
      <c r="D2101">
        <v>79.430000000000007</v>
      </c>
      <c r="E2101" s="208">
        <v>43425</v>
      </c>
      <c r="F2101" t="s">
        <v>4767</v>
      </c>
      <c r="G2101" t="s">
        <v>4768</v>
      </c>
    </row>
    <row r="2102" spans="1:7">
      <c r="A2102" t="s">
        <v>8932</v>
      </c>
      <c r="B2102" t="s">
        <v>8933</v>
      </c>
      <c r="C2102" t="s">
        <v>4766</v>
      </c>
      <c r="D2102">
        <v>9.4</v>
      </c>
      <c r="E2102" s="208">
        <v>43424</v>
      </c>
      <c r="F2102" t="s">
        <v>8934</v>
      </c>
      <c r="G2102" t="s">
        <v>4768</v>
      </c>
    </row>
    <row r="2103" spans="1:7">
      <c r="A2103" t="s">
        <v>8935</v>
      </c>
      <c r="B2103" t="s">
        <v>8936</v>
      </c>
      <c r="C2103" t="s">
        <v>4766</v>
      </c>
      <c r="D2103">
        <v>3.9</v>
      </c>
      <c r="E2103" s="208">
        <v>43424</v>
      </c>
      <c r="F2103" t="s">
        <v>8934</v>
      </c>
      <c r="G2103" t="s">
        <v>4768</v>
      </c>
    </row>
    <row r="2104" spans="1:7">
      <c r="A2104" t="s">
        <v>8937</v>
      </c>
      <c r="B2104" t="s">
        <v>8938</v>
      </c>
      <c r="C2104" t="s">
        <v>4766</v>
      </c>
      <c r="D2104">
        <v>1.27</v>
      </c>
      <c r="E2104" s="208">
        <v>43424</v>
      </c>
      <c r="F2104" t="s">
        <v>8934</v>
      </c>
      <c r="G2104" t="s">
        <v>4768</v>
      </c>
    </row>
    <row r="2105" spans="1:7">
      <c r="A2105" t="s">
        <v>8939</v>
      </c>
      <c r="B2105" t="s">
        <v>8940</v>
      </c>
      <c r="C2105" t="s">
        <v>4806</v>
      </c>
      <c r="D2105">
        <v>164.6</v>
      </c>
      <c r="E2105" s="208">
        <v>43424</v>
      </c>
      <c r="F2105" t="s">
        <v>4804</v>
      </c>
      <c r="G2105" t="s">
        <v>4768</v>
      </c>
    </row>
    <row r="2106" spans="1:7">
      <c r="A2106" t="s">
        <v>8941</v>
      </c>
      <c r="B2106" t="s">
        <v>8942</v>
      </c>
      <c r="C2106" t="s">
        <v>4766</v>
      </c>
      <c r="D2106">
        <v>4.6900000000000004</v>
      </c>
      <c r="E2106" s="208">
        <v>43422</v>
      </c>
      <c r="F2106" t="s">
        <v>8471</v>
      </c>
      <c r="G2106" t="s">
        <v>4768</v>
      </c>
    </row>
    <row r="2107" spans="1:7">
      <c r="A2107" t="s">
        <v>8943</v>
      </c>
      <c r="B2107" t="s">
        <v>8944</v>
      </c>
      <c r="C2107" t="s">
        <v>4766</v>
      </c>
      <c r="D2107">
        <v>6.04</v>
      </c>
      <c r="E2107" s="208">
        <v>43422</v>
      </c>
      <c r="F2107" t="s">
        <v>8471</v>
      </c>
      <c r="G2107" t="s">
        <v>4768</v>
      </c>
    </row>
    <row r="2108" spans="1:7">
      <c r="A2108" t="s">
        <v>8945</v>
      </c>
      <c r="B2108" t="s">
        <v>8946</v>
      </c>
      <c r="C2108" t="s">
        <v>4766</v>
      </c>
      <c r="D2108">
        <v>3.65</v>
      </c>
      <c r="E2108" s="208">
        <v>43422</v>
      </c>
      <c r="F2108" t="s">
        <v>8471</v>
      </c>
      <c r="G2108" t="s">
        <v>4768</v>
      </c>
    </row>
    <row r="2109" spans="1:7">
      <c r="A2109" t="s">
        <v>8947</v>
      </c>
      <c r="B2109" t="s">
        <v>8948</v>
      </c>
      <c r="C2109" t="s">
        <v>4766</v>
      </c>
      <c r="D2109">
        <v>26.552</v>
      </c>
      <c r="E2109" s="208">
        <v>43422</v>
      </c>
      <c r="F2109" t="s">
        <v>8471</v>
      </c>
      <c r="G2109" t="s">
        <v>4768</v>
      </c>
    </row>
    <row r="2110" spans="1:7">
      <c r="A2110" t="s">
        <v>8949</v>
      </c>
      <c r="B2110" t="s">
        <v>8950</v>
      </c>
      <c r="C2110" t="s">
        <v>4766</v>
      </c>
      <c r="D2110">
        <v>114.29</v>
      </c>
      <c r="E2110" s="208">
        <v>43420</v>
      </c>
      <c r="F2110" t="s">
        <v>8934</v>
      </c>
      <c r="G2110" t="s">
        <v>4768</v>
      </c>
    </row>
    <row r="2111" spans="1:7">
      <c r="A2111" t="s">
        <v>8951</v>
      </c>
      <c r="B2111" t="s">
        <v>8952</v>
      </c>
      <c r="C2111" t="s">
        <v>4766</v>
      </c>
      <c r="D2111">
        <v>10.84</v>
      </c>
      <c r="E2111" s="208">
        <v>43420</v>
      </c>
      <c r="F2111" t="s">
        <v>8934</v>
      </c>
      <c r="G2111" t="s">
        <v>4768</v>
      </c>
    </row>
    <row r="2112" spans="1:7">
      <c r="A2112" t="s">
        <v>8953</v>
      </c>
      <c r="B2112" t="s">
        <v>8954</v>
      </c>
      <c r="C2112" t="s">
        <v>4766</v>
      </c>
      <c r="D2112">
        <v>10.9</v>
      </c>
      <c r="E2112" s="208">
        <v>43420</v>
      </c>
      <c r="F2112" t="s">
        <v>8934</v>
      </c>
      <c r="G2112" t="s">
        <v>4768</v>
      </c>
    </row>
    <row r="2113" spans="1:7">
      <c r="A2113" t="s">
        <v>8955</v>
      </c>
      <c r="B2113" t="s">
        <v>8956</v>
      </c>
      <c r="C2113" t="s">
        <v>4766</v>
      </c>
      <c r="D2113">
        <v>5.81</v>
      </c>
      <c r="E2113" s="208">
        <v>43420</v>
      </c>
      <c r="F2113" t="s">
        <v>8934</v>
      </c>
      <c r="G2113" t="s">
        <v>4768</v>
      </c>
    </row>
    <row r="2114" spans="1:7">
      <c r="A2114" t="s">
        <v>8957</v>
      </c>
      <c r="B2114" t="s">
        <v>8958</v>
      </c>
      <c r="C2114" t="s">
        <v>4766</v>
      </c>
      <c r="D2114">
        <v>7.22</v>
      </c>
      <c r="E2114" s="208">
        <v>43420</v>
      </c>
      <c r="F2114" t="s">
        <v>8934</v>
      </c>
      <c r="G2114" t="s">
        <v>4768</v>
      </c>
    </row>
    <row r="2115" spans="1:7">
      <c r="A2115" t="s">
        <v>8959</v>
      </c>
      <c r="B2115" t="s">
        <v>8960</v>
      </c>
      <c r="C2115" t="s">
        <v>4766</v>
      </c>
      <c r="D2115">
        <v>9.89</v>
      </c>
      <c r="E2115" s="208">
        <v>43420</v>
      </c>
      <c r="F2115" t="s">
        <v>8934</v>
      </c>
      <c r="G2115" t="s">
        <v>4768</v>
      </c>
    </row>
    <row r="2116" spans="1:7">
      <c r="A2116" t="s">
        <v>8961</v>
      </c>
      <c r="B2116" t="s">
        <v>8962</v>
      </c>
      <c r="C2116" t="s">
        <v>4766</v>
      </c>
      <c r="D2116">
        <v>16.63</v>
      </c>
      <c r="E2116" s="208">
        <v>43420</v>
      </c>
      <c r="F2116" t="s">
        <v>8934</v>
      </c>
      <c r="G2116" t="s">
        <v>4768</v>
      </c>
    </row>
    <row r="2117" spans="1:7">
      <c r="A2117" t="s">
        <v>8963</v>
      </c>
      <c r="B2117" t="s">
        <v>8964</v>
      </c>
      <c r="C2117" t="s">
        <v>4884</v>
      </c>
      <c r="D2117">
        <v>67</v>
      </c>
      <c r="E2117" s="208">
        <v>43413</v>
      </c>
      <c r="F2117" t="s">
        <v>4772</v>
      </c>
      <c r="G2117" t="s">
        <v>4768</v>
      </c>
    </row>
    <row r="2118" spans="1:7">
      <c r="A2118" t="s">
        <v>8965</v>
      </c>
      <c r="B2118" t="s">
        <v>8966</v>
      </c>
      <c r="C2118" t="s">
        <v>6613</v>
      </c>
      <c r="D2118">
        <v>571.9</v>
      </c>
      <c r="E2118" s="208">
        <v>43412</v>
      </c>
      <c r="F2118" t="s">
        <v>4772</v>
      </c>
      <c r="G2118" t="s">
        <v>4768</v>
      </c>
    </row>
    <row r="2119" spans="1:7">
      <c r="A2119" t="s">
        <v>8967</v>
      </c>
      <c r="B2119" t="s">
        <v>8968</v>
      </c>
      <c r="C2119" t="s">
        <v>4806</v>
      </c>
      <c r="D2119">
        <v>26.95</v>
      </c>
      <c r="E2119" s="208">
        <v>43411</v>
      </c>
      <c r="F2119" t="s">
        <v>8602</v>
      </c>
      <c r="G2119" t="s">
        <v>4768</v>
      </c>
    </row>
    <row r="2120" spans="1:7">
      <c r="A2120" t="s">
        <v>8969</v>
      </c>
      <c r="B2120" t="s">
        <v>8970</v>
      </c>
      <c r="C2120" t="s">
        <v>4775</v>
      </c>
      <c r="D2120">
        <v>21.5</v>
      </c>
      <c r="E2120" s="208">
        <v>43410</v>
      </c>
      <c r="F2120" t="s">
        <v>4767</v>
      </c>
      <c r="G2120" t="s">
        <v>4768</v>
      </c>
    </row>
    <row r="2121" spans="1:7">
      <c r="A2121" t="s">
        <v>8971</v>
      </c>
      <c r="B2121" t="s">
        <v>8972</v>
      </c>
      <c r="C2121" t="s">
        <v>4775</v>
      </c>
      <c r="D2121">
        <v>25.5</v>
      </c>
      <c r="E2121" s="208">
        <v>43410</v>
      </c>
      <c r="F2121" t="s">
        <v>4767</v>
      </c>
      <c r="G2121" t="s">
        <v>4768</v>
      </c>
    </row>
    <row r="2122" spans="1:7">
      <c r="A2122" t="s">
        <v>8973</v>
      </c>
      <c r="B2122" t="s">
        <v>8974</v>
      </c>
      <c r="C2122" t="s">
        <v>4766</v>
      </c>
      <c r="D2122">
        <v>85</v>
      </c>
      <c r="E2122" s="208">
        <v>43410</v>
      </c>
      <c r="F2122" t="s">
        <v>4877</v>
      </c>
      <c r="G2122" t="s">
        <v>4768</v>
      </c>
    </row>
    <row r="2123" spans="1:7">
      <c r="A2123" t="s">
        <v>8975</v>
      </c>
      <c r="B2123" t="s">
        <v>8976</v>
      </c>
      <c r="C2123" t="s">
        <v>4766</v>
      </c>
      <c r="D2123">
        <v>10.65</v>
      </c>
      <c r="E2123" s="208">
        <v>43406</v>
      </c>
      <c r="F2123" t="s">
        <v>8977</v>
      </c>
      <c r="G2123" t="s">
        <v>4768</v>
      </c>
    </row>
    <row r="2124" spans="1:7">
      <c r="A2124" t="s">
        <v>8978</v>
      </c>
      <c r="B2124" t="s">
        <v>8979</v>
      </c>
      <c r="C2124" t="s">
        <v>6613</v>
      </c>
      <c r="D2124">
        <v>524.44000000000005</v>
      </c>
      <c r="E2124" s="208">
        <v>43405</v>
      </c>
      <c r="F2124" t="s">
        <v>4804</v>
      </c>
      <c r="G2124" t="s">
        <v>4768</v>
      </c>
    </row>
    <row r="2125" spans="1:7">
      <c r="A2125" t="s">
        <v>8980</v>
      </c>
      <c r="B2125" t="s">
        <v>8981</v>
      </c>
      <c r="C2125" t="s">
        <v>4766</v>
      </c>
      <c r="D2125">
        <v>2.25</v>
      </c>
      <c r="E2125" s="208">
        <v>43404</v>
      </c>
      <c r="F2125" t="s">
        <v>8934</v>
      </c>
      <c r="G2125" t="s">
        <v>4768</v>
      </c>
    </row>
    <row r="2126" spans="1:7">
      <c r="A2126" t="s">
        <v>8982</v>
      </c>
      <c r="B2126" t="s">
        <v>8983</v>
      </c>
      <c r="C2126" t="s">
        <v>4766</v>
      </c>
      <c r="D2126">
        <v>2.74</v>
      </c>
      <c r="E2126" s="208">
        <v>43404</v>
      </c>
      <c r="F2126" t="s">
        <v>8934</v>
      </c>
      <c r="G2126" t="s">
        <v>4768</v>
      </c>
    </row>
    <row r="2127" spans="1:7">
      <c r="A2127" t="s">
        <v>8984</v>
      </c>
      <c r="B2127" t="s">
        <v>8985</v>
      </c>
      <c r="C2127" t="s">
        <v>4766</v>
      </c>
      <c r="D2127">
        <v>15.06</v>
      </c>
      <c r="E2127" s="208">
        <v>43404</v>
      </c>
      <c r="F2127" t="s">
        <v>8934</v>
      </c>
      <c r="G2127" t="s">
        <v>4768</v>
      </c>
    </row>
    <row r="2128" spans="1:7">
      <c r="A2128" t="s">
        <v>8986</v>
      </c>
      <c r="B2128" t="s">
        <v>8987</v>
      </c>
      <c r="C2128" t="s">
        <v>8326</v>
      </c>
      <c r="D2128">
        <v>385.5</v>
      </c>
      <c r="E2128" s="208">
        <v>43404</v>
      </c>
      <c r="F2128" t="s">
        <v>6516</v>
      </c>
      <c r="G2128" t="s">
        <v>4768</v>
      </c>
    </row>
    <row r="2129" spans="1:7">
      <c r="A2129" t="s">
        <v>8988</v>
      </c>
      <c r="B2129" t="s">
        <v>8989</v>
      </c>
      <c r="C2129" t="s">
        <v>4766</v>
      </c>
      <c r="D2129">
        <v>104.33</v>
      </c>
      <c r="E2129" s="208">
        <v>43402</v>
      </c>
      <c r="F2129" t="s">
        <v>8799</v>
      </c>
      <c r="G2129" t="s">
        <v>4768</v>
      </c>
    </row>
    <row r="2130" spans="1:7">
      <c r="A2130" t="s">
        <v>8990</v>
      </c>
      <c r="B2130" t="s">
        <v>8991</v>
      </c>
      <c r="C2130" t="s">
        <v>6331</v>
      </c>
      <c r="D2130">
        <v>67</v>
      </c>
      <c r="E2130" s="208">
        <v>43402</v>
      </c>
      <c r="F2130" t="s">
        <v>4772</v>
      </c>
      <c r="G2130" t="s">
        <v>4768</v>
      </c>
    </row>
    <row r="2131" spans="1:7">
      <c r="A2131" t="s">
        <v>8992</v>
      </c>
      <c r="B2131" t="s">
        <v>8993</v>
      </c>
      <c r="C2131" t="s">
        <v>4766</v>
      </c>
      <c r="D2131">
        <v>49.5</v>
      </c>
      <c r="E2131" s="208">
        <v>43402</v>
      </c>
      <c r="F2131" t="s">
        <v>8799</v>
      </c>
      <c r="G2131" t="s">
        <v>4768</v>
      </c>
    </row>
    <row r="2132" spans="1:7">
      <c r="A2132" t="s">
        <v>8994</v>
      </c>
      <c r="B2132" t="s">
        <v>8995</v>
      </c>
      <c r="C2132" t="s">
        <v>4806</v>
      </c>
      <c r="D2132">
        <v>44.64</v>
      </c>
      <c r="E2132" s="208">
        <v>43402</v>
      </c>
      <c r="F2132" t="s">
        <v>4772</v>
      </c>
      <c r="G2132" t="s">
        <v>4768</v>
      </c>
    </row>
    <row r="2133" spans="1:7">
      <c r="A2133" t="s">
        <v>8996</v>
      </c>
      <c r="B2133" t="s">
        <v>8997</v>
      </c>
      <c r="C2133" t="s">
        <v>8326</v>
      </c>
      <c r="D2133">
        <v>316</v>
      </c>
      <c r="E2133" s="208">
        <v>43399</v>
      </c>
      <c r="F2133" t="s">
        <v>6516</v>
      </c>
      <c r="G2133" t="s">
        <v>4768</v>
      </c>
    </row>
    <row r="2134" spans="1:7">
      <c r="A2134" t="s">
        <v>8998</v>
      </c>
      <c r="B2134" t="s">
        <v>8999</v>
      </c>
      <c r="C2134" t="s">
        <v>4845</v>
      </c>
      <c r="D2134">
        <v>18.600000000000001</v>
      </c>
      <c r="E2134" s="208">
        <v>43396</v>
      </c>
      <c r="F2134" t="s">
        <v>4772</v>
      </c>
      <c r="G2134" t="s">
        <v>4768</v>
      </c>
    </row>
    <row r="2135" spans="1:7">
      <c r="A2135" t="s">
        <v>9000</v>
      </c>
      <c r="B2135" t="s">
        <v>9001</v>
      </c>
      <c r="C2135" t="s">
        <v>4766</v>
      </c>
      <c r="D2135">
        <v>517</v>
      </c>
      <c r="E2135" s="208">
        <v>43395</v>
      </c>
      <c r="F2135" t="s">
        <v>6516</v>
      </c>
      <c r="G2135" t="s">
        <v>4768</v>
      </c>
    </row>
    <row r="2136" spans="1:7">
      <c r="A2136" t="s">
        <v>9002</v>
      </c>
      <c r="B2136" t="s">
        <v>9003</v>
      </c>
      <c r="C2136" t="s">
        <v>4766</v>
      </c>
      <c r="D2136">
        <v>200.64</v>
      </c>
      <c r="E2136" s="208">
        <v>43392</v>
      </c>
      <c r="F2136" t="s">
        <v>9004</v>
      </c>
      <c r="G2136" t="s">
        <v>4768</v>
      </c>
    </row>
    <row r="2137" spans="1:7">
      <c r="A2137" t="s">
        <v>9005</v>
      </c>
      <c r="B2137" t="s">
        <v>9006</v>
      </c>
      <c r="C2137" t="s">
        <v>4766</v>
      </c>
      <c r="D2137">
        <v>14</v>
      </c>
      <c r="E2137" s="208">
        <v>43390</v>
      </c>
      <c r="F2137" t="s">
        <v>4832</v>
      </c>
      <c r="G2137" t="s">
        <v>4768</v>
      </c>
    </row>
    <row r="2138" spans="1:7">
      <c r="A2138" t="s">
        <v>9007</v>
      </c>
      <c r="B2138" t="s">
        <v>9008</v>
      </c>
      <c r="C2138" t="s">
        <v>4795</v>
      </c>
      <c r="D2138">
        <v>3.33</v>
      </c>
      <c r="E2138" s="208">
        <v>43390</v>
      </c>
      <c r="F2138" t="s">
        <v>8386</v>
      </c>
      <c r="G2138" t="s">
        <v>4768</v>
      </c>
    </row>
    <row r="2139" spans="1:7">
      <c r="A2139" t="s">
        <v>9009</v>
      </c>
      <c r="B2139" t="s">
        <v>9010</v>
      </c>
      <c r="C2139" t="s">
        <v>4766</v>
      </c>
      <c r="D2139">
        <v>9.85</v>
      </c>
      <c r="E2139" s="208">
        <v>43389</v>
      </c>
      <c r="F2139" t="s">
        <v>8197</v>
      </c>
      <c r="G2139" t="s">
        <v>4768</v>
      </c>
    </row>
    <row r="2140" spans="1:7">
      <c r="A2140" t="s">
        <v>9011</v>
      </c>
      <c r="B2140" t="s">
        <v>9012</v>
      </c>
      <c r="C2140" t="s">
        <v>4845</v>
      </c>
      <c r="D2140">
        <v>21.8</v>
      </c>
      <c r="E2140" s="208">
        <v>43385</v>
      </c>
      <c r="F2140" t="s">
        <v>4767</v>
      </c>
      <c r="G2140" t="s">
        <v>4768</v>
      </c>
    </row>
    <row r="2141" spans="1:7">
      <c r="A2141" t="s">
        <v>9013</v>
      </c>
      <c r="B2141" t="s">
        <v>9014</v>
      </c>
      <c r="C2141" t="s">
        <v>4766</v>
      </c>
      <c r="D2141">
        <v>235</v>
      </c>
      <c r="E2141" s="208">
        <v>43383</v>
      </c>
      <c r="F2141" t="s">
        <v>4832</v>
      </c>
      <c r="G2141" t="s">
        <v>4768</v>
      </c>
    </row>
    <row r="2142" spans="1:7">
      <c r="A2142" t="s">
        <v>9015</v>
      </c>
      <c r="B2142" t="s">
        <v>9016</v>
      </c>
      <c r="C2142" t="s">
        <v>4766</v>
      </c>
      <c r="D2142">
        <v>600</v>
      </c>
      <c r="E2142" s="208">
        <v>43383</v>
      </c>
      <c r="F2142" t="s">
        <v>4832</v>
      </c>
      <c r="G2142" t="s">
        <v>4768</v>
      </c>
    </row>
    <row r="2143" spans="1:7">
      <c r="A2143" t="s">
        <v>9017</v>
      </c>
      <c r="B2143" t="s">
        <v>9018</v>
      </c>
      <c r="C2143" t="s">
        <v>4766</v>
      </c>
      <c r="D2143">
        <v>129.27000000000001</v>
      </c>
      <c r="E2143" s="208">
        <v>43383</v>
      </c>
      <c r="F2143" t="s">
        <v>4832</v>
      </c>
      <c r="G2143" t="s">
        <v>4768</v>
      </c>
    </row>
    <row r="2144" spans="1:7">
      <c r="A2144" t="s">
        <v>9019</v>
      </c>
      <c r="B2144" t="s">
        <v>9020</v>
      </c>
      <c r="C2144" t="s">
        <v>4795</v>
      </c>
      <c r="D2144">
        <v>16.989999999999998</v>
      </c>
      <c r="E2144" s="208">
        <v>43382</v>
      </c>
      <c r="F2144" t="s">
        <v>4832</v>
      </c>
      <c r="G2144" t="s">
        <v>4768</v>
      </c>
    </row>
    <row r="2145" spans="1:7">
      <c r="A2145" t="s">
        <v>9021</v>
      </c>
      <c r="B2145" t="s">
        <v>9022</v>
      </c>
      <c r="C2145" t="s">
        <v>5089</v>
      </c>
      <c r="D2145">
        <v>32.950000000000003</v>
      </c>
      <c r="E2145" s="208">
        <v>43378</v>
      </c>
      <c r="F2145" t="s">
        <v>4767</v>
      </c>
      <c r="G2145" t="s">
        <v>4768</v>
      </c>
    </row>
    <row r="2146" spans="1:7">
      <c r="A2146" t="s">
        <v>9023</v>
      </c>
      <c r="B2146" t="s">
        <v>9024</v>
      </c>
      <c r="C2146" t="s">
        <v>5286</v>
      </c>
      <c r="D2146">
        <v>22.13</v>
      </c>
      <c r="E2146" s="208">
        <v>43377</v>
      </c>
      <c r="F2146" t="s">
        <v>4767</v>
      </c>
      <c r="G2146" t="s">
        <v>4768</v>
      </c>
    </row>
    <row r="2147" spans="1:7">
      <c r="A2147" t="s">
        <v>9025</v>
      </c>
      <c r="B2147" t="s">
        <v>8960</v>
      </c>
      <c r="C2147" t="s">
        <v>4766</v>
      </c>
      <c r="D2147">
        <v>9.89</v>
      </c>
      <c r="E2147" s="208">
        <v>43377</v>
      </c>
      <c r="F2147" t="s">
        <v>8934</v>
      </c>
      <c r="G2147" t="s">
        <v>4768</v>
      </c>
    </row>
    <row r="2148" spans="1:7">
      <c r="A2148" t="s">
        <v>9026</v>
      </c>
      <c r="B2148" t="s">
        <v>9027</v>
      </c>
      <c r="C2148" t="s">
        <v>4766</v>
      </c>
      <c r="D2148">
        <v>145</v>
      </c>
      <c r="E2148" s="208">
        <v>43376</v>
      </c>
      <c r="F2148" t="s">
        <v>6534</v>
      </c>
      <c r="G2148" t="s">
        <v>4768</v>
      </c>
    </row>
    <row r="2149" spans="1:7">
      <c r="A2149" t="s">
        <v>9028</v>
      </c>
      <c r="B2149" t="s">
        <v>9029</v>
      </c>
      <c r="C2149" t="s">
        <v>4835</v>
      </c>
      <c r="D2149">
        <v>103.35</v>
      </c>
      <c r="E2149" s="208">
        <v>43369</v>
      </c>
      <c r="F2149" t="s">
        <v>4767</v>
      </c>
      <c r="G2149" t="s">
        <v>4768</v>
      </c>
    </row>
    <row r="2150" spans="1:7">
      <c r="A2150" t="s">
        <v>9030</v>
      </c>
      <c r="B2150" t="s">
        <v>9031</v>
      </c>
      <c r="C2150" t="s">
        <v>4845</v>
      </c>
      <c r="D2150">
        <v>10.220000000000001</v>
      </c>
      <c r="E2150" s="208">
        <v>43367</v>
      </c>
      <c r="F2150" t="s">
        <v>4767</v>
      </c>
      <c r="G2150" t="s">
        <v>4768</v>
      </c>
    </row>
    <row r="2151" spans="1:7">
      <c r="A2151" t="s">
        <v>9032</v>
      </c>
      <c r="B2151" t="s">
        <v>9033</v>
      </c>
      <c r="C2151" t="s">
        <v>4795</v>
      </c>
      <c r="D2151">
        <v>123.5</v>
      </c>
      <c r="E2151" s="208">
        <v>43367</v>
      </c>
      <c r="F2151" t="s">
        <v>6516</v>
      </c>
      <c r="G2151" t="s">
        <v>4768</v>
      </c>
    </row>
    <row r="2152" spans="1:7">
      <c r="A2152" t="s">
        <v>9034</v>
      </c>
      <c r="B2152" t="s">
        <v>9035</v>
      </c>
      <c r="C2152" t="s">
        <v>4884</v>
      </c>
      <c r="D2152">
        <v>195</v>
      </c>
      <c r="E2152" s="208">
        <v>43364</v>
      </c>
      <c r="F2152" t="s">
        <v>4767</v>
      </c>
      <c r="G2152" t="s">
        <v>4768</v>
      </c>
    </row>
    <row r="2153" spans="1:7">
      <c r="A2153" t="s">
        <v>9036</v>
      </c>
      <c r="B2153" t="s">
        <v>9037</v>
      </c>
      <c r="C2153" t="s">
        <v>4831</v>
      </c>
      <c r="D2153">
        <v>170.04</v>
      </c>
      <c r="E2153" s="208">
        <v>43362</v>
      </c>
      <c r="F2153" t="s">
        <v>4832</v>
      </c>
      <c r="G2153" t="s">
        <v>4768</v>
      </c>
    </row>
    <row r="2154" spans="1:7">
      <c r="A2154" t="s">
        <v>9038</v>
      </c>
      <c r="B2154" t="s">
        <v>9039</v>
      </c>
      <c r="C2154" t="s">
        <v>4835</v>
      </c>
      <c r="D2154">
        <v>111.8</v>
      </c>
      <c r="E2154" s="208">
        <v>43362</v>
      </c>
      <c r="F2154" t="s">
        <v>4767</v>
      </c>
      <c r="G2154" t="s">
        <v>4768</v>
      </c>
    </row>
    <row r="2155" spans="1:7">
      <c r="A2155" t="s">
        <v>9040</v>
      </c>
      <c r="B2155" t="s">
        <v>9041</v>
      </c>
      <c r="C2155" t="s">
        <v>4835</v>
      </c>
      <c r="D2155">
        <v>162.46</v>
      </c>
      <c r="E2155" s="208">
        <v>43361</v>
      </c>
      <c r="F2155" t="s">
        <v>4804</v>
      </c>
      <c r="G2155" t="s">
        <v>4768</v>
      </c>
    </row>
    <row r="2156" spans="1:7">
      <c r="A2156" t="s">
        <v>9042</v>
      </c>
      <c r="B2156" t="s">
        <v>9043</v>
      </c>
      <c r="C2156" t="s">
        <v>4766</v>
      </c>
      <c r="D2156">
        <v>0.24</v>
      </c>
      <c r="E2156" s="208">
        <v>43361</v>
      </c>
      <c r="F2156" t="s">
        <v>8386</v>
      </c>
      <c r="G2156" t="s">
        <v>4768</v>
      </c>
    </row>
    <row r="2157" spans="1:7">
      <c r="A2157" t="s">
        <v>9044</v>
      </c>
      <c r="B2157" t="s">
        <v>9045</v>
      </c>
      <c r="C2157" t="s">
        <v>4884</v>
      </c>
      <c r="D2157">
        <v>288</v>
      </c>
      <c r="E2157" s="208">
        <v>43360</v>
      </c>
      <c r="F2157" t="s">
        <v>6516</v>
      </c>
      <c r="G2157" t="s">
        <v>4768</v>
      </c>
    </row>
    <row r="2158" spans="1:7">
      <c r="A2158" t="s">
        <v>9046</v>
      </c>
      <c r="B2158" t="s">
        <v>9047</v>
      </c>
      <c r="C2158" t="s">
        <v>4766</v>
      </c>
      <c r="D2158">
        <v>7.99</v>
      </c>
      <c r="E2158" s="208">
        <v>43358</v>
      </c>
      <c r="F2158" t="s">
        <v>6534</v>
      </c>
      <c r="G2158" t="s">
        <v>4768</v>
      </c>
    </row>
    <row r="2159" spans="1:7">
      <c r="A2159" t="s">
        <v>9048</v>
      </c>
      <c r="B2159" t="s">
        <v>9049</v>
      </c>
      <c r="C2159" t="s">
        <v>4766</v>
      </c>
      <c r="D2159">
        <v>6.77</v>
      </c>
      <c r="E2159" s="208">
        <v>43358</v>
      </c>
      <c r="F2159" t="s">
        <v>6534</v>
      </c>
      <c r="G2159" t="s">
        <v>4768</v>
      </c>
    </row>
    <row r="2160" spans="1:7">
      <c r="A2160" t="s">
        <v>9050</v>
      </c>
      <c r="B2160" t="s">
        <v>9051</v>
      </c>
      <c r="C2160" t="s">
        <v>4771</v>
      </c>
      <c r="D2160">
        <v>57.5</v>
      </c>
      <c r="E2160" s="208">
        <v>43357</v>
      </c>
      <c r="F2160" t="s">
        <v>8494</v>
      </c>
      <c r="G2160" t="s">
        <v>4768</v>
      </c>
    </row>
    <row r="2161" spans="1:7">
      <c r="A2161" t="s">
        <v>9052</v>
      </c>
      <c r="B2161" t="s">
        <v>9053</v>
      </c>
      <c r="C2161" t="s">
        <v>4766</v>
      </c>
      <c r="D2161">
        <v>21.14</v>
      </c>
      <c r="E2161" s="208">
        <v>43356</v>
      </c>
      <c r="F2161" t="s">
        <v>4832</v>
      </c>
      <c r="G2161" t="s">
        <v>4768</v>
      </c>
    </row>
    <row r="2162" spans="1:7">
      <c r="A2162" t="s">
        <v>9054</v>
      </c>
      <c r="B2162" t="s">
        <v>9055</v>
      </c>
      <c r="C2162" t="s">
        <v>4831</v>
      </c>
      <c r="D2162">
        <v>18.739999999999998</v>
      </c>
      <c r="E2162" s="208">
        <v>43356</v>
      </c>
      <c r="F2162" t="s">
        <v>8386</v>
      </c>
      <c r="G2162" t="s">
        <v>4768</v>
      </c>
    </row>
    <row r="2163" spans="1:7">
      <c r="A2163" t="s">
        <v>9056</v>
      </c>
      <c r="B2163" t="s">
        <v>9057</v>
      </c>
      <c r="C2163" t="s">
        <v>4806</v>
      </c>
      <c r="D2163">
        <v>17</v>
      </c>
      <c r="E2163" s="208">
        <v>43353</v>
      </c>
      <c r="F2163" t="s">
        <v>4877</v>
      </c>
      <c r="G2163" t="s">
        <v>4768</v>
      </c>
    </row>
    <row r="2164" spans="1:7">
      <c r="A2164" t="s">
        <v>9058</v>
      </c>
      <c r="B2164" t="s">
        <v>9059</v>
      </c>
      <c r="C2164" t="s">
        <v>4766</v>
      </c>
      <c r="D2164">
        <v>99.99</v>
      </c>
      <c r="E2164" s="208">
        <v>43340</v>
      </c>
      <c r="F2164" t="s">
        <v>9060</v>
      </c>
      <c r="G2164" t="s">
        <v>4768</v>
      </c>
    </row>
    <row r="2165" spans="1:7">
      <c r="A2165" t="s">
        <v>9061</v>
      </c>
      <c r="B2165" t="s">
        <v>9062</v>
      </c>
      <c r="C2165" t="s">
        <v>4884</v>
      </c>
      <c r="D2165">
        <v>185.5</v>
      </c>
      <c r="E2165" s="208">
        <v>43335</v>
      </c>
      <c r="F2165" t="s">
        <v>7862</v>
      </c>
      <c r="G2165" t="s">
        <v>4768</v>
      </c>
    </row>
    <row r="2166" spans="1:7">
      <c r="A2166" t="s">
        <v>9063</v>
      </c>
      <c r="B2166" t="s">
        <v>9064</v>
      </c>
      <c r="C2166" t="s">
        <v>4920</v>
      </c>
      <c r="D2166">
        <v>74.2</v>
      </c>
      <c r="E2166" s="208">
        <v>43335</v>
      </c>
      <c r="F2166" t="s">
        <v>7862</v>
      </c>
      <c r="G2166" t="s">
        <v>4768</v>
      </c>
    </row>
    <row r="2167" spans="1:7">
      <c r="A2167" t="s">
        <v>9065</v>
      </c>
      <c r="B2167" t="s">
        <v>9066</v>
      </c>
      <c r="C2167" t="s">
        <v>4884</v>
      </c>
      <c r="D2167">
        <v>245.92</v>
      </c>
      <c r="E2167" s="208">
        <v>43335</v>
      </c>
      <c r="F2167" t="s">
        <v>7862</v>
      </c>
      <c r="G2167" t="s">
        <v>4768</v>
      </c>
    </row>
    <row r="2168" spans="1:7">
      <c r="A2168" t="s">
        <v>9067</v>
      </c>
      <c r="B2168" t="s">
        <v>9068</v>
      </c>
      <c r="C2168" t="s">
        <v>562</v>
      </c>
      <c r="D2168">
        <v>108.29</v>
      </c>
      <c r="E2168" s="208">
        <v>43335</v>
      </c>
      <c r="F2168" t="s">
        <v>4804</v>
      </c>
      <c r="G2168" t="s">
        <v>4768</v>
      </c>
    </row>
    <row r="2169" spans="1:7">
      <c r="A2169" t="s">
        <v>9069</v>
      </c>
      <c r="B2169" t="s">
        <v>9070</v>
      </c>
      <c r="C2169" t="s">
        <v>4920</v>
      </c>
      <c r="D2169">
        <v>59.05</v>
      </c>
      <c r="E2169" s="208">
        <v>43335</v>
      </c>
      <c r="F2169" t="s">
        <v>8834</v>
      </c>
      <c r="G2169" t="s">
        <v>4768</v>
      </c>
    </row>
    <row r="2170" spans="1:7">
      <c r="A2170" t="s">
        <v>9071</v>
      </c>
      <c r="B2170" t="s">
        <v>9072</v>
      </c>
      <c r="C2170" t="s">
        <v>4845</v>
      </c>
      <c r="D2170">
        <v>7.65</v>
      </c>
      <c r="E2170" s="208">
        <v>43334</v>
      </c>
      <c r="F2170" t="s">
        <v>4767</v>
      </c>
      <c r="G2170" t="s">
        <v>4768</v>
      </c>
    </row>
    <row r="2171" spans="1:7">
      <c r="A2171" t="s">
        <v>9073</v>
      </c>
      <c r="B2171" t="s">
        <v>9074</v>
      </c>
      <c r="C2171" t="s">
        <v>4803</v>
      </c>
      <c r="D2171">
        <v>36.86</v>
      </c>
      <c r="E2171" s="208">
        <v>43333</v>
      </c>
      <c r="F2171" t="s">
        <v>9075</v>
      </c>
      <c r="G2171" t="s">
        <v>4768</v>
      </c>
    </row>
    <row r="2172" spans="1:7">
      <c r="A2172" t="s">
        <v>9076</v>
      </c>
      <c r="B2172" t="s">
        <v>9077</v>
      </c>
      <c r="C2172" t="s">
        <v>8326</v>
      </c>
      <c r="D2172">
        <v>374</v>
      </c>
      <c r="E2172" s="208">
        <v>43332</v>
      </c>
      <c r="F2172" t="s">
        <v>9078</v>
      </c>
      <c r="G2172" t="s">
        <v>4768</v>
      </c>
    </row>
    <row r="2173" spans="1:7">
      <c r="A2173" t="s">
        <v>9079</v>
      </c>
      <c r="B2173" t="s">
        <v>9080</v>
      </c>
      <c r="C2173" t="s">
        <v>4845</v>
      </c>
      <c r="D2173">
        <v>19.55</v>
      </c>
      <c r="E2173" s="208">
        <v>43329</v>
      </c>
      <c r="F2173" t="s">
        <v>4767</v>
      </c>
      <c r="G2173" t="s">
        <v>4768</v>
      </c>
    </row>
    <row r="2174" spans="1:7">
      <c r="A2174" t="s">
        <v>9081</v>
      </c>
      <c r="B2174" t="s">
        <v>9082</v>
      </c>
      <c r="C2174" t="s">
        <v>562</v>
      </c>
      <c r="D2174">
        <v>135.41999999999999</v>
      </c>
      <c r="E2174" s="208">
        <v>43327</v>
      </c>
      <c r="F2174" t="s">
        <v>4804</v>
      </c>
      <c r="G2174" t="s">
        <v>4768</v>
      </c>
    </row>
    <row r="2175" spans="1:7">
      <c r="A2175" t="s">
        <v>9083</v>
      </c>
      <c r="B2175" t="s">
        <v>9084</v>
      </c>
      <c r="C2175" t="s">
        <v>4962</v>
      </c>
      <c r="D2175">
        <v>33</v>
      </c>
      <c r="E2175" s="208">
        <v>43327</v>
      </c>
      <c r="F2175" t="s">
        <v>4772</v>
      </c>
      <c r="G2175" t="s">
        <v>4768</v>
      </c>
    </row>
    <row r="2176" spans="1:7">
      <c r="A2176" t="s">
        <v>9085</v>
      </c>
      <c r="B2176" t="s">
        <v>9086</v>
      </c>
      <c r="C2176" t="s">
        <v>4831</v>
      </c>
      <c r="D2176">
        <v>19.03</v>
      </c>
      <c r="E2176" s="208">
        <v>43325</v>
      </c>
      <c r="F2176" t="s">
        <v>4832</v>
      </c>
      <c r="G2176" t="s">
        <v>4768</v>
      </c>
    </row>
    <row r="2177" spans="1:7">
      <c r="A2177" t="s">
        <v>9087</v>
      </c>
      <c r="B2177" t="s">
        <v>9088</v>
      </c>
      <c r="C2177" t="s">
        <v>4766</v>
      </c>
      <c r="D2177">
        <v>180.36</v>
      </c>
      <c r="E2177" s="208">
        <v>43321</v>
      </c>
      <c r="F2177" t="s">
        <v>9089</v>
      </c>
      <c r="G2177" t="s">
        <v>4768</v>
      </c>
    </row>
    <row r="2178" spans="1:7">
      <c r="A2178" t="s">
        <v>9090</v>
      </c>
      <c r="B2178" t="s">
        <v>9091</v>
      </c>
      <c r="C2178" t="s">
        <v>4766</v>
      </c>
      <c r="D2178">
        <v>16.157</v>
      </c>
      <c r="E2178" s="208">
        <v>43319</v>
      </c>
      <c r="F2178" t="s">
        <v>8934</v>
      </c>
      <c r="G2178" t="s">
        <v>4768</v>
      </c>
    </row>
    <row r="2179" spans="1:7">
      <c r="A2179" t="s">
        <v>9092</v>
      </c>
      <c r="B2179" t="s">
        <v>9093</v>
      </c>
      <c r="C2179" t="s">
        <v>562</v>
      </c>
      <c r="D2179">
        <v>34.4</v>
      </c>
      <c r="E2179" s="208">
        <v>43315</v>
      </c>
      <c r="F2179" t="s">
        <v>4767</v>
      </c>
      <c r="G2179" t="s">
        <v>4768</v>
      </c>
    </row>
    <row r="2180" spans="1:7">
      <c r="A2180" t="s">
        <v>9094</v>
      </c>
      <c r="B2180" t="s">
        <v>9095</v>
      </c>
      <c r="C2180" t="s">
        <v>4766</v>
      </c>
      <c r="D2180">
        <v>735</v>
      </c>
      <c r="E2180" s="208">
        <v>43314</v>
      </c>
      <c r="F2180" t="s">
        <v>8934</v>
      </c>
      <c r="G2180" t="s">
        <v>4768</v>
      </c>
    </row>
    <row r="2181" spans="1:7">
      <c r="A2181" t="s">
        <v>9096</v>
      </c>
      <c r="B2181" t="s">
        <v>9097</v>
      </c>
      <c r="C2181" t="s">
        <v>4766</v>
      </c>
      <c r="D2181">
        <v>2.89</v>
      </c>
      <c r="E2181" s="208">
        <v>43314</v>
      </c>
      <c r="F2181" t="s">
        <v>8934</v>
      </c>
      <c r="G2181" t="s">
        <v>4768</v>
      </c>
    </row>
    <row r="2182" spans="1:7">
      <c r="A2182" t="s">
        <v>9098</v>
      </c>
      <c r="B2182" t="s">
        <v>9099</v>
      </c>
      <c r="C2182" t="s">
        <v>4806</v>
      </c>
      <c r="D2182">
        <v>73</v>
      </c>
      <c r="E2182" s="208">
        <v>43312</v>
      </c>
      <c r="F2182" t="s">
        <v>4877</v>
      </c>
      <c r="G2182" t="s">
        <v>4768</v>
      </c>
    </row>
    <row r="2183" spans="1:7">
      <c r="A2183" t="s">
        <v>9100</v>
      </c>
      <c r="B2183" t="s">
        <v>9101</v>
      </c>
      <c r="C2183" t="s">
        <v>4884</v>
      </c>
      <c r="D2183">
        <v>33.840000000000003</v>
      </c>
      <c r="E2183" s="208">
        <v>43308</v>
      </c>
      <c r="F2183" t="s">
        <v>9060</v>
      </c>
      <c r="G2183" t="s">
        <v>4768</v>
      </c>
    </row>
    <row r="2184" spans="1:7">
      <c r="A2184" t="s">
        <v>9102</v>
      </c>
      <c r="B2184" t="s">
        <v>9103</v>
      </c>
      <c r="C2184" t="s">
        <v>4766</v>
      </c>
      <c r="D2184">
        <v>99.5</v>
      </c>
      <c r="E2184" s="208">
        <v>43307</v>
      </c>
      <c r="F2184" t="s">
        <v>4772</v>
      </c>
      <c r="G2184" t="s">
        <v>4768</v>
      </c>
    </row>
    <row r="2185" spans="1:7">
      <c r="A2185" t="s">
        <v>9104</v>
      </c>
      <c r="B2185" t="s">
        <v>9105</v>
      </c>
      <c r="C2185" t="s">
        <v>4806</v>
      </c>
      <c r="D2185">
        <v>23.1</v>
      </c>
      <c r="E2185" s="208">
        <v>43306</v>
      </c>
      <c r="F2185" t="s">
        <v>4877</v>
      </c>
      <c r="G2185" t="s">
        <v>4768</v>
      </c>
    </row>
    <row r="2186" spans="1:7">
      <c r="A2186" t="s">
        <v>9106</v>
      </c>
      <c r="B2186" t="s">
        <v>9107</v>
      </c>
      <c r="C2186" t="s">
        <v>4766</v>
      </c>
      <c r="D2186">
        <v>35.979999999999997</v>
      </c>
      <c r="E2186" s="208">
        <v>43305</v>
      </c>
      <c r="F2186" t="s">
        <v>4767</v>
      </c>
      <c r="G2186" t="s">
        <v>4768</v>
      </c>
    </row>
    <row r="2187" spans="1:7">
      <c r="A2187" t="s">
        <v>9108</v>
      </c>
      <c r="B2187" t="s">
        <v>9109</v>
      </c>
      <c r="C2187" t="s">
        <v>4766</v>
      </c>
      <c r="D2187">
        <v>21.55</v>
      </c>
      <c r="E2187" s="208">
        <v>43305</v>
      </c>
      <c r="F2187" t="s">
        <v>8934</v>
      </c>
      <c r="G2187" t="s">
        <v>4768</v>
      </c>
    </row>
    <row r="2188" spans="1:7">
      <c r="A2188" t="s">
        <v>9110</v>
      </c>
      <c r="B2188" t="s">
        <v>9111</v>
      </c>
      <c r="C2188" t="s">
        <v>4766</v>
      </c>
      <c r="D2188">
        <v>9.1</v>
      </c>
      <c r="E2188" s="208">
        <v>43305</v>
      </c>
      <c r="F2188" t="s">
        <v>8934</v>
      </c>
      <c r="G2188" t="s">
        <v>4768</v>
      </c>
    </row>
    <row r="2189" spans="1:7">
      <c r="A2189" t="s">
        <v>9112</v>
      </c>
      <c r="B2189" t="s">
        <v>9113</v>
      </c>
      <c r="C2189" t="s">
        <v>4766</v>
      </c>
      <c r="D2189">
        <v>30.39</v>
      </c>
      <c r="E2189" s="208">
        <v>43305</v>
      </c>
      <c r="F2189" t="s">
        <v>8934</v>
      </c>
      <c r="G2189" t="s">
        <v>4768</v>
      </c>
    </row>
    <row r="2190" spans="1:7">
      <c r="A2190" t="s">
        <v>9114</v>
      </c>
      <c r="B2190" t="s">
        <v>9115</v>
      </c>
      <c r="C2190" t="s">
        <v>4766</v>
      </c>
      <c r="D2190">
        <v>6.83</v>
      </c>
      <c r="E2190" s="208">
        <v>43305</v>
      </c>
      <c r="F2190" t="s">
        <v>8934</v>
      </c>
      <c r="G2190" t="s">
        <v>4768</v>
      </c>
    </row>
    <row r="2191" spans="1:7">
      <c r="A2191" t="s">
        <v>9116</v>
      </c>
      <c r="B2191" t="s">
        <v>9117</v>
      </c>
      <c r="C2191" t="s">
        <v>4766</v>
      </c>
      <c r="D2191">
        <v>1.31</v>
      </c>
      <c r="E2191" s="208">
        <v>43305</v>
      </c>
      <c r="F2191" t="s">
        <v>8934</v>
      </c>
      <c r="G2191" t="s">
        <v>4768</v>
      </c>
    </row>
    <row r="2192" spans="1:7">
      <c r="A2192" t="s">
        <v>9118</v>
      </c>
      <c r="B2192" t="s">
        <v>9119</v>
      </c>
      <c r="C2192" t="s">
        <v>4766</v>
      </c>
      <c r="D2192">
        <v>9.07</v>
      </c>
      <c r="E2192" s="208">
        <v>43305</v>
      </c>
      <c r="F2192" t="s">
        <v>8934</v>
      </c>
      <c r="G2192" t="s">
        <v>4768</v>
      </c>
    </row>
    <row r="2193" spans="1:7">
      <c r="A2193" t="s">
        <v>9120</v>
      </c>
      <c r="B2193" t="s">
        <v>9121</v>
      </c>
      <c r="C2193" t="s">
        <v>4766</v>
      </c>
      <c r="D2193">
        <v>1.06</v>
      </c>
      <c r="E2193" s="208">
        <v>43300</v>
      </c>
      <c r="F2193" t="s">
        <v>8386</v>
      </c>
      <c r="G2193" t="s">
        <v>4768</v>
      </c>
    </row>
    <row r="2194" spans="1:7">
      <c r="A2194" t="s">
        <v>9122</v>
      </c>
      <c r="B2194" t="s">
        <v>9123</v>
      </c>
      <c r="C2194" t="s">
        <v>4766</v>
      </c>
      <c r="D2194">
        <v>1.06</v>
      </c>
      <c r="E2194" s="208">
        <v>43300</v>
      </c>
      <c r="F2194" t="s">
        <v>8386</v>
      </c>
      <c r="G2194" t="s">
        <v>4768</v>
      </c>
    </row>
    <row r="2195" spans="1:7">
      <c r="A2195" t="s">
        <v>9124</v>
      </c>
      <c r="B2195" t="s">
        <v>9125</v>
      </c>
      <c r="C2195" t="s">
        <v>4766</v>
      </c>
      <c r="D2195">
        <v>1.45</v>
      </c>
      <c r="E2195" s="208">
        <v>43300</v>
      </c>
      <c r="F2195" t="s">
        <v>8386</v>
      </c>
      <c r="G2195" t="s">
        <v>4768</v>
      </c>
    </row>
    <row r="2196" spans="1:7">
      <c r="A2196" t="s">
        <v>9126</v>
      </c>
      <c r="B2196" t="s">
        <v>9127</v>
      </c>
      <c r="C2196" t="s">
        <v>4766</v>
      </c>
      <c r="D2196">
        <v>27.29</v>
      </c>
      <c r="E2196" s="208">
        <v>43298</v>
      </c>
      <c r="F2196" t="s">
        <v>4832</v>
      </c>
      <c r="G2196" t="s">
        <v>4768</v>
      </c>
    </row>
    <row r="2197" spans="1:7">
      <c r="A2197" t="s">
        <v>9128</v>
      </c>
      <c r="B2197" t="s">
        <v>9129</v>
      </c>
      <c r="C2197" t="s">
        <v>4845</v>
      </c>
      <c r="D2197">
        <v>11.99</v>
      </c>
      <c r="E2197" s="208">
        <v>43297</v>
      </c>
      <c r="F2197" t="s">
        <v>4767</v>
      </c>
      <c r="G2197" t="s">
        <v>4768</v>
      </c>
    </row>
    <row r="2198" spans="1:7">
      <c r="A2198" t="s">
        <v>9130</v>
      </c>
      <c r="B2198" t="s">
        <v>9131</v>
      </c>
      <c r="C2198" t="s">
        <v>4766</v>
      </c>
      <c r="D2198">
        <v>0.98</v>
      </c>
      <c r="E2198" s="208">
        <v>43297</v>
      </c>
      <c r="F2198" t="s">
        <v>4832</v>
      </c>
      <c r="G2198" t="s">
        <v>4768</v>
      </c>
    </row>
    <row r="2199" spans="1:7">
      <c r="A2199" t="s">
        <v>9132</v>
      </c>
      <c r="B2199" t="s">
        <v>9133</v>
      </c>
      <c r="C2199" t="s">
        <v>4845</v>
      </c>
      <c r="D2199">
        <v>19.5</v>
      </c>
      <c r="E2199" s="208">
        <v>43294</v>
      </c>
      <c r="F2199" t="s">
        <v>4772</v>
      </c>
      <c r="G2199" t="s">
        <v>4768</v>
      </c>
    </row>
    <row r="2200" spans="1:7">
      <c r="A2200" t="s">
        <v>9134</v>
      </c>
      <c r="B2200" t="s">
        <v>9135</v>
      </c>
      <c r="C2200" t="s">
        <v>5089</v>
      </c>
      <c r="D2200">
        <v>23.5</v>
      </c>
      <c r="E2200" s="208">
        <v>43294</v>
      </c>
      <c r="F2200" t="s">
        <v>4772</v>
      </c>
      <c r="G2200" t="s">
        <v>4768</v>
      </c>
    </row>
    <row r="2201" spans="1:7">
      <c r="A2201" t="s">
        <v>9136</v>
      </c>
      <c r="B2201" t="s">
        <v>9137</v>
      </c>
      <c r="C2201" t="s">
        <v>4766</v>
      </c>
      <c r="D2201">
        <v>334.94</v>
      </c>
      <c r="E2201" s="208">
        <v>43293</v>
      </c>
      <c r="F2201" t="s">
        <v>9138</v>
      </c>
      <c r="G2201" t="s">
        <v>4768</v>
      </c>
    </row>
    <row r="2202" spans="1:7">
      <c r="A2202" t="s">
        <v>9139</v>
      </c>
      <c r="B2202" t="s">
        <v>9140</v>
      </c>
      <c r="C2202" t="s">
        <v>6866</v>
      </c>
      <c r="D2202">
        <v>78.56</v>
      </c>
      <c r="E2202" s="208">
        <v>43293</v>
      </c>
      <c r="F2202" t="s">
        <v>8386</v>
      </c>
      <c r="G2202" t="s">
        <v>4768</v>
      </c>
    </row>
    <row r="2203" spans="1:7">
      <c r="A2203" t="s">
        <v>9141</v>
      </c>
      <c r="B2203" t="s">
        <v>9142</v>
      </c>
      <c r="C2203" t="s">
        <v>4766</v>
      </c>
      <c r="D2203">
        <v>155.75</v>
      </c>
      <c r="E2203" s="208">
        <v>43292</v>
      </c>
      <c r="F2203" t="s">
        <v>4881</v>
      </c>
      <c r="G2203" t="s">
        <v>4768</v>
      </c>
    </row>
    <row r="2204" spans="1:7">
      <c r="A2204" t="s">
        <v>9143</v>
      </c>
      <c r="B2204" t="s">
        <v>9144</v>
      </c>
      <c r="C2204" t="s">
        <v>4766</v>
      </c>
      <c r="D2204">
        <v>127.75</v>
      </c>
      <c r="E2204" s="208">
        <v>43292</v>
      </c>
      <c r="F2204" t="s">
        <v>4881</v>
      </c>
      <c r="G2204" t="s">
        <v>4768</v>
      </c>
    </row>
    <row r="2205" spans="1:7">
      <c r="A2205" t="s">
        <v>9145</v>
      </c>
      <c r="B2205" t="s">
        <v>9146</v>
      </c>
      <c r="C2205" t="s">
        <v>4766</v>
      </c>
      <c r="D2205">
        <v>98.06</v>
      </c>
      <c r="E2205" s="208">
        <v>43292</v>
      </c>
      <c r="F2205" t="s">
        <v>4881</v>
      </c>
      <c r="G2205" t="s">
        <v>4768</v>
      </c>
    </row>
    <row r="2206" spans="1:7">
      <c r="A2206" t="s">
        <v>9147</v>
      </c>
      <c r="B2206" t="s">
        <v>9148</v>
      </c>
      <c r="C2206" t="s">
        <v>4888</v>
      </c>
      <c r="D2206">
        <v>91.72</v>
      </c>
      <c r="E2206" s="208">
        <v>43292</v>
      </c>
      <c r="F2206" t="s">
        <v>4832</v>
      </c>
      <c r="G2206" t="s">
        <v>4768</v>
      </c>
    </row>
    <row r="2207" spans="1:7">
      <c r="A2207" t="s">
        <v>9149</v>
      </c>
      <c r="B2207" t="s">
        <v>9150</v>
      </c>
      <c r="C2207" t="s">
        <v>5286</v>
      </c>
      <c r="D2207">
        <v>49.88</v>
      </c>
      <c r="E2207" s="208">
        <v>43290</v>
      </c>
      <c r="F2207" t="s">
        <v>4885</v>
      </c>
      <c r="G2207" t="s">
        <v>4768</v>
      </c>
    </row>
    <row r="2208" spans="1:7">
      <c r="A2208" t="s">
        <v>9151</v>
      </c>
      <c r="B2208" t="s">
        <v>9152</v>
      </c>
      <c r="C2208" t="s">
        <v>4766</v>
      </c>
      <c r="D2208">
        <v>199.99</v>
      </c>
      <c r="E2208" s="208">
        <v>43287</v>
      </c>
      <c r="F2208" t="s">
        <v>8509</v>
      </c>
      <c r="G2208" t="s">
        <v>4768</v>
      </c>
    </row>
    <row r="2209" spans="1:7">
      <c r="A2209" t="s">
        <v>9153</v>
      </c>
      <c r="B2209" t="s">
        <v>9154</v>
      </c>
      <c r="C2209" t="s">
        <v>4795</v>
      </c>
      <c r="D2209">
        <v>199</v>
      </c>
      <c r="E2209" s="208">
        <v>43286</v>
      </c>
      <c r="F2209" t="s">
        <v>4877</v>
      </c>
      <c r="G2209" t="s">
        <v>4768</v>
      </c>
    </row>
    <row r="2210" spans="1:7">
      <c r="A2210" t="s">
        <v>9155</v>
      </c>
      <c r="B2210" t="s">
        <v>9156</v>
      </c>
      <c r="C2210" t="s">
        <v>4766</v>
      </c>
      <c r="D2210">
        <v>0.8</v>
      </c>
      <c r="E2210" s="208">
        <v>43285</v>
      </c>
      <c r="F2210" t="s">
        <v>4772</v>
      </c>
      <c r="G2210" t="s">
        <v>4768</v>
      </c>
    </row>
    <row r="2211" spans="1:7">
      <c r="A2211" t="s">
        <v>9157</v>
      </c>
      <c r="B2211" t="s">
        <v>9158</v>
      </c>
      <c r="C2211" t="s">
        <v>4766</v>
      </c>
      <c r="D2211">
        <v>361</v>
      </c>
      <c r="E2211" s="208">
        <v>43284</v>
      </c>
      <c r="F2211" t="s">
        <v>4772</v>
      </c>
      <c r="G2211" t="s">
        <v>4768</v>
      </c>
    </row>
    <row r="2212" spans="1:7">
      <c r="A2212" t="s">
        <v>9159</v>
      </c>
      <c r="B2212" t="s">
        <v>9160</v>
      </c>
      <c r="C2212" t="s">
        <v>4766</v>
      </c>
      <c r="D2212">
        <v>216.37</v>
      </c>
      <c r="E2212" s="208">
        <v>43280</v>
      </c>
      <c r="F2212" t="s">
        <v>8799</v>
      </c>
      <c r="G2212" t="s">
        <v>4768</v>
      </c>
    </row>
    <row r="2213" spans="1:7">
      <c r="A2213" t="s">
        <v>9161</v>
      </c>
      <c r="B2213" t="s">
        <v>9162</v>
      </c>
      <c r="C2213" t="s">
        <v>4766</v>
      </c>
      <c r="D2213">
        <v>20.94</v>
      </c>
      <c r="E2213" s="208">
        <v>43280</v>
      </c>
      <c r="F2213" t="s">
        <v>8799</v>
      </c>
      <c r="G2213" t="s">
        <v>4768</v>
      </c>
    </row>
    <row r="2214" spans="1:7">
      <c r="A2214" t="s">
        <v>9163</v>
      </c>
      <c r="B2214" t="s">
        <v>9164</v>
      </c>
      <c r="C2214" t="s">
        <v>4766</v>
      </c>
      <c r="D2214">
        <v>4.0999999999999996</v>
      </c>
      <c r="E2214" s="208">
        <v>43280</v>
      </c>
      <c r="F2214" t="s">
        <v>4832</v>
      </c>
      <c r="G2214" t="s">
        <v>4768</v>
      </c>
    </row>
    <row r="2215" spans="1:7">
      <c r="A2215" t="s">
        <v>9165</v>
      </c>
      <c r="B2215" t="s">
        <v>9166</v>
      </c>
      <c r="C2215" t="s">
        <v>4766</v>
      </c>
      <c r="D2215">
        <v>2</v>
      </c>
      <c r="E2215" s="208">
        <v>43273</v>
      </c>
      <c r="F2215" t="s">
        <v>4832</v>
      </c>
      <c r="G2215" t="s">
        <v>4768</v>
      </c>
    </row>
    <row r="2216" spans="1:7">
      <c r="A2216" t="s">
        <v>9167</v>
      </c>
      <c r="B2216" t="s">
        <v>9168</v>
      </c>
      <c r="C2216" t="s">
        <v>4766</v>
      </c>
      <c r="D2216">
        <v>7.83</v>
      </c>
      <c r="E2216" s="208">
        <v>43273</v>
      </c>
      <c r="F2216" t="s">
        <v>8386</v>
      </c>
      <c r="G2216" t="s">
        <v>4768</v>
      </c>
    </row>
    <row r="2217" spans="1:7">
      <c r="A2217" t="s">
        <v>9169</v>
      </c>
      <c r="B2217" t="s">
        <v>9170</v>
      </c>
      <c r="C2217" t="s">
        <v>5286</v>
      </c>
      <c r="D2217">
        <v>79.92</v>
      </c>
      <c r="E2217" s="208">
        <v>43273</v>
      </c>
      <c r="F2217" t="s">
        <v>4885</v>
      </c>
      <c r="G2217" t="s">
        <v>4768</v>
      </c>
    </row>
    <row r="2218" spans="1:7">
      <c r="A2218" t="s">
        <v>9171</v>
      </c>
      <c r="B2218" t="s">
        <v>9172</v>
      </c>
      <c r="C2218" t="s">
        <v>4803</v>
      </c>
      <c r="D2218">
        <v>94.75</v>
      </c>
      <c r="E2218" s="208">
        <v>43272</v>
      </c>
      <c r="F2218" t="s">
        <v>4772</v>
      </c>
      <c r="G2218" t="s">
        <v>4768</v>
      </c>
    </row>
    <row r="2219" spans="1:7">
      <c r="A2219" t="s">
        <v>9173</v>
      </c>
      <c r="B2219" t="s">
        <v>9174</v>
      </c>
      <c r="C2219" t="s">
        <v>4766</v>
      </c>
      <c r="D2219">
        <v>13.29</v>
      </c>
      <c r="E2219" s="208">
        <v>43272</v>
      </c>
      <c r="F2219" t="s">
        <v>8386</v>
      </c>
      <c r="G2219" t="s">
        <v>4768</v>
      </c>
    </row>
    <row r="2220" spans="1:7">
      <c r="A2220" t="s">
        <v>9175</v>
      </c>
      <c r="B2220" t="s">
        <v>9176</v>
      </c>
      <c r="C2220" t="s">
        <v>4835</v>
      </c>
      <c r="D2220">
        <v>199.5</v>
      </c>
      <c r="E2220" s="208">
        <v>43272</v>
      </c>
      <c r="F2220" t="s">
        <v>4772</v>
      </c>
      <c r="G2220" t="s">
        <v>4768</v>
      </c>
    </row>
    <row r="2221" spans="1:7">
      <c r="A2221" t="s">
        <v>9177</v>
      </c>
      <c r="B2221" t="s">
        <v>9178</v>
      </c>
      <c r="C2221" t="s">
        <v>4766</v>
      </c>
      <c r="D2221">
        <v>16.97</v>
      </c>
      <c r="E2221" s="208">
        <v>43265</v>
      </c>
      <c r="F2221" t="s">
        <v>8386</v>
      </c>
      <c r="G2221" t="s">
        <v>4768</v>
      </c>
    </row>
    <row r="2222" spans="1:7">
      <c r="A2222" t="s">
        <v>9179</v>
      </c>
      <c r="B2222" t="s">
        <v>9180</v>
      </c>
      <c r="C2222" t="s">
        <v>4766</v>
      </c>
      <c r="D2222">
        <v>74.959999999999994</v>
      </c>
      <c r="E2222" s="208">
        <v>43263</v>
      </c>
      <c r="F2222" t="s">
        <v>6534</v>
      </c>
      <c r="G2222" t="s">
        <v>4768</v>
      </c>
    </row>
    <row r="2223" spans="1:7">
      <c r="A2223" t="s">
        <v>9181</v>
      </c>
      <c r="B2223" t="s">
        <v>9182</v>
      </c>
      <c r="C2223" t="s">
        <v>4766</v>
      </c>
      <c r="D2223">
        <v>379.99</v>
      </c>
      <c r="E2223" s="208">
        <v>43262</v>
      </c>
      <c r="F2223" t="s">
        <v>4767</v>
      </c>
      <c r="G2223" t="s">
        <v>4768</v>
      </c>
    </row>
    <row r="2224" spans="1:7">
      <c r="A2224" t="s">
        <v>9183</v>
      </c>
      <c r="B2224" t="s">
        <v>9184</v>
      </c>
      <c r="C2224" t="s">
        <v>562</v>
      </c>
      <c r="D2224">
        <v>140.28</v>
      </c>
      <c r="E2224" s="208">
        <v>43257</v>
      </c>
      <c r="F2224" t="s">
        <v>4804</v>
      </c>
      <c r="G2224" t="s">
        <v>4768</v>
      </c>
    </row>
    <row r="2225" spans="1:7">
      <c r="A2225" t="s">
        <v>9185</v>
      </c>
      <c r="B2225" t="s">
        <v>9186</v>
      </c>
      <c r="C2225" t="s">
        <v>4806</v>
      </c>
      <c r="D2225">
        <v>21.77</v>
      </c>
      <c r="E2225" s="208">
        <v>43256</v>
      </c>
      <c r="F2225" t="s">
        <v>4804</v>
      </c>
      <c r="G2225" t="s">
        <v>4768</v>
      </c>
    </row>
    <row r="2226" spans="1:7">
      <c r="A2226" t="s">
        <v>9187</v>
      </c>
      <c r="B2226" t="s">
        <v>9188</v>
      </c>
      <c r="C2226" t="s">
        <v>4806</v>
      </c>
      <c r="D2226">
        <v>21.77</v>
      </c>
      <c r="E2226" s="208">
        <v>43256</v>
      </c>
      <c r="F2226" t="s">
        <v>4804</v>
      </c>
      <c r="G2226" t="s">
        <v>4768</v>
      </c>
    </row>
    <row r="2227" spans="1:7">
      <c r="A2227" t="s">
        <v>9189</v>
      </c>
      <c r="B2227" t="s">
        <v>9190</v>
      </c>
      <c r="C2227" t="s">
        <v>4766</v>
      </c>
      <c r="D2227">
        <v>49</v>
      </c>
      <c r="E2227" s="208">
        <v>43252</v>
      </c>
      <c r="F2227" t="s">
        <v>4832</v>
      </c>
      <c r="G2227" t="s">
        <v>4768</v>
      </c>
    </row>
    <row r="2228" spans="1:7">
      <c r="A2228" t="s">
        <v>9191</v>
      </c>
      <c r="B2228" t="s">
        <v>9192</v>
      </c>
      <c r="C2228" t="s">
        <v>4766</v>
      </c>
      <c r="D2228">
        <v>11.32</v>
      </c>
      <c r="E2228" s="208">
        <v>43252</v>
      </c>
      <c r="F2228" t="s">
        <v>7862</v>
      </c>
      <c r="G2228" t="s">
        <v>4768</v>
      </c>
    </row>
    <row r="2229" spans="1:7">
      <c r="A2229" t="s">
        <v>9193</v>
      </c>
      <c r="B2229" t="s">
        <v>9194</v>
      </c>
      <c r="C2229" t="s">
        <v>4766</v>
      </c>
      <c r="D2229">
        <v>75.44</v>
      </c>
      <c r="E2229" s="208">
        <v>43252</v>
      </c>
      <c r="F2229" t="s">
        <v>7862</v>
      </c>
      <c r="G2229" t="s">
        <v>4768</v>
      </c>
    </row>
    <row r="2230" spans="1:7">
      <c r="A2230" t="s">
        <v>9195</v>
      </c>
      <c r="B2230" t="s">
        <v>9196</v>
      </c>
      <c r="C2230" t="s">
        <v>4766</v>
      </c>
      <c r="D2230">
        <v>189.74</v>
      </c>
      <c r="E2230" s="208">
        <v>43252</v>
      </c>
      <c r="F2230" t="s">
        <v>7862</v>
      </c>
      <c r="G2230" t="s">
        <v>4768</v>
      </c>
    </row>
    <row r="2231" spans="1:7">
      <c r="A2231" t="s">
        <v>9197</v>
      </c>
      <c r="B2231" t="s">
        <v>9198</v>
      </c>
      <c r="C2231" t="s">
        <v>4766</v>
      </c>
      <c r="D2231">
        <v>202.26</v>
      </c>
      <c r="E2231" s="208">
        <v>43252</v>
      </c>
      <c r="F2231" t="s">
        <v>7862</v>
      </c>
      <c r="G2231" t="s">
        <v>4768</v>
      </c>
    </row>
    <row r="2232" spans="1:7">
      <c r="A2232" t="s">
        <v>9199</v>
      </c>
      <c r="B2232" t="s">
        <v>9200</v>
      </c>
      <c r="C2232" t="s">
        <v>4766</v>
      </c>
      <c r="D2232">
        <v>123.91</v>
      </c>
      <c r="E2232" s="208">
        <v>43252</v>
      </c>
      <c r="F2232" t="s">
        <v>7862</v>
      </c>
      <c r="G2232" t="s">
        <v>4768</v>
      </c>
    </row>
    <row r="2233" spans="1:7">
      <c r="A2233" t="s">
        <v>9201</v>
      </c>
      <c r="B2233" t="s">
        <v>9202</v>
      </c>
      <c r="C2233" t="s">
        <v>4766</v>
      </c>
      <c r="D2233">
        <v>60.84</v>
      </c>
      <c r="E2233" s="208">
        <v>43252</v>
      </c>
      <c r="F2233" t="s">
        <v>7862</v>
      </c>
      <c r="G2233" t="s">
        <v>4768</v>
      </c>
    </row>
    <row r="2234" spans="1:7">
      <c r="A2234" t="s">
        <v>9203</v>
      </c>
      <c r="B2234" t="s">
        <v>9204</v>
      </c>
      <c r="C2234" t="s">
        <v>4884</v>
      </c>
      <c r="D2234">
        <v>203.52</v>
      </c>
      <c r="E2234" s="208">
        <v>43252</v>
      </c>
      <c r="F2234" t="s">
        <v>7862</v>
      </c>
      <c r="G2234" t="s">
        <v>4768</v>
      </c>
    </row>
    <row r="2235" spans="1:7">
      <c r="A2235" t="s">
        <v>9205</v>
      </c>
      <c r="B2235" t="s">
        <v>9206</v>
      </c>
      <c r="C2235" t="s">
        <v>4803</v>
      </c>
      <c r="D2235">
        <v>8.11</v>
      </c>
      <c r="E2235" s="208">
        <v>43252</v>
      </c>
      <c r="F2235" t="s">
        <v>7862</v>
      </c>
      <c r="G2235" t="s">
        <v>4768</v>
      </c>
    </row>
    <row r="2236" spans="1:7">
      <c r="A2236" t="s">
        <v>9207</v>
      </c>
      <c r="B2236" t="s">
        <v>9208</v>
      </c>
      <c r="C2236" t="s">
        <v>4803</v>
      </c>
      <c r="D2236">
        <v>15.41</v>
      </c>
      <c r="E2236" s="208">
        <v>43252</v>
      </c>
      <c r="F2236" t="s">
        <v>7862</v>
      </c>
      <c r="G2236" t="s">
        <v>4768</v>
      </c>
    </row>
    <row r="2237" spans="1:7">
      <c r="A2237" t="s">
        <v>9209</v>
      </c>
      <c r="B2237" t="s">
        <v>9210</v>
      </c>
      <c r="C2237" t="s">
        <v>4766</v>
      </c>
      <c r="D2237">
        <v>4.0599999999999996</v>
      </c>
      <c r="E2237" s="208">
        <v>43249</v>
      </c>
      <c r="F2237" t="s">
        <v>8386</v>
      </c>
      <c r="G2237" t="s">
        <v>4768</v>
      </c>
    </row>
    <row r="2238" spans="1:7">
      <c r="A2238" t="s">
        <v>9211</v>
      </c>
      <c r="B2238" t="s">
        <v>9212</v>
      </c>
      <c r="C2238" t="s">
        <v>4766</v>
      </c>
      <c r="D2238">
        <v>18.5</v>
      </c>
      <c r="E2238" s="208">
        <v>43249</v>
      </c>
      <c r="F2238" t="s">
        <v>8471</v>
      </c>
      <c r="G2238" t="s">
        <v>4768</v>
      </c>
    </row>
    <row r="2239" spans="1:7">
      <c r="A2239" t="s">
        <v>9213</v>
      </c>
      <c r="B2239" t="s">
        <v>9214</v>
      </c>
      <c r="C2239" t="s">
        <v>4766</v>
      </c>
      <c r="D2239">
        <v>10.6</v>
      </c>
      <c r="E2239" s="208">
        <v>43249</v>
      </c>
      <c r="F2239" t="s">
        <v>8471</v>
      </c>
      <c r="G2239" t="s">
        <v>4768</v>
      </c>
    </row>
    <row r="2240" spans="1:7">
      <c r="A2240" t="s">
        <v>9215</v>
      </c>
      <c r="B2240" t="s">
        <v>9216</v>
      </c>
      <c r="C2240" t="s">
        <v>4766</v>
      </c>
      <c r="D2240">
        <v>6.72</v>
      </c>
      <c r="E2240" s="208">
        <v>43249</v>
      </c>
      <c r="F2240" t="s">
        <v>8471</v>
      </c>
      <c r="G2240" t="s">
        <v>4768</v>
      </c>
    </row>
    <row r="2241" spans="1:7">
      <c r="A2241" t="s">
        <v>9217</v>
      </c>
      <c r="B2241" t="s">
        <v>7791</v>
      </c>
      <c r="C2241" t="s">
        <v>4795</v>
      </c>
      <c r="D2241">
        <v>6.39</v>
      </c>
      <c r="E2241" s="208">
        <v>43242</v>
      </c>
      <c r="F2241" t="s">
        <v>8386</v>
      </c>
      <c r="G2241" t="s">
        <v>4768</v>
      </c>
    </row>
    <row r="2242" spans="1:7">
      <c r="A2242" t="s">
        <v>9218</v>
      </c>
      <c r="B2242" t="s">
        <v>9219</v>
      </c>
      <c r="C2242" t="s">
        <v>4806</v>
      </c>
      <c r="D2242">
        <v>26.4</v>
      </c>
      <c r="E2242" s="208">
        <v>43237</v>
      </c>
      <c r="F2242" t="s">
        <v>8602</v>
      </c>
      <c r="G2242" t="s">
        <v>4768</v>
      </c>
    </row>
    <row r="2243" spans="1:7">
      <c r="A2243" t="s">
        <v>9220</v>
      </c>
      <c r="B2243" t="s">
        <v>9221</v>
      </c>
      <c r="C2243" t="s">
        <v>4766</v>
      </c>
      <c r="D2243">
        <v>23.75</v>
      </c>
      <c r="E2243" s="208">
        <v>43236</v>
      </c>
      <c r="F2243" t="s">
        <v>4832</v>
      </c>
      <c r="G2243" t="s">
        <v>4768</v>
      </c>
    </row>
    <row r="2244" spans="1:7">
      <c r="A2244" t="s">
        <v>9222</v>
      </c>
      <c r="B2244" t="s">
        <v>9223</v>
      </c>
      <c r="C2244" t="s">
        <v>4766</v>
      </c>
      <c r="D2244">
        <v>0.76</v>
      </c>
      <c r="E2244" s="208">
        <v>43231</v>
      </c>
      <c r="F2244" t="s">
        <v>8386</v>
      </c>
      <c r="G2244" t="s">
        <v>4768</v>
      </c>
    </row>
    <row r="2245" spans="1:7">
      <c r="A2245" t="s">
        <v>9224</v>
      </c>
      <c r="B2245" t="s">
        <v>9225</v>
      </c>
      <c r="C2245" t="s">
        <v>4766</v>
      </c>
      <c r="D2245">
        <v>7.5</v>
      </c>
      <c r="E2245" s="208">
        <v>43228</v>
      </c>
      <c r="F2245" t="s">
        <v>8386</v>
      </c>
      <c r="G2245" t="s">
        <v>4768</v>
      </c>
    </row>
    <row r="2246" spans="1:7">
      <c r="A2246" t="s">
        <v>9226</v>
      </c>
      <c r="B2246" t="s">
        <v>9227</v>
      </c>
      <c r="C2246" t="s">
        <v>4845</v>
      </c>
      <c r="D2246">
        <v>107.99</v>
      </c>
      <c r="E2246" s="208">
        <v>43224</v>
      </c>
      <c r="F2246" t="s">
        <v>4767</v>
      </c>
      <c r="G2246" t="s">
        <v>4768</v>
      </c>
    </row>
    <row r="2247" spans="1:7">
      <c r="A2247" t="s">
        <v>9228</v>
      </c>
      <c r="B2247" t="s">
        <v>9229</v>
      </c>
      <c r="C2247" t="s">
        <v>4766</v>
      </c>
      <c r="D2247">
        <v>5.22</v>
      </c>
      <c r="E2247" s="208">
        <v>43224</v>
      </c>
      <c r="F2247" t="s">
        <v>8386</v>
      </c>
      <c r="G2247" t="s">
        <v>4768</v>
      </c>
    </row>
    <row r="2248" spans="1:7">
      <c r="A2248" t="s">
        <v>9230</v>
      </c>
      <c r="B2248" t="s">
        <v>9231</v>
      </c>
      <c r="C2248" t="s">
        <v>4766</v>
      </c>
      <c r="D2248">
        <v>1.66</v>
      </c>
      <c r="E2248" s="208">
        <v>43223</v>
      </c>
      <c r="F2248" t="s">
        <v>9232</v>
      </c>
      <c r="G2248" t="s">
        <v>4768</v>
      </c>
    </row>
    <row r="2249" spans="1:7">
      <c r="A2249" t="s">
        <v>9233</v>
      </c>
      <c r="B2249" t="s">
        <v>9234</v>
      </c>
      <c r="C2249" t="s">
        <v>9235</v>
      </c>
      <c r="D2249">
        <v>12.36</v>
      </c>
      <c r="E2249" s="208">
        <v>43217</v>
      </c>
      <c r="F2249" t="s">
        <v>4804</v>
      </c>
      <c r="G2249" t="s">
        <v>4768</v>
      </c>
    </row>
    <row r="2250" spans="1:7">
      <c r="A2250" t="s">
        <v>9236</v>
      </c>
      <c r="B2250" t="s">
        <v>9237</v>
      </c>
      <c r="C2250" t="s">
        <v>4766</v>
      </c>
      <c r="D2250">
        <v>14.95</v>
      </c>
      <c r="E2250" s="208">
        <v>43215</v>
      </c>
      <c r="F2250" t="s">
        <v>4832</v>
      </c>
      <c r="G2250" t="s">
        <v>4768</v>
      </c>
    </row>
    <row r="2251" spans="1:7">
      <c r="A2251" t="s">
        <v>9238</v>
      </c>
      <c r="B2251" t="s">
        <v>9239</v>
      </c>
      <c r="C2251" t="s">
        <v>4766</v>
      </c>
      <c r="D2251">
        <v>12.34</v>
      </c>
      <c r="E2251" s="208">
        <v>43215</v>
      </c>
      <c r="F2251" t="s">
        <v>4832</v>
      </c>
      <c r="G2251" t="s">
        <v>4768</v>
      </c>
    </row>
    <row r="2252" spans="1:7">
      <c r="A2252" t="s">
        <v>9240</v>
      </c>
      <c r="B2252" t="s">
        <v>9241</v>
      </c>
      <c r="C2252" t="s">
        <v>4766</v>
      </c>
      <c r="D2252">
        <v>36.659999999999997</v>
      </c>
      <c r="E2252" s="208">
        <v>43213</v>
      </c>
      <c r="F2252" t="s">
        <v>4881</v>
      </c>
      <c r="G2252" t="s">
        <v>4768</v>
      </c>
    </row>
    <row r="2253" spans="1:7">
      <c r="A2253" t="s">
        <v>9242</v>
      </c>
      <c r="B2253" t="s">
        <v>9243</v>
      </c>
      <c r="C2253" t="s">
        <v>4803</v>
      </c>
      <c r="D2253">
        <v>287.89999999999998</v>
      </c>
      <c r="E2253" s="208">
        <v>43213</v>
      </c>
      <c r="F2253" t="s">
        <v>4772</v>
      </c>
      <c r="G2253" t="s">
        <v>4768</v>
      </c>
    </row>
    <row r="2254" spans="1:7">
      <c r="A2254" t="s">
        <v>9244</v>
      </c>
      <c r="B2254" t="s">
        <v>9245</v>
      </c>
      <c r="C2254" t="s">
        <v>4766</v>
      </c>
      <c r="D2254">
        <v>23.75</v>
      </c>
      <c r="E2254" s="208">
        <v>43210</v>
      </c>
      <c r="F2254" t="s">
        <v>8386</v>
      </c>
      <c r="G2254" t="s">
        <v>4768</v>
      </c>
    </row>
    <row r="2255" spans="1:7">
      <c r="A2255" t="s">
        <v>9246</v>
      </c>
      <c r="B2255" t="s">
        <v>9247</v>
      </c>
      <c r="C2255" t="s">
        <v>4766</v>
      </c>
      <c r="D2255">
        <v>225</v>
      </c>
      <c r="E2255" s="208">
        <v>43200</v>
      </c>
      <c r="F2255" t="s">
        <v>4804</v>
      </c>
      <c r="G2255" t="s">
        <v>4768</v>
      </c>
    </row>
    <row r="2256" spans="1:7">
      <c r="A2256" t="s">
        <v>9248</v>
      </c>
      <c r="B2256" t="s">
        <v>9249</v>
      </c>
      <c r="C2256" t="s">
        <v>4766</v>
      </c>
      <c r="D2256">
        <v>124.86</v>
      </c>
      <c r="E2256" s="208">
        <v>43199</v>
      </c>
      <c r="F2256" t="s">
        <v>4767</v>
      </c>
      <c r="G2256" t="s">
        <v>4768</v>
      </c>
    </row>
    <row r="2257" spans="1:7">
      <c r="A2257" t="s">
        <v>9250</v>
      </c>
      <c r="B2257" t="s">
        <v>9251</v>
      </c>
      <c r="C2257" t="s">
        <v>4766</v>
      </c>
      <c r="D2257">
        <v>153.6</v>
      </c>
      <c r="E2257" s="208">
        <v>43199</v>
      </c>
      <c r="F2257" t="s">
        <v>4767</v>
      </c>
      <c r="G2257" t="s">
        <v>4768</v>
      </c>
    </row>
    <row r="2258" spans="1:7">
      <c r="A2258" t="s">
        <v>9252</v>
      </c>
      <c r="B2258" t="s">
        <v>9253</v>
      </c>
      <c r="C2258" t="s">
        <v>4766</v>
      </c>
      <c r="D2258">
        <v>81.25</v>
      </c>
      <c r="E2258" s="208">
        <v>43196</v>
      </c>
      <c r="F2258" t="s">
        <v>4772</v>
      </c>
      <c r="G2258" t="s">
        <v>4768</v>
      </c>
    </row>
    <row r="2259" spans="1:7">
      <c r="A2259" t="s">
        <v>9254</v>
      </c>
      <c r="B2259" t="s">
        <v>9255</v>
      </c>
      <c r="C2259" t="s">
        <v>4766</v>
      </c>
      <c r="D2259">
        <v>146.25</v>
      </c>
      <c r="E2259" s="208">
        <v>43196</v>
      </c>
      <c r="F2259" t="s">
        <v>4772</v>
      </c>
      <c r="G2259" t="s">
        <v>4768</v>
      </c>
    </row>
    <row r="2260" spans="1:7">
      <c r="A2260" t="s">
        <v>9256</v>
      </c>
      <c r="B2260" t="s">
        <v>9257</v>
      </c>
      <c r="C2260" t="s">
        <v>4766</v>
      </c>
      <c r="D2260">
        <v>98</v>
      </c>
      <c r="E2260" s="208">
        <v>43196</v>
      </c>
      <c r="F2260" t="s">
        <v>8038</v>
      </c>
      <c r="G2260" t="s">
        <v>4768</v>
      </c>
    </row>
    <row r="2261" spans="1:7">
      <c r="A2261" t="s">
        <v>9258</v>
      </c>
      <c r="B2261" t="s">
        <v>9259</v>
      </c>
      <c r="C2261" t="s">
        <v>5089</v>
      </c>
      <c r="D2261">
        <v>61.2</v>
      </c>
      <c r="E2261" s="208">
        <v>43195</v>
      </c>
      <c r="F2261" t="s">
        <v>9260</v>
      </c>
      <c r="G2261" t="s">
        <v>4768</v>
      </c>
    </row>
    <row r="2262" spans="1:7">
      <c r="A2262" t="s">
        <v>9261</v>
      </c>
      <c r="B2262" t="s">
        <v>9262</v>
      </c>
      <c r="C2262" t="s">
        <v>4766</v>
      </c>
      <c r="D2262">
        <v>248</v>
      </c>
      <c r="E2262" s="208">
        <v>43193</v>
      </c>
      <c r="F2262" t="s">
        <v>4832</v>
      </c>
      <c r="G2262" t="s">
        <v>4768</v>
      </c>
    </row>
    <row r="2263" spans="1:7">
      <c r="A2263" t="s">
        <v>9263</v>
      </c>
      <c r="B2263" t="s">
        <v>9264</v>
      </c>
      <c r="C2263" t="s">
        <v>562</v>
      </c>
      <c r="D2263">
        <v>100</v>
      </c>
      <c r="E2263" s="208">
        <v>43188</v>
      </c>
      <c r="F2263" t="s">
        <v>4804</v>
      </c>
      <c r="G2263" t="s">
        <v>4768</v>
      </c>
    </row>
    <row r="2264" spans="1:7">
      <c r="A2264" t="s">
        <v>9265</v>
      </c>
      <c r="B2264" t="s">
        <v>9266</v>
      </c>
      <c r="C2264" t="s">
        <v>4766</v>
      </c>
      <c r="D2264">
        <v>3.1</v>
      </c>
      <c r="E2264" s="208">
        <v>43187</v>
      </c>
      <c r="F2264" t="s">
        <v>9267</v>
      </c>
      <c r="G2264" t="s">
        <v>4768</v>
      </c>
    </row>
    <row r="2265" spans="1:7">
      <c r="A2265" t="s">
        <v>9268</v>
      </c>
      <c r="B2265" t="s">
        <v>9269</v>
      </c>
      <c r="C2265" t="s">
        <v>4766</v>
      </c>
      <c r="D2265">
        <v>98</v>
      </c>
      <c r="E2265" s="208">
        <v>43187</v>
      </c>
      <c r="F2265" t="s">
        <v>4772</v>
      </c>
      <c r="G2265" t="s">
        <v>4768</v>
      </c>
    </row>
    <row r="2266" spans="1:7">
      <c r="A2266" t="s">
        <v>9270</v>
      </c>
      <c r="B2266" t="s">
        <v>9271</v>
      </c>
      <c r="C2266" t="s">
        <v>4806</v>
      </c>
      <c r="D2266">
        <v>3.7</v>
      </c>
      <c r="E2266" s="208">
        <v>43187</v>
      </c>
      <c r="F2266" t="s">
        <v>4877</v>
      </c>
      <c r="G2266" t="s">
        <v>4768</v>
      </c>
    </row>
    <row r="2267" spans="1:7">
      <c r="A2267" t="s">
        <v>9272</v>
      </c>
      <c r="B2267" t="s">
        <v>9273</v>
      </c>
      <c r="C2267" t="s">
        <v>4766</v>
      </c>
      <c r="D2267">
        <v>2.36</v>
      </c>
      <c r="E2267" s="208">
        <v>43186</v>
      </c>
      <c r="F2267" t="s">
        <v>8386</v>
      </c>
      <c r="G2267" t="s">
        <v>4768</v>
      </c>
    </row>
    <row r="2268" spans="1:7">
      <c r="A2268" t="s">
        <v>9274</v>
      </c>
      <c r="B2268" t="s">
        <v>9275</v>
      </c>
      <c r="C2268" t="s">
        <v>4831</v>
      </c>
      <c r="D2268">
        <v>3.32</v>
      </c>
      <c r="E2268" s="208">
        <v>43178</v>
      </c>
      <c r="F2268" t="s">
        <v>8386</v>
      </c>
      <c r="G2268" t="s">
        <v>4768</v>
      </c>
    </row>
    <row r="2269" spans="1:7">
      <c r="A2269" t="s">
        <v>9276</v>
      </c>
      <c r="B2269" t="s">
        <v>9277</v>
      </c>
      <c r="C2269" t="s">
        <v>4795</v>
      </c>
      <c r="D2269">
        <v>8</v>
      </c>
      <c r="E2269" s="208">
        <v>43178</v>
      </c>
      <c r="F2269" t="s">
        <v>4767</v>
      </c>
      <c r="G2269" t="s">
        <v>4768</v>
      </c>
    </row>
    <row r="2270" spans="1:7">
      <c r="A2270" t="s">
        <v>9278</v>
      </c>
      <c r="B2270" t="s">
        <v>9279</v>
      </c>
      <c r="C2270" t="s">
        <v>4884</v>
      </c>
      <c r="D2270">
        <v>27.14</v>
      </c>
      <c r="E2270" s="208">
        <v>43178</v>
      </c>
      <c r="F2270" t="s">
        <v>8386</v>
      </c>
      <c r="G2270" t="s">
        <v>4768</v>
      </c>
    </row>
    <row r="2271" spans="1:7">
      <c r="A2271" t="s">
        <v>9280</v>
      </c>
      <c r="B2271" t="s">
        <v>9281</v>
      </c>
      <c r="C2271" t="s">
        <v>4766</v>
      </c>
      <c r="D2271">
        <v>59.95</v>
      </c>
      <c r="E2271" s="208">
        <v>43174</v>
      </c>
      <c r="F2271" t="s">
        <v>9138</v>
      </c>
      <c r="G2271" t="s">
        <v>4768</v>
      </c>
    </row>
    <row r="2272" spans="1:7">
      <c r="A2272" t="s">
        <v>9282</v>
      </c>
      <c r="B2272" t="s">
        <v>9283</v>
      </c>
      <c r="C2272" t="s">
        <v>4766</v>
      </c>
      <c r="D2272">
        <v>26.99</v>
      </c>
      <c r="E2272" s="208">
        <v>43172</v>
      </c>
      <c r="F2272" t="s">
        <v>4767</v>
      </c>
      <c r="G2272" t="s">
        <v>4768</v>
      </c>
    </row>
    <row r="2273" spans="1:7">
      <c r="A2273" t="s">
        <v>9284</v>
      </c>
      <c r="B2273" t="s">
        <v>9285</v>
      </c>
      <c r="C2273" t="s">
        <v>4766</v>
      </c>
      <c r="D2273">
        <v>12.15</v>
      </c>
      <c r="E2273" s="208">
        <v>43172</v>
      </c>
      <c r="F2273" t="s">
        <v>4772</v>
      </c>
      <c r="G2273" t="s">
        <v>4768</v>
      </c>
    </row>
    <row r="2274" spans="1:7">
      <c r="A2274" t="s">
        <v>9286</v>
      </c>
      <c r="B2274" t="s">
        <v>9287</v>
      </c>
      <c r="C2274" t="s">
        <v>4766</v>
      </c>
      <c r="D2274">
        <v>4455.6499999999996</v>
      </c>
      <c r="E2274" s="208">
        <v>43166</v>
      </c>
      <c r="F2274" t="s">
        <v>4877</v>
      </c>
      <c r="G2274" t="s">
        <v>4768</v>
      </c>
    </row>
    <row r="2275" spans="1:7">
      <c r="A2275" t="s">
        <v>9288</v>
      </c>
      <c r="B2275" t="s">
        <v>9289</v>
      </c>
      <c r="C2275" t="s">
        <v>4766</v>
      </c>
      <c r="D2275">
        <v>200</v>
      </c>
      <c r="E2275" s="208">
        <v>43165</v>
      </c>
      <c r="F2275" t="s">
        <v>4772</v>
      </c>
      <c r="G2275" t="s">
        <v>4768</v>
      </c>
    </row>
    <row r="2276" spans="1:7">
      <c r="A2276" t="s">
        <v>9290</v>
      </c>
      <c r="B2276" t="s">
        <v>9291</v>
      </c>
      <c r="C2276" t="s">
        <v>4766</v>
      </c>
      <c r="D2276">
        <v>10.44</v>
      </c>
      <c r="E2276" s="208">
        <v>43165</v>
      </c>
      <c r="F2276" t="s">
        <v>8386</v>
      </c>
      <c r="G2276" t="s">
        <v>4768</v>
      </c>
    </row>
    <row r="2277" spans="1:7">
      <c r="A2277" t="s">
        <v>9292</v>
      </c>
      <c r="B2277" t="s">
        <v>9293</v>
      </c>
      <c r="C2277" t="s">
        <v>4766</v>
      </c>
      <c r="D2277">
        <v>7.07</v>
      </c>
      <c r="E2277" s="208">
        <v>43164</v>
      </c>
      <c r="F2277" t="s">
        <v>8471</v>
      </c>
      <c r="G2277" t="s">
        <v>4768</v>
      </c>
    </row>
    <row r="2278" spans="1:7">
      <c r="A2278" t="s">
        <v>9294</v>
      </c>
      <c r="B2278" t="s">
        <v>9295</v>
      </c>
      <c r="C2278" t="s">
        <v>4771</v>
      </c>
      <c r="D2278">
        <v>49.5</v>
      </c>
      <c r="E2278" s="208">
        <v>43160</v>
      </c>
      <c r="F2278" t="s">
        <v>4767</v>
      </c>
      <c r="G2278" t="s">
        <v>4768</v>
      </c>
    </row>
    <row r="2279" spans="1:7">
      <c r="A2279" t="s">
        <v>9296</v>
      </c>
      <c r="B2279" t="s">
        <v>9297</v>
      </c>
      <c r="C2279" t="s">
        <v>4766</v>
      </c>
      <c r="D2279">
        <v>387.5</v>
      </c>
      <c r="E2279" s="208">
        <v>43159</v>
      </c>
      <c r="F2279" t="s">
        <v>4772</v>
      </c>
      <c r="G2279" t="s">
        <v>4768</v>
      </c>
    </row>
    <row r="2280" spans="1:7">
      <c r="A2280" t="s">
        <v>9298</v>
      </c>
      <c r="B2280" t="s">
        <v>9299</v>
      </c>
      <c r="C2280" t="s">
        <v>4766</v>
      </c>
      <c r="D2280">
        <v>160</v>
      </c>
      <c r="E2280" s="208">
        <v>43159</v>
      </c>
      <c r="F2280" t="s">
        <v>4772</v>
      </c>
      <c r="G2280" t="s">
        <v>4768</v>
      </c>
    </row>
    <row r="2281" spans="1:7">
      <c r="A2281" t="s">
        <v>9300</v>
      </c>
      <c r="B2281" t="s">
        <v>9301</v>
      </c>
      <c r="C2281" t="s">
        <v>4766</v>
      </c>
      <c r="D2281">
        <v>430</v>
      </c>
      <c r="E2281" s="208">
        <v>43159</v>
      </c>
      <c r="F2281" t="s">
        <v>4772</v>
      </c>
      <c r="G2281" t="s">
        <v>4768</v>
      </c>
    </row>
    <row r="2282" spans="1:7">
      <c r="A2282" t="s">
        <v>9302</v>
      </c>
      <c r="B2282" t="s">
        <v>9303</v>
      </c>
      <c r="C2282" t="s">
        <v>4766</v>
      </c>
      <c r="D2282">
        <v>92.5</v>
      </c>
      <c r="E2282" s="208">
        <v>43159</v>
      </c>
      <c r="F2282" t="s">
        <v>4772</v>
      </c>
      <c r="G2282" t="s">
        <v>4768</v>
      </c>
    </row>
    <row r="2283" spans="1:7">
      <c r="A2283" t="s">
        <v>9304</v>
      </c>
      <c r="B2283" t="s">
        <v>9305</v>
      </c>
      <c r="C2283" t="s">
        <v>4766</v>
      </c>
      <c r="D2283">
        <v>166.25</v>
      </c>
      <c r="E2283" s="208">
        <v>43159</v>
      </c>
      <c r="F2283" t="s">
        <v>4772</v>
      </c>
      <c r="G2283" t="s">
        <v>4768</v>
      </c>
    </row>
    <row r="2284" spans="1:7">
      <c r="A2284" t="s">
        <v>9306</v>
      </c>
      <c r="B2284" t="s">
        <v>9307</v>
      </c>
      <c r="C2284" t="s">
        <v>4766</v>
      </c>
      <c r="D2284">
        <v>127.5</v>
      </c>
      <c r="E2284" s="208">
        <v>43159</v>
      </c>
      <c r="F2284" t="s">
        <v>4772</v>
      </c>
      <c r="G2284" t="s">
        <v>4768</v>
      </c>
    </row>
    <row r="2285" spans="1:7">
      <c r="A2285" t="s">
        <v>9308</v>
      </c>
      <c r="B2285" t="s">
        <v>9309</v>
      </c>
      <c r="C2285" t="s">
        <v>4766</v>
      </c>
      <c r="D2285">
        <v>122.5</v>
      </c>
      <c r="E2285" s="208">
        <v>43159</v>
      </c>
      <c r="F2285" t="s">
        <v>4772</v>
      </c>
      <c r="G2285" t="s">
        <v>4768</v>
      </c>
    </row>
    <row r="2286" spans="1:7">
      <c r="A2286" t="s">
        <v>9310</v>
      </c>
      <c r="B2286" t="s">
        <v>9311</v>
      </c>
      <c r="C2286" t="s">
        <v>4766</v>
      </c>
      <c r="D2286">
        <v>143.75</v>
      </c>
      <c r="E2286" s="208">
        <v>43159</v>
      </c>
      <c r="F2286" t="s">
        <v>4772</v>
      </c>
      <c r="G2286" t="s">
        <v>4768</v>
      </c>
    </row>
    <row r="2287" spans="1:7">
      <c r="A2287" t="s">
        <v>9312</v>
      </c>
      <c r="B2287" t="s">
        <v>9313</v>
      </c>
      <c r="C2287" t="s">
        <v>4766</v>
      </c>
      <c r="D2287">
        <v>135</v>
      </c>
      <c r="E2287" s="208">
        <v>43159</v>
      </c>
      <c r="F2287" t="s">
        <v>4772</v>
      </c>
      <c r="G2287" t="s">
        <v>4768</v>
      </c>
    </row>
    <row r="2288" spans="1:7">
      <c r="A2288" t="s">
        <v>9314</v>
      </c>
      <c r="B2288" t="s">
        <v>9315</v>
      </c>
      <c r="C2288" t="s">
        <v>4766</v>
      </c>
      <c r="D2288">
        <v>142.5</v>
      </c>
      <c r="E2288" s="208">
        <v>43159</v>
      </c>
      <c r="F2288" t="s">
        <v>4772</v>
      </c>
      <c r="G2288" t="s">
        <v>4768</v>
      </c>
    </row>
    <row r="2289" spans="1:7">
      <c r="A2289" t="s">
        <v>9316</v>
      </c>
      <c r="B2289" t="s">
        <v>9317</v>
      </c>
      <c r="C2289" t="s">
        <v>4766</v>
      </c>
      <c r="D2289">
        <v>192.5</v>
      </c>
      <c r="E2289" s="208">
        <v>43159</v>
      </c>
      <c r="F2289" t="s">
        <v>4772</v>
      </c>
      <c r="G2289" t="s">
        <v>4768</v>
      </c>
    </row>
    <row r="2290" spans="1:7">
      <c r="A2290" t="s">
        <v>9318</v>
      </c>
      <c r="B2290" t="s">
        <v>9319</v>
      </c>
      <c r="C2290" t="s">
        <v>4766</v>
      </c>
      <c r="D2290">
        <v>217.5</v>
      </c>
      <c r="E2290" s="208">
        <v>43159</v>
      </c>
      <c r="F2290" t="s">
        <v>4772</v>
      </c>
      <c r="G2290" t="s">
        <v>4768</v>
      </c>
    </row>
    <row r="2291" spans="1:7">
      <c r="A2291" t="s">
        <v>9320</v>
      </c>
      <c r="B2291" t="s">
        <v>9321</v>
      </c>
      <c r="C2291" t="s">
        <v>4766</v>
      </c>
      <c r="D2291">
        <v>81.25</v>
      </c>
      <c r="E2291" s="208">
        <v>43159</v>
      </c>
      <c r="F2291" t="s">
        <v>4772</v>
      </c>
      <c r="G2291" t="s">
        <v>4768</v>
      </c>
    </row>
    <row r="2292" spans="1:7">
      <c r="A2292" t="s">
        <v>9322</v>
      </c>
      <c r="B2292" t="s">
        <v>9323</v>
      </c>
      <c r="C2292" t="s">
        <v>4766</v>
      </c>
      <c r="D2292">
        <v>91.25</v>
      </c>
      <c r="E2292" s="208">
        <v>43159</v>
      </c>
      <c r="F2292" t="s">
        <v>4772</v>
      </c>
      <c r="G2292" t="s">
        <v>4768</v>
      </c>
    </row>
    <row r="2293" spans="1:7">
      <c r="A2293" t="s">
        <v>9324</v>
      </c>
      <c r="B2293" t="s">
        <v>9325</v>
      </c>
      <c r="C2293" t="s">
        <v>4766</v>
      </c>
      <c r="D2293">
        <v>360</v>
      </c>
      <c r="E2293" s="208">
        <v>43159</v>
      </c>
      <c r="F2293" t="s">
        <v>4772</v>
      </c>
      <c r="G2293" t="s">
        <v>4768</v>
      </c>
    </row>
    <row r="2294" spans="1:7">
      <c r="A2294" t="s">
        <v>9326</v>
      </c>
      <c r="B2294" t="s">
        <v>9289</v>
      </c>
      <c r="C2294" t="s">
        <v>4766</v>
      </c>
      <c r="D2294">
        <v>200</v>
      </c>
      <c r="E2294" s="208">
        <v>43159</v>
      </c>
      <c r="F2294" t="s">
        <v>4772</v>
      </c>
      <c r="G2294" t="s">
        <v>4768</v>
      </c>
    </row>
    <row r="2295" spans="1:7">
      <c r="A2295" t="s">
        <v>9327</v>
      </c>
      <c r="B2295" t="s">
        <v>9307</v>
      </c>
      <c r="C2295" t="s">
        <v>4766</v>
      </c>
      <c r="D2295">
        <v>141.25</v>
      </c>
      <c r="E2295" s="208">
        <v>43159</v>
      </c>
      <c r="F2295" t="s">
        <v>4772</v>
      </c>
      <c r="G2295" t="s">
        <v>4768</v>
      </c>
    </row>
    <row r="2296" spans="1:7">
      <c r="A2296" t="s">
        <v>9328</v>
      </c>
      <c r="B2296" t="s">
        <v>9329</v>
      </c>
      <c r="C2296" t="s">
        <v>4766</v>
      </c>
      <c r="D2296">
        <v>71.25</v>
      </c>
      <c r="E2296" s="208">
        <v>43159</v>
      </c>
      <c r="F2296" t="s">
        <v>4772</v>
      </c>
      <c r="G2296" t="s">
        <v>4768</v>
      </c>
    </row>
    <row r="2297" spans="1:7">
      <c r="A2297" t="s">
        <v>9330</v>
      </c>
      <c r="B2297" t="s">
        <v>9331</v>
      </c>
      <c r="C2297" t="s">
        <v>4766</v>
      </c>
      <c r="D2297">
        <v>71.25</v>
      </c>
      <c r="E2297" s="208">
        <v>43159</v>
      </c>
      <c r="F2297" t="s">
        <v>4772</v>
      </c>
      <c r="G2297" t="s">
        <v>4768</v>
      </c>
    </row>
    <row r="2298" spans="1:7">
      <c r="A2298" t="s">
        <v>9332</v>
      </c>
      <c r="B2298" t="s">
        <v>9333</v>
      </c>
      <c r="C2298" t="s">
        <v>4766</v>
      </c>
      <c r="D2298">
        <v>335</v>
      </c>
      <c r="E2298" s="208">
        <v>43153</v>
      </c>
      <c r="F2298" t="s">
        <v>4772</v>
      </c>
      <c r="G2298" t="s">
        <v>4768</v>
      </c>
    </row>
    <row r="2299" spans="1:7">
      <c r="A2299" t="s">
        <v>9334</v>
      </c>
      <c r="B2299" t="s">
        <v>9335</v>
      </c>
      <c r="C2299" t="s">
        <v>4766</v>
      </c>
      <c r="D2299">
        <v>551.32000000000005</v>
      </c>
      <c r="E2299" s="208">
        <v>43153</v>
      </c>
      <c r="F2299" t="s">
        <v>4772</v>
      </c>
      <c r="G2299" t="s">
        <v>4768</v>
      </c>
    </row>
    <row r="2300" spans="1:7">
      <c r="A2300" t="s">
        <v>9336</v>
      </c>
      <c r="B2300" t="s">
        <v>9337</v>
      </c>
      <c r="C2300" t="s">
        <v>4766</v>
      </c>
      <c r="D2300">
        <v>7.6</v>
      </c>
      <c r="E2300" s="208">
        <v>43144</v>
      </c>
      <c r="F2300" t="s">
        <v>4832</v>
      </c>
      <c r="G2300" t="s">
        <v>4768</v>
      </c>
    </row>
    <row r="2301" spans="1:7">
      <c r="A2301" t="s">
        <v>9338</v>
      </c>
      <c r="B2301" t="s">
        <v>9339</v>
      </c>
      <c r="C2301" t="s">
        <v>4766</v>
      </c>
      <c r="D2301">
        <v>21.18</v>
      </c>
      <c r="E2301" s="208">
        <v>43137</v>
      </c>
      <c r="F2301" t="s">
        <v>9138</v>
      </c>
      <c r="G2301" t="s">
        <v>4768</v>
      </c>
    </row>
    <row r="2302" spans="1:7">
      <c r="A2302" t="s">
        <v>9340</v>
      </c>
      <c r="B2302" t="s">
        <v>9341</v>
      </c>
      <c r="C2302" t="s">
        <v>4766</v>
      </c>
      <c r="D2302">
        <v>17.5</v>
      </c>
      <c r="E2302" s="208">
        <v>43137</v>
      </c>
      <c r="F2302" t="s">
        <v>4832</v>
      </c>
      <c r="G2302" t="s">
        <v>4768</v>
      </c>
    </row>
    <row r="2303" spans="1:7">
      <c r="A2303" t="s">
        <v>9342</v>
      </c>
      <c r="B2303" t="s">
        <v>9343</v>
      </c>
      <c r="C2303" t="s">
        <v>4771</v>
      </c>
      <c r="D2303">
        <v>96.19</v>
      </c>
      <c r="E2303" s="208">
        <v>43137</v>
      </c>
      <c r="F2303" t="s">
        <v>4767</v>
      </c>
      <c r="G2303" t="s">
        <v>4768</v>
      </c>
    </row>
    <row r="2304" spans="1:7">
      <c r="A2304" t="s">
        <v>9344</v>
      </c>
      <c r="B2304" t="s">
        <v>9345</v>
      </c>
      <c r="C2304" t="s">
        <v>6331</v>
      </c>
      <c r="D2304">
        <v>33.75</v>
      </c>
      <c r="E2304" s="208">
        <v>43137</v>
      </c>
      <c r="F2304" t="s">
        <v>9138</v>
      </c>
      <c r="G2304" t="s">
        <v>4768</v>
      </c>
    </row>
    <row r="2305" spans="1:7">
      <c r="A2305" t="s">
        <v>9346</v>
      </c>
      <c r="B2305" t="s">
        <v>9347</v>
      </c>
      <c r="C2305" t="s">
        <v>4771</v>
      </c>
      <c r="D2305">
        <v>52</v>
      </c>
      <c r="E2305" s="208">
        <v>43130</v>
      </c>
      <c r="F2305" t="s">
        <v>4772</v>
      </c>
      <c r="G2305" t="s">
        <v>4768</v>
      </c>
    </row>
    <row r="2306" spans="1:7">
      <c r="A2306" t="s">
        <v>9348</v>
      </c>
      <c r="B2306" t="s">
        <v>9349</v>
      </c>
      <c r="C2306" t="s">
        <v>4766</v>
      </c>
      <c r="D2306">
        <v>24.69</v>
      </c>
      <c r="E2306" s="208">
        <v>43130</v>
      </c>
      <c r="F2306" t="s">
        <v>8386</v>
      </c>
      <c r="G2306" t="s">
        <v>4768</v>
      </c>
    </row>
    <row r="2307" spans="1:7">
      <c r="A2307" t="s">
        <v>9350</v>
      </c>
      <c r="B2307" t="s">
        <v>9351</v>
      </c>
      <c r="C2307" t="s">
        <v>4766</v>
      </c>
      <c r="D2307">
        <v>165</v>
      </c>
      <c r="E2307" s="208">
        <v>43130</v>
      </c>
      <c r="F2307" t="s">
        <v>8799</v>
      </c>
      <c r="G2307" t="s">
        <v>4768</v>
      </c>
    </row>
    <row r="2308" spans="1:7">
      <c r="A2308" t="s">
        <v>9352</v>
      </c>
      <c r="B2308" t="s">
        <v>9353</v>
      </c>
      <c r="C2308" t="s">
        <v>4766</v>
      </c>
      <c r="D2308">
        <v>14.24</v>
      </c>
      <c r="E2308" s="208">
        <v>43130</v>
      </c>
      <c r="F2308" t="s">
        <v>8386</v>
      </c>
      <c r="G2308" t="s">
        <v>4768</v>
      </c>
    </row>
    <row r="2309" spans="1:7">
      <c r="A2309" t="s">
        <v>9354</v>
      </c>
      <c r="B2309" t="s">
        <v>9355</v>
      </c>
      <c r="C2309" t="s">
        <v>4803</v>
      </c>
      <c r="D2309">
        <v>101.45</v>
      </c>
      <c r="E2309" s="208">
        <v>43129</v>
      </c>
      <c r="F2309" t="s">
        <v>4767</v>
      </c>
      <c r="G2309" t="s">
        <v>4768</v>
      </c>
    </row>
    <row r="2310" spans="1:7">
      <c r="A2310" t="s">
        <v>9356</v>
      </c>
      <c r="B2310" t="s">
        <v>9357</v>
      </c>
      <c r="C2310" t="s">
        <v>5551</v>
      </c>
      <c r="D2310">
        <v>44.95</v>
      </c>
      <c r="E2310" s="208">
        <v>43129</v>
      </c>
      <c r="F2310" t="s">
        <v>4767</v>
      </c>
      <c r="G2310" t="s">
        <v>4768</v>
      </c>
    </row>
    <row r="2311" spans="1:7">
      <c r="A2311" t="s">
        <v>9358</v>
      </c>
      <c r="B2311" t="s">
        <v>9359</v>
      </c>
      <c r="C2311" t="s">
        <v>4766</v>
      </c>
      <c r="D2311">
        <v>8.5</v>
      </c>
      <c r="E2311" s="208">
        <v>43129</v>
      </c>
      <c r="F2311" t="s">
        <v>4772</v>
      </c>
      <c r="G2311" t="s">
        <v>4768</v>
      </c>
    </row>
    <row r="2312" spans="1:7">
      <c r="A2312" t="s">
        <v>9360</v>
      </c>
      <c r="B2312" t="s">
        <v>9361</v>
      </c>
      <c r="C2312" t="s">
        <v>4771</v>
      </c>
      <c r="D2312">
        <v>96.19</v>
      </c>
      <c r="E2312" s="208">
        <v>43122</v>
      </c>
      <c r="F2312" t="s">
        <v>4767</v>
      </c>
      <c r="G2312" t="s">
        <v>4768</v>
      </c>
    </row>
    <row r="2313" spans="1:7">
      <c r="A2313" t="s">
        <v>9362</v>
      </c>
      <c r="B2313" t="s">
        <v>9363</v>
      </c>
      <c r="C2313" t="s">
        <v>9364</v>
      </c>
      <c r="D2313">
        <v>750</v>
      </c>
      <c r="E2313" s="208">
        <v>43121</v>
      </c>
      <c r="F2313" t="s">
        <v>4772</v>
      </c>
      <c r="G2313" t="s">
        <v>4768</v>
      </c>
    </row>
    <row r="2314" spans="1:7">
      <c r="A2314" t="s">
        <v>9365</v>
      </c>
      <c r="B2314" t="s">
        <v>9366</v>
      </c>
      <c r="C2314" t="s">
        <v>4771</v>
      </c>
      <c r="D2314">
        <v>587.80999999999995</v>
      </c>
      <c r="E2314" s="208">
        <v>43119</v>
      </c>
      <c r="F2314" t="s">
        <v>4767</v>
      </c>
      <c r="G2314" t="s">
        <v>4768</v>
      </c>
    </row>
    <row r="2315" spans="1:7">
      <c r="A2315" t="s">
        <v>9367</v>
      </c>
      <c r="B2315" t="s">
        <v>9368</v>
      </c>
      <c r="C2315" t="s">
        <v>4766</v>
      </c>
      <c r="D2315">
        <v>28.68</v>
      </c>
      <c r="E2315" s="208">
        <v>43117</v>
      </c>
      <c r="F2315" t="s">
        <v>8386</v>
      </c>
      <c r="G2315" t="s">
        <v>4768</v>
      </c>
    </row>
    <row r="2316" spans="1:7">
      <c r="A2316" t="s">
        <v>9369</v>
      </c>
      <c r="B2316" t="s">
        <v>9370</v>
      </c>
      <c r="C2316" t="s">
        <v>4766</v>
      </c>
      <c r="D2316">
        <v>22.25</v>
      </c>
      <c r="E2316" s="208">
        <v>43116</v>
      </c>
      <c r="F2316" t="s">
        <v>9138</v>
      </c>
      <c r="G2316" t="s">
        <v>4768</v>
      </c>
    </row>
    <row r="2317" spans="1:7">
      <c r="A2317" t="s">
        <v>9371</v>
      </c>
      <c r="B2317" t="s">
        <v>9372</v>
      </c>
      <c r="C2317" t="s">
        <v>4766</v>
      </c>
      <c r="D2317">
        <v>18.989999999999998</v>
      </c>
      <c r="E2317" s="208">
        <v>43105</v>
      </c>
      <c r="F2317" t="s">
        <v>8386</v>
      </c>
      <c r="G2317" t="s">
        <v>4768</v>
      </c>
    </row>
    <row r="2318" spans="1:7">
      <c r="A2318" t="s">
        <v>9373</v>
      </c>
      <c r="B2318" t="s">
        <v>9374</v>
      </c>
      <c r="C2318" t="s">
        <v>4766</v>
      </c>
      <c r="D2318">
        <v>33.619999999999997</v>
      </c>
      <c r="E2318" s="208">
        <v>43105</v>
      </c>
      <c r="F2318" t="s">
        <v>8386</v>
      </c>
      <c r="G2318" t="s">
        <v>4768</v>
      </c>
    </row>
    <row r="2319" spans="1:7">
      <c r="A2319" t="s">
        <v>9375</v>
      </c>
      <c r="B2319" t="s">
        <v>9376</v>
      </c>
      <c r="C2319" t="s">
        <v>4771</v>
      </c>
      <c r="D2319">
        <v>80</v>
      </c>
      <c r="E2319" s="208">
        <v>43103</v>
      </c>
      <c r="F2319" t="s">
        <v>4767</v>
      </c>
      <c r="G2319" t="s">
        <v>4768</v>
      </c>
    </row>
    <row r="2320" spans="1:7">
      <c r="A2320" t="s">
        <v>9377</v>
      </c>
      <c r="B2320" t="s">
        <v>9378</v>
      </c>
      <c r="C2320" t="s">
        <v>4766</v>
      </c>
      <c r="D2320">
        <v>49.46</v>
      </c>
      <c r="E2320" s="208">
        <v>43084</v>
      </c>
      <c r="F2320" t="s">
        <v>8386</v>
      </c>
      <c r="G2320" t="s">
        <v>4768</v>
      </c>
    </row>
    <row r="2321" spans="1:7">
      <c r="A2321" t="s">
        <v>9379</v>
      </c>
      <c r="B2321" t="s">
        <v>9380</v>
      </c>
      <c r="C2321" t="s">
        <v>4920</v>
      </c>
      <c r="D2321">
        <v>46.54</v>
      </c>
      <c r="E2321" s="208">
        <v>43083</v>
      </c>
      <c r="F2321" t="s">
        <v>8386</v>
      </c>
      <c r="G2321" t="s">
        <v>4768</v>
      </c>
    </row>
    <row r="2322" spans="1:7">
      <c r="A2322" t="s">
        <v>9381</v>
      </c>
      <c r="B2322" t="s">
        <v>9382</v>
      </c>
      <c r="C2322" t="s">
        <v>4766</v>
      </c>
      <c r="D2322">
        <v>20</v>
      </c>
      <c r="E2322" s="208">
        <v>43081</v>
      </c>
      <c r="F2322" t="s">
        <v>8197</v>
      </c>
      <c r="G2322" t="s">
        <v>4768</v>
      </c>
    </row>
    <row r="2323" spans="1:7">
      <c r="A2323" t="s">
        <v>9383</v>
      </c>
      <c r="B2323" t="s">
        <v>9384</v>
      </c>
      <c r="C2323" t="s">
        <v>4766</v>
      </c>
      <c r="D2323">
        <v>17.32</v>
      </c>
      <c r="E2323" s="208">
        <v>43076</v>
      </c>
      <c r="F2323" t="s">
        <v>8197</v>
      </c>
      <c r="G2323" t="s">
        <v>4768</v>
      </c>
    </row>
    <row r="2324" spans="1:7">
      <c r="A2324" t="s">
        <v>9385</v>
      </c>
      <c r="B2324" t="s">
        <v>8264</v>
      </c>
      <c r="C2324" t="s">
        <v>4766</v>
      </c>
      <c r="D2324">
        <v>112.72</v>
      </c>
      <c r="E2324" s="208">
        <v>43075</v>
      </c>
      <c r="F2324" t="s">
        <v>8197</v>
      </c>
      <c r="G2324" t="s">
        <v>4768</v>
      </c>
    </row>
    <row r="2325" spans="1:7">
      <c r="A2325" t="s">
        <v>9386</v>
      </c>
      <c r="B2325" t="s">
        <v>9387</v>
      </c>
      <c r="C2325" t="s">
        <v>9388</v>
      </c>
      <c r="D2325">
        <v>24.25</v>
      </c>
      <c r="E2325" s="208">
        <v>43074</v>
      </c>
      <c r="F2325" t="s">
        <v>4772</v>
      </c>
      <c r="G2325" t="s">
        <v>4768</v>
      </c>
    </row>
    <row r="2326" spans="1:7">
      <c r="A2326" t="s">
        <v>9389</v>
      </c>
      <c r="B2326" t="s">
        <v>9390</v>
      </c>
      <c r="C2326" t="s">
        <v>4766</v>
      </c>
      <c r="D2326">
        <v>22.99</v>
      </c>
      <c r="E2326" s="208">
        <v>43074</v>
      </c>
      <c r="F2326" t="s">
        <v>4767</v>
      </c>
      <c r="G2326" t="s">
        <v>4768</v>
      </c>
    </row>
    <row r="2327" spans="1:7">
      <c r="A2327" t="s">
        <v>9391</v>
      </c>
      <c r="B2327" t="s">
        <v>9392</v>
      </c>
      <c r="C2327" t="s">
        <v>4803</v>
      </c>
      <c r="D2327">
        <v>50</v>
      </c>
      <c r="E2327" s="208">
        <v>43070</v>
      </c>
      <c r="F2327" t="s">
        <v>4772</v>
      </c>
      <c r="G2327" t="s">
        <v>4768</v>
      </c>
    </row>
    <row r="2328" spans="1:7">
      <c r="A2328" t="s">
        <v>9393</v>
      </c>
      <c r="B2328" t="s">
        <v>9394</v>
      </c>
      <c r="C2328" t="s">
        <v>4766</v>
      </c>
      <c r="D2328">
        <v>381</v>
      </c>
      <c r="E2328" s="208">
        <v>43068</v>
      </c>
      <c r="F2328" t="s">
        <v>4804</v>
      </c>
      <c r="G2328" t="s">
        <v>4768</v>
      </c>
    </row>
    <row r="2329" spans="1:7">
      <c r="A2329" t="s">
        <v>9395</v>
      </c>
      <c r="B2329" t="s">
        <v>9396</v>
      </c>
      <c r="C2329" t="s">
        <v>4806</v>
      </c>
      <c r="D2329">
        <v>21</v>
      </c>
      <c r="E2329" s="208">
        <v>43063</v>
      </c>
      <c r="F2329" t="s">
        <v>4877</v>
      </c>
      <c r="G2329" t="s">
        <v>4768</v>
      </c>
    </row>
    <row r="2330" spans="1:7">
      <c r="A2330" t="s">
        <v>9397</v>
      </c>
      <c r="B2330" t="s">
        <v>9398</v>
      </c>
      <c r="C2330" t="s">
        <v>4972</v>
      </c>
      <c r="D2330">
        <v>5.97</v>
      </c>
      <c r="E2330" s="208">
        <v>43061</v>
      </c>
      <c r="F2330" t="s">
        <v>4877</v>
      </c>
      <c r="G2330" t="s">
        <v>4768</v>
      </c>
    </row>
    <row r="2331" spans="1:7">
      <c r="A2331" t="s">
        <v>9399</v>
      </c>
      <c r="B2331" t="s">
        <v>9400</v>
      </c>
      <c r="C2331" t="s">
        <v>4766</v>
      </c>
      <c r="D2331">
        <v>274.2</v>
      </c>
      <c r="E2331" s="208">
        <v>43059</v>
      </c>
      <c r="F2331" t="s">
        <v>4832</v>
      </c>
      <c r="G2331" t="s">
        <v>4768</v>
      </c>
    </row>
    <row r="2332" spans="1:7">
      <c r="A2332" t="s">
        <v>9401</v>
      </c>
      <c r="B2332" t="s">
        <v>9402</v>
      </c>
      <c r="C2332" t="s">
        <v>4766</v>
      </c>
      <c r="D2332">
        <v>287.68</v>
      </c>
      <c r="E2332" s="208">
        <v>43056</v>
      </c>
      <c r="F2332" t="s">
        <v>8038</v>
      </c>
      <c r="G2332" t="s">
        <v>4768</v>
      </c>
    </row>
    <row r="2333" spans="1:7">
      <c r="A2333" t="s">
        <v>9403</v>
      </c>
      <c r="B2333" t="s">
        <v>9404</v>
      </c>
      <c r="C2333" t="s">
        <v>4766</v>
      </c>
      <c r="D2333">
        <v>310.8</v>
      </c>
      <c r="E2333" s="208">
        <v>43056</v>
      </c>
      <c r="F2333" t="s">
        <v>8038</v>
      </c>
      <c r="G2333" t="s">
        <v>4768</v>
      </c>
    </row>
    <row r="2334" spans="1:7">
      <c r="A2334" t="s">
        <v>9405</v>
      </c>
      <c r="B2334" t="s">
        <v>9406</v>
      </c>
      <c r="C2334" t="s">
        <v>4766</v>
      </c>
      <c r="D2334">
        <v>23.13</v>
      </c>
      <c r="E2334" s="208">
        <v>43056</v>
      </c>
      <c r="F2334" t="s">
        <v>8038</v>
      </c>
      <c r="G2334" t="s">
        <v>4768</v>
      </c>
    </row>
    <row r="2335" spans="1:7">
      <c r="A2335" t="s">
        <v>9407</v>
      </c>
      <c r="B2335" t="s">
        <v>9408</v>
      </c>
      <c r="C2335" t="s">
        <v>4766</v>
      </c>
      <c r="D2335">
        <v>115.63</v>
      </c>
      <c r="E2335" s="208">
        <v>43056</v>
      </c>
      <c r="F2335" t="s">
        <v>8038</v>
      </c>
      <c r="G2335" t="s">
        <v>4768</v>
      </c>
    </row>
    <row r="2336" spans="1:7">
      <c r="A2336" t="s">
        <v>9409</v>
      </c>
      <c r="B2336" t="s">
        <v>9410</v>
      </c>
      <c r="C2336" t="s">
        <v>4766</v>
      </c>
      <c r="D2336">
        <v>265.48</v>
      </c>
      <c r="E2336" s="208">
        <v>43056</v>
      </c>
      <c r="F2336" t="s">
        <v>8038</v>
      </c>
      <c r="G2336" t="s">
        <v>4768</v>
      </c>
    </row>
    <row r="2337" spans="1:7">
      <c r="A2337" t="s">
        <v>9411</v>
      </c>
      <c r="B2337" t="s">
        <v>9412</v>
      </c>
      <c r="C2337" t="s">
        <v>4806</v>
      </c>
      <c r="D2337">
        <v>50</v>
      </c>
      <c r="E2337" s="208">
        <v>43055</v>
      </c>
      <c r="F2337" t="s">
        <v>8197</v>
      </c>
      <c r="G2337" t="s">
        <v>4768</v>
      </c>
    </row>
    <row r="2338" spans="1:7">
      <c r="A2338" t="s">
        <v>9413</v>
      </c>
      <c r="B2338" t="s">
        <v>9414</v>
      </c>
      <c r="C2338" t="s">
        <v>4806</v>
      </c>
      <c r="D2338">
        <v>34.83</v>
      </c>
      <c r="E2338" s="208">
        <v>43055</v>
      </c>
      <c r="F2338" t="s">
        <v>4877</v>
      </c>
      <c r="G2338" t="s">
        <v>4768</v>
      </c>
    </row>
    <row r="2339" spans="1:7">
      <c r="A2339" t="s">
        <v>9415</v>
      </c>
      <c r="B2339" t="s">
        <v>9416</v>
      </c>
      <c r="C2339" t="s">
        <v>4806</v>
      </c>
      <c r="D2339">
        <v>33.99</v>
      </c>
      <c r="E2339" s="208">
        <v>43055</v>
      </c>
      <c r="F2339" t="s">
        <v>4877</v>
      </c>
      <c r="G2339" t="s">
        <v>4768</v>
      </c>
    </row>
    <row r="2340" spans="1:7">
      <c r="A2340" t="s">
        <v>9417</v>
      </c>
      <c r="B2340" t="s">
        <v>9418</v>
      </c>
      <c r="C2340" t="s">
        <v>4803</v>
      </c>
      <c r="D2340">
        <v>81.900000000000006</v>
      </c>
      <c r="E2340" s="208">
        <v>43053</v>
      </c>
      <c r="F2340" t="s">
        <v>4767</v>
      </c>
      <c r="G2340" t="s">
        <v>4768</v>
      </c>
    </row>
    <row r="2341" spans="1:7">
      <c r="A2341" t="s">
        <v>9419</v>
      </c>
      <c r="B2341" t="s">
        <v>9420</v>
      </c>
      <c r="C2341" t="s">
        <v>4766</v>
      </c>
      <c r="D2341">
        <v>0.4</v>
      </c>
      <c r="E2341" s="208">
        <v>43053</v>
      </c>
      <c r="F2341" t="s">
        <v>9138</v>
      </c>
      <c r="G2341" t="s">
        <v>4768</v>
      </c>
    </row>
    <row r="2342" spans="1:7">
      <c r="A2342" t="s">
        <v>9421</v>
      </c>
      <c r="B2342" t="s">
        <v>9422</v>
      </c>
      <c r="C2342" t="s">
        <v>4806</v>
      </c>
      <c r="D2342">
        <v>17.04</v>
      </c>
      <c r="E2342" s="208">
        <v>43053</v>
      </c>
      <c r="F2342" t="s">
        <v>4804</v>
      </c>
      <c r="G2342" t="s">
        <v>4768</v>
      </c>
    </row>
    <row r="2343" spans="1:7">
      <c r="A2343" t="s">
        <v>9423</v>
      </c>
      <c r="B2343" t="s">
        <v>9424</v>
      </c>
      <c r="C2343" t="s">
        <v>4766</v>
      </c>
      <c r="D2343">
        <v>17.5</v>
      </c>
      <c r="E2343" s="208">
        <v>43048</v>
      </c>
      <c r="F2343" t="s">
        <v>4832</v>
      </c>
      <c r="G2343" t="s">
        <v>4768</v>
      </c>
    </row>
    <row r="2344" spans="1:7">
      <c r="A2344" t="s">
        <v>9425</v>
      </c>
      <c r="B2344" t="s">
        <v>9426</v>
      </c>
      <c r="C2344" t="s">
        <v>5089</v>
      </c>
      <c r="D2344">
        <v>35.04</v>
      </c>
      <c r="E2344" s="208">
        <v>43048</v>
      </c>
      <c r="F2344" t="s">
        <v>9260</v>
      </c>
      <c r="G2344" t="s">
        <v>4768</v>
      </c>
    </row>
    <row r="2345" spans="1:7">
      <c r="A2345" t="s">
        <v>9427</v>
      </c>
      <c r="B2345" t="s">
        <v>9428</v>
      </c>
      <c r="C2345" t="s">
        <v>4895</v>
      </c>
      <c r="D2345">
        <v>239</v>
      </c>
      <c r="E2345" s="208">
        <v>43045</v>
      </c>
      <c r="F2345" t="s">
        <v>4772</v>
      </c>
      <c r="G2345" t="s">
        <v>4768</v>
      </c>
    </row>
    <row r="2346" spans="1:7">
      <c r="A2346" t="s">
        <v>9429</v>
      </c>
      <c r="B2346" t="s">
        <v>9430</v>
      </c>
      <c r="C2346" t="s">
        <v>5286</v>
      </c>
      <c r="D2346">
        <v>19.87</v>
      </c>
      <c r="E2346" s="208">
        <v>43042</v>
      </c>
      <c r="F2346" t="s">
        <v>9431</v>
      </c>
      <c r="G2346" t="s">
        <v>4768</v>
      </c>
    </row>
    <row r="2347" spans="1:7">
      <c r="A2347" t="s">
        <v>9432</v>
      </c>
      <c r="B2347" t="s">
        <v>9433</v>
      </c>
      <c r="C2347" t="s">
        <v>4766</v>
      </c>
      <c r="D2347">
        <v>27.97</v>
      </c>
      <c r="E2347" s="208">
        <v>43042</v>
      </c>
      <c r="F2347" t="s">
        <v>9431</v>
      </c>
      <c r="G2347" t="s">
        <v>4768</v>
      </c>
    </row>
    <row r="2348" spans="1:7">
      <c r="A2348" t="s">
        <v>9434</v>
      </c>
      <c r="B2348" t="s">
        <v>9435</v>
      </c>
      <c r="C2348" t="s">
        <v>4771</v>
      </c>
      <c r="D2348">
        <v>106.8</v>
      </c>
      <c r="E2348" s="208">
        <v>43038</v>
      </c>
      <c r="F2348" t="s">
        <v>4767</v>
      </c>
      <c r="G2348" t="s">
        <v>4768</v>
      </c>
    </row>
    <row r="2349" spans="1:7">
      <c r="A2349" t="s">
        <v>9436</v>
      </c>
      <c r="B2349" t="s">
        <v>9437</v>
      </c>
      <c r="C2349" t="s">
        <v>4766</v>
      </c>
      <c r="D2349">
        <v>9.5</v>
      </c>
      <c r="E2349" s="208">
        <v>43038</v>
      </c>
      <c r="F2349" t="s">
        <v>4832</v>
      </c>
      <c r="G2349" t="s">
        <v>4768</v>
      </c>
    </row>
    <row r="2350" spans="1:7">
      <c r="A2350" t="s">
        <v>9438</v>
      </c>
      <c r="B2350" t="s">
        <v>9439</v>
      </c>
      <c r="C2350" t="s">
        <v>4895</v>
      </c>
      <c r="D2350">
        <v>305.31</v>
      </c>
      <c r="E2350" s="208">
        <v>43038</v>
      </c>
      <c r="F2350" t="s">
        <v>4767</v>
      </c>
      <c r="G2350" t="s">
        <v>4768</v>
      </c>
    </row>
    <row r="2351" spans="1:7">
      <c r="A2351" t="s">
        <v>9440</v>
      </c>
      <c r="B2351" t="s">
        <v>9441</v>
      </c>
      <c r="C2351" t="s">
        <v>4766</v>
      </c>
      <c r="D2351">
        <v>23.5</v>
      </c>
      <c r="E2351" s="208">
        <v>43038</v>
      </c>
      <c r="F2351" t="s">
        <v>8602</v>
      </c>
      <c r="G2351" t="s">
        <v>4768</v>
      </c>
    </row>
    <row r="2352" spans="1:7">
      <c r="A2352" t="s">
        <v>9442</v>
      </c>
      <c r="B2352" t="s">
        <v>9443</v>
      </c>
      <c r="C2352" t="s">
        <v>4884</v>
      </c>
      <c r="D2352">
        <v>145</v>
      </c>
      <c r="E2352" s="208">
        <v>43037</v>
      </c>
      <c r="F2352" t="s">
        <v>4877</v>
      </c>
      <c r="G2352" t="s">
        <v>4768</v>
      </c>
    </row>
    <row r="2353" spans="1:7">
      <c r="A2353" t="s">
        <v>9444</v>
      </c>
      <c r="B2353" t="s">
        <v>9445</v>
      </c>
      <c r="C2353" t="s">
        <v>4884</v>
      </c>
      <c r="D2353">
        <v>177.14</v>
      </c>
      <c r="E2353" s="208">
        <v>43037</v>
      </c>
      <c r="F2353" t="s">
        <v>4877</v>
      </c>
      <c r="G2353" t="s">
        <v>4768</v>
      </c>
    </row>
    <row r="2354" spans="1:7">
      <c r="A2354" t="s">
        <v>9446</v>
      </c>
      <c r="B2354" t="s">
        <v>9447</v>
      </c>
      <c r="C2354" t="s">
        <v>4972</v>
      </c>
      <c r="D2354">
        <v>8.25</v>
      </c>
      <c r="E2354" s="208">
        <v>43037</v>
      </c>
      <c r="F2354" t="s">
        <v>4877</v>
      </c>
      <c r="G2354" t="s">
        <v>4768</v>
      </c>
    </row>
    <row r="2355" spans="1:7">
      <c r="A2355" t="s">
        <v>9448</v>
      </c>
      <c r="B2355" t="s">
        <v>9449</v>
      </c>
      <c r="C2355" t="s">
        <v>8461</v>
      </c>
      <c r="D2355">
        <v>125.33</v>
      </c>
      <c r="E2355" s="208">
        <v>43035</v>
      </c>
      <c r="F2355" t="s">
        <v>4767</v>
      </c>
      <c r="G2355" t="s">
        <v>4768</v>
      </c>
    </row>
    <row r="2356" spans="1:7">
      <c r="A2356" t="s">
        <v>9450</v>
      </c>
      <c r="B2356" t="s">
        <v>9451</v>
      </c>
      <c r="C2356" t="s">
        <v>4766</v>
      </c>
      <c r="D2356">
        <v>12.22</v>
      </c>
      <c r="E2356" s="208">
        <v>43034</v>
      </c>
      <c r="F2356" t="s">
        <v>4832</v>
      </c>
      <c r="G2356" t="s">
        <v>4768</v>
      </c>
    </row>
    <row r="2357" spans="1:7">
      <c r="A2357" t="s">
        <v>9452</v>
      </c>
      <c r="B2357" t="s">
        <v>9453</v>
      </c>
      <c r="C2357" t="s">
        <v>5286</v>
      </c>
      <c r="D2357">
        <v>14.71</v>
      </c>
      <c r="E2357" s="208">
        <v>43034</v>
      </c>
      <c r="F2357" t="s">
        <v>9454</v>
      </c>
      <c r="G2357" t="s">
        <v>4768</v>
      </c>
    </row>
    <row r="2358" spans="1:7">
      <c r="A2358" t="s">
        <v>9455</v>
      </c>
      <c r="B2358" t="s">
        <v>9456</v>
      </c>
      <c r="C2358" t="s">
        <v>4806</v>
      </c>
      <c r="D2358">
        <v>18.399999999999999</v>
      </c>
      <c r="E2358" s="208">
        <v>43034</v>
      </c>
      <c r="F2358" t="s">
        <v>8799</v>
      </c>
      <c r="G2358" t="s">
        <v>4768</v>
      </c>
    </row>
    <row r="2359" spans="1:7">
      <c r="A2359" t="s">
        <v>9457</v>
      </c>
      <c r="B2359" t="s">
        <v>9458</v>
      </c>
      <c r="C2359" t="s">
        <v>4766</v>
      </c>
      <c r="D2359">
        <v>115</v>
      </c>
      <c r="E2359" s="208">
        <v>43031</v>
      </c>
      <c r="F2359" t="s">
        <v>9138</v>
      </c>
      <c r="G2359" t="s">
        <v>4768</v>
      </c>
    </row>
    <row r="2360" spans="1:7">
      <c r="A2360" t="s">
        <v>9459</v>
      </c>
      <c r="B2360" t="s">
        <v>9460</v>
      </c>
      <c r="C2360" t="s">
        <v>4766</v>
      </c>
      <c r="D2360">
        <v>14.07</v>
      </c>
      <c r="E2360" s="208">
        <v>43027</v>
      </c>
      <c r="F2360" t="s">
        <v>8386</v>
      </c>
      <c r="G2360" t="s">
        <v>4768</v>
      </c>
    </row>
    <row r="2361" spans="1:7">
      <c r="A2361" t="s">
        <v>9461</v>
      </c>
      <c r="B2361" t="s">
        <v>9462</v>
      </c>
      <c r="C2361" t="s">
        <v>4884</v>
      </c>
      <c r="D2361">
        <v>143</v>
      </c>
      <c r="E2361" s="208">
        <v>43027</v>
      </c>
      <c r="F2361" t="s">
        <v>4804</v>
      </c>
      <c r="G2361" t="s">
        <v>4768</v>
      </c>
    </row>
    <row r="2362" spans="1:7">
      <c r="A2362" t="s">
        <v>9463</v>
      </c>
      <c r="B2362" t="s">
        <v>9464</v>
      </c>
      <c r="C2362" t="s">
        <v>4806</v>
      </c>
      <c r="D2362">
        <v>13.77</v>
      </c>
      <c r="E2362" s="208">
        <v>43026</v>
      </c>
      <c r="F2362" t="s">
        <v>4767</v>
      </c>
      <c r="G2362" t="s">
        <v>4768</v>
      </c>
    </row>
    <row r="2363" spans="1:7">
      <c r="A2363" t="s">
        <v>9465</v>
      </c>
      <c r="B2363" t="s">
        <v>9466</v>
      </c>
      <c r="C2363" t="s">
        <v>4766</v>
      </c>
      <c r="D2363">
        <v>27.49</v>
      </c>
      <c r="E2363" s="208">
        <v>43025</v>
      </c>
      <c r="F2363" t="s">
        <v>4767</v>
      </c>
      <c r="G2363" t="s">
        <v>4768</v>
      </c>
    </row>
    <row r="2364" spans="1:7">
      <c r="A2364" t="s">
        <v>9467</v>
      </c>
      <c r="B2364" t="s">
        <v>9468</v>
      </c>
      <c r="C2364" t="s">
        <v>4766</v>
      </c>
      <c r="D2364">
        <v>40</v>
      </c>
      <c r="E2364" s="208">
        <v>43021</v>
      </c>
      <c r="F2364" t="s">
        <v>8197</v>
      </c>
      <c r="G2364" t="s">
        <v>4768</v>
      </c>
    </row>
    <row r="2365" spans="1:7">
      <c r="A2365" t="s">
        <v>9469</v>
      </c>
      <c r="B2365" t="s">
        <v>9470</v>
      </c>
      <c r="C2365" t="s">
        <v>4795</v>
      </c>
      <c r="D2365">
        <v>140</v>
      </c>
      <c r="E2365" s="208">
        <v>43020</v>
      </c>
      <c r="F2365" t="s">
        <v>4877</v>
      </c>
      <c r="G2365" t="s">
        <v>4768</v>
      </c>
    </row>
    <row r="2366" spans="1:7">
      <c r="A2366" t="s">
        <v>9471</v>
      </c>
      <c r="B2366" t="s">
        <v>9472</v>
      </c>
      <c r="C2366" t="s">
        <v>4766</v>
      </c>
      <c r="D2366">
        <v>11.38</v>
      </c>
      <c r="E2366" s="208">
        <v>43016</v>
      </c>
      <c r="F2366" t="s">
        <v>8386</v>
      </c>
      <c r="G2366" t="s">
        <v>4768</v>
      </c>
    </row>
    <row r="2367" spans="1:7">
      <c r="A2367" t="s">
        <v>9473</v>
      </c>
      <c r="B2367" t="s">
        <v>9474</v>
      </c>
      <c r="C2367" t="s">
        <v>4835</v>
      </c>
      <c r="D2367">
        <v>12.15</v>
      </c>
      <c r="E2367" s="208">
        <v>43014</v>
      </c>
      <c r="F2367" t="s">
        <v>4804</v>
      </c>
      <c r="G2367" t="s">
        <v>4768</v>
      </c>
    </row>
    <row r="2368" spans="1:7">
      <c r="A2368" t="s">
        <v>9475</v>
      </c>
      <c r="B2368" t="s">
        <v>9476</v>
      </c>
      <c r="C2368" t="s">
        <v>4766</v>
      </c>
      <c r="D2368">
        <v>85</v>
      </c>
      <c r="E2368" s="208">
        <v>43013</v>
      </c>
      <c r="F2368" t="s">
        <v>8197</v>
      </c>
      <c r="G2368" t="s">
        <v>4768</v>
      </c>
    </row>
    <row r="2369" spans="1:7">
      <c r="A2369" t="s">
        <v>9477</v>
      </c>
      <c r="B2369" t="s">
        <v>9478</v>
      </c>
      <c r="C2369" t="s">
        <v>4884</v>
      </c>
      <c r="D2369">
        <v>207.59</v>
      </c>
      <c r="E2369" s="208">
        <v>43012</v>
      </c>
      <c r="F2369" t="s">
        <v>4767</v>
      </c>
      <c r="G2369" t="s">
        <v>4768</v>
      </c>
    </row>
    <row r="2370" spans="1:7">
      <c r="A2370" t="s">
        <v>9479</v>
      </c>
      <c r="B2370" t="s">
        <v>9480</v>
      </c>
      <c r="C2370" t="s">
        <v>4884</v>
      </c>
      <c r="D2370">
        <v>145</v>
      </c>
      <c r="E2370" s="208">
        <v>43007</v>
      </c>
      <c r="F2370" t="s">
        <v>4877</v>
      </c>
      <c r="G2370" t="s">
        <v>4768</v>
      </c>
    </row>
    <row r="2371" spans="1:7">
      <c r="A2371" t="s">
        <v>9481</v>
      </c>
      <c r="B2371" t="s">
        <v>9482</v>
      </c>
      <c r="C2371" t="s">
        <v>4766</v>
      </c>
      <c r="D2371">
        <v>29.75</v>
      </c>
      <c r="E2371" s="208">
        <v>43007</v>
      </c>
      <c r="F2371" t="s">
        <v>4877</v>
      </c>
      <c r="G2371" t="s">
        <v>4768</v>
      </c>
    </row>
    <row r="2372" spans="1:7">
      <c r="A2372" t="s">
        <v>9483</v>
      </c>
      <c r="B2372" t="s">
        <v>9484</v>
      </c>
      <c r="C2372" t="s">
        <v>4766</v>
      </c>
      <c r="D2372">
        <v>31.45</v>
      </c>
      <c r="E2372" s="208">
        <v>43007</v>
      </c>
      <c r="F2372" t="s">
        <v>4877</v>
      </c>
      <c r="G2372" t="s">
        <v>4768</v>
      </c>
    </row>
    <row r="2373" spans="1:7">
      <c r="A2373" t="s">
        <v>9485</v>
      </c>
      <c r="B2373" t="s">
        <v>9486</v>
      </c>
      <c r="C2373" t="s">
        <v>4766</v>
      </c>
      <c r="D2373">
        <v>31.45</v>
      </c>
      <c r="E2373" s="208">
        <v>43007</v>
      </c>
      <c r="F2373" t="s">
        <v>4877</v>
      </c>
      <c r="G2373" t="s">
        <v>4768</v>
      </c>
    </row>
    <row r="2374" spans="1:7">
      <c r="A2374" t="s">
        <v>9487</v>
      </c>
      <c r="B2374" t="s">
        <v>9488</v>
      </c>
      <c r="C2374" t="s">
        <v>4766</v>
      </c>
      <c r="D2374">
        <v>29.75</v>
      </c>
      <c r="E2374" s="208">
        <v>43007</v>
      </c>
      <c r="F2374" t="s">
        <v>4877</v>
      </c>
      <c r="G2374" t="s">
        <v>4768</v>
      </c>
    </row>
    <row r="2375" spans="1:7">
      <c r="A2375" t="s">
        <v>9489</v>
      </c>
      <c r="B2375" t="s">
        <v>9490</v>
      </c>
      <c r="C2375" t="s">
        <v>4766</v>
      </c>
      <c r="D2375">
        <v>26.37</v>
      </c>
      <c r="E2375" s="208">
        <v>43007</v>
      </c>
      <c r="F2375" t="s">
        <v>4877</v>
      </c>
      <c r="G2375" t="s">
        <v>4768</v>
      </c>
    </row>
    <row r="2376" spans="1:7">
      <c r="A2376" t="s">
        <v>9491</v>
      </c>
      <c r="B2376" t="s">
        <v>9492</v>
      </c>
      <c r="C2376" t="s">
        <v>4766</v>
      </c>
      <c r="D2376">
        <v>25.52</v>
      </c>
      <c r="E2376" s="208">
        <v>43007</v>
      </c>
      <c r="F2376" t="s">
        <v>4877</v>
      </c>
      <c r="G2376" t="s">
        <v>4768</v>
      </c>
    </row>
    <row r="2377" spans="1:7">
      <c r="A2377" t="s">
        <v>9493</v>
      </c>
      <c r="B2377" t="s">
        <v>9494</v>
      </c>
      <c r="C2377" t="s">
        <v>4766</v>
      </c>
      <c r="D2377">
        <v>28.06</v>
      </c>
      <c r="E2377" s="208">
        <v>43007</v>
      </c>
      <c r="F2377" t="s">
        <v>4877</v>
      </c>
      <c r="G2377" t="s">
        <v>4768</v>
      </c>
    </row>
    <row r="2378" spans="1:7">
      <c r="A2378" t="s">
        <v>9495</v>
      </c>
      <c r="B2378" t="s">
        <v>9496</v>
      </c>
      <c r="C2378" t="s">
        <v>4771</v>
      </c>
      <c r="D2378">
        <v>49.5</v>
      </c>
      <c r="E2378" s="208">
        <v>43004</v>
      </c>
      <c r="F2378" t="s">
        <v>4767</v>
      </c>
      <c r="G2378" t="s">
        <v>4768</v>
      </c>
    </row>
    <row r="2379" spans="1:7">
      <c r="A2379" t="s">
        <v>9497</v>
      </c>
      <c r="B2379" t="s">
        <v>9498</v>
      </c>
      <c r="C2379" t="s">
        <v>4895</v>
      </c>
      <c r="D2379">
        <v>23.16</v>
      </c>
      <c r="E2379" s="208">
        <v>43004</v>
      </c>
      <c r="F2379" t="s">
        <v>4767</v>
      </c>
      <c r="G2379" t="s">
        <v>4768</v>
      </c>
    </row>
    <row r="2380" spans="1:7">
      <c r="A2380" t="s">
        <v>9499</v>
      </c>
      <c r="B2380" t="s">
        <v>9500</v>
      </c>
      <c r="C2380" t="s">
        <v>4766</v>
      </c>
      <c r="D2380">
        <v>42.4</v>
      </c>
      <c r="E2380" s="208">
        <v>43004</v>
      </c>
      <c r="F2380" t="s">
        <v>8799</v>
      </c>
      <c r="G2380" t="s">
        <v>4768</v>
      </c>
    </row>
    <row r="2381" spans="1:7">
      <c r="A2381" t="s">
        <v>9501</v>
      </c>
      <c r="B2381" t="s">
        <v>9502</v>
      </c>
      <c r="C2381" t="s">
        <v>4888</v>
      </c>
      <c r="D2381">
        <v>2.0099999999999998</v>
      </c>
      <c r="E2381" s="208">
        <v>43000</v>
      </c>
      <c r="F2381" t="s">
        <v>8386</v>
      </c>
      <c r="G2381" t="s">
        <v>4768</v>
      </c>
    </row>
    <row r="2382" spans="1:7">
      <c r="A2382" t="s">
        <v>9503</v>
      </c>
      <c r="B2382" t="s">
        <v>7876</v>
      </c>
      <c r="C2382" t="s">
        <v>4766</v>
      </c>
      <c r="D2382">
        <v>9.9700000000000006</v>
      </c>
      <c r="E2382" s="208">
        <v>42999</v>
      </c>
      <c r="F2382" t="s">
        <v>6534</v>
      </c>
      <c r="G2382" t="s">
        <v>4768</v>
      </c>
    </row>
    <row r="2383" spans="1:7">
      <c r="A2383" t="s">
        <v>9504</v>
      </c>
      <c r="B2383" t="s">
        <v>9505</v>
      </c>
      <c r="C2383" t="s">
        <v>4766</v>
      </c>
      <c r="D2383">
        <v>59.57</v>
      </c>
      <c r="E2383" s="208">
        <v>42997</v>
      </c>
      <c r="F2383" t="s">
        <v>4832</v>
      </c>
      <c r="G2383" t="s">
        <v>4768</v>
      </c>
    </row>
    <row r="2384" spans="1:7">
      <c r="A2384" t="s">
        <v>9506</v>
      </c>
      <c r="B2384" t="s">
        <v>9507</v>
      </c>
      <c r="C2384" t="s">
        <v>4766</v>
      </c>
      <c r="D2384">
        <v>74.81</v>
      </c>
      <c r="E2384" s="208">
        <v>42996</v>
      </c>
      <c r="F2384" t="s">
        <v>4832</v>
      </c>
      <c r="G2384" t="s">
        <v>4768</v>
      </c>
    </row>
    <row r="2385" spans="1:7">
      <c r="A2385" t="s">
        <v>9508</v>
      </c>
      <c r="B2385" t="s">
        <v>9509</v>
      </c>
      <c r="C2385" t="s">
        <v>4766</v>
      </c>
      <c r="D2385">
        <v>169.99</v>
      </c>
      <c r="E2385" s="208">
        <v>42996</v>
      </c>
      <c r="F2385" t="s">
        <v>8509</v>
      </c>
      <c r="G2385" t="s">
        <v>4768</v>
      </c>
    </row>
    <row r="2386" spans="1:7">
      <c r="A2386" t="s">
        <v>9510</v>
      </c>
      <c r="B2386" t="s">
        <v>9511</v>
      </c>
      <c r="C2386" t="s">
        <v>4766</v>
      </c>
      <c r="D2386">
        <v>13.99</v>
      </c>
      <c r="E2386" s="208">
        <v>42992</v>
      </c>
      <c r="F2386" t="s">
        <v>4767</v>
      </c>
      <c r="G2386" t="s">
        <v>4768</v>
      </c>
    </row>
    <row r="2387" spans="1:7">
      <c r="A2387" t="s">
        <v>9512</v>
      </c>
      <c r="B2387" t="s">
        <v>9513</v>
      </c>
      <c r="C2387" t="s">
        <v>6613</v>
      </c>
      <c r="D2387">
        <v>1020</v>
      </c>
      <c r="E2387" s="208">
        <v>42991</v>
      </c>
      <c r="F2387" t="s">
        <v>4772</v>
      </c>
      <c r="G2387" t="s">
        <v>4768</v>
      </c>
    </row>
    <row r="2388" spans="1:7">
      <c r="A2388" t="s">
        <v>9514</v>
      </c>
      <c r="B2388" t="s">
        <v>9515</v>
      </c>
      <c r="C2388" t="s">
        <v>6613</v>
      </c>
      <c r="D2388">
        <v>1530</v>
      </c>
      <c r="E2388" s="208">
        <v>42991</v>
      </c>
      <c r="F2388" t="s">
        <v>4772</v>
      </c>
      <c r="G2388" t="s">
        <v>4768</v>
      </c>
    </row>
    <row r="2389" spans="1:7">
      <c r="A2389" t="s">
        <v>9516</v>
      </c>
      <c r="B2389" t="s">
        <v>9517</v>
      </c>
      <c r="C2389" t="s">
        <v>4766</v>
      </c>
      <c r="D2389">
        <v>38.46</v>
      </c>
      <c r="E2389" s="208">
        <v>42990</v>
      </c>
      <c r="F2389" t="s">
        <v>8494</v>
      </c>
      <c r="G2389" t="s">
        <v>4768</v>
      </c>
    </row>
    <row r="2390" spans="1:7">
      <c r="A2390" t="s">
        <v>9518</v>
      </c>
      <c r="B2390" t="s">
        <v>9519</v>
      </c>
      <c r="C2390" t="s">
        <v>4766</v>
      </c>
      <c r="D2390">
        <v>40.47</v>
      </c>
      <c r="E2390" s="208">
        <v>42990</v>
      </c>
      <c r="F2390" t="s">
        <v>8386</v>
      </c>
      <c r="G2390" t="s">
        <v>4768</v>
      </c>
    </row>
    <row r="2391" spans="1:7">
      <c r="A2391" t="s">
        <v>9520</v>
      </c>
      <c r="B2391" t="s">
        <v>7490</v>
      </c>
      <c r="C2391" t="s">
        <v>4845</v>
      </c>
      <c r="D2391">
        <v>49</v>
      </c>
      <c r="E2391" s="208">
        <v>42990</v>
      </c>
      <c r="F2391" t="s">
        <v>4767</v>
      </c>
      <c r="G2391" t="s">
        <v>4768</v>
      </c>
    </row>
    <row r="2392" spans="1:7">
      <c r="A2392" t="s">
        <v>9521</v>
      </c>
      <c r="B2392" t="s">
        <v>9522</v>
      </c>
      <c r="C2392" t="s">
        <v>4766</v>
      </c>
      <c r="D2392">
        <v>91.08</v>
      </c>
      <c r="E2392" s="208">
        <v>42989</v>
      </c>
      <c r="F2392" t="s">
        <v>8386</v>
      </c>
      <c r="G2392" t="s">
        <v>4768</v>
      </c>
    </row>
    <row r="2393" spans="1:7">
      <c r="A2393" t="s">
        <v>9523</v>
      </c>
      <c r="B2393" t="s">
        <v>9524</v>
      </c>
      <c r="C2393" t="s">
        <v>4766</v>
      </c>
      <c r="D2393">
        <v>11.49</v>
      </c>
      <c r="E2393" s="208">
        <v>42989</v>
      </c>
      <c r="F2393" t="s">
        <v>8386</v>
      </c>
      <c r="G2393" t="s">
        <v>4768</v>
      </c>
    </row>
    <row r="2394" spans="1:7">
      <c r="A2394" t="s">
        <v>9525</v>
      </c>
      <c r="B2394" t="s">
        <v>9526</v>
      </c>
      <c r="C2394" t="s">
        <v>4766</v>
      </c>
      <c r="D2394">
        <v>1.28</v>
      </c>
      <c r="E2394" s="208">
        <v>42989</v>
      </c>
      <c r="F2394" t="s">
        <v>8386</v>
      </c>
      <c r="G2394" t="s">
        <v>4768</v>
      </c>
    </row>
    <row r="2395" spans="1:7">
      <c r="A2395" t="s">
        <v>9527</v>
      </c>
      <c r="B2395" t="s">
        <v>9528</v>
      </c>
      <c r="C2395" t="s">
        <v>4766</v>
      </c>
      <c r="D2395">
        <v>0.33</v>
      </c>
      <c r="E2395" s="208">
        <v>42986</v>
      </c>
      <c r="F2395" t="s">
        <v>8386</v>
      </c>
      <c r="G2395" t="s">
        <v>4768</v>
      </c>
    </row>
    <row r="2396" spans="1:7">
      <c r="A2396" t="s">
        <v>9529</v>
      </c>
      <c r="B2396" t="s">
        <v>9530</v>
      </c>
      <c r="C2396" t="s">
        <v>4766</v>
      </c>
      <c r="D2396">
        <v>109</v>
      </c>
      <c r="E2396" s="208">
        <v>42985</v>
      </c>
      <c r="F2396" t="s">
        <v>4767</v>
      </c>
      <c r="G2396" t="s">
        <v>4768</v>
      </c>
    </row>
    <row r="2397" spans="1:7">
      <c r="A2397" t="s">
        <v>9531</v>
      </c>
      <c r="B2397" t="s">
        <v>9532</v>
      </c>
      <c r="C2397" t="s">
        <v>4766</v>
      </c>
      <c r="D2397">
        <v>14.97</v>
      </c>
      <c r="E2397" s="208">
        <v>42983</v>
      </c>
      <c r="F2397" t="s">
        <v>6534</v>
      </c>
      <c r="G2397" t="s">
        <v>4768</v>
      </c>
    </row>
    <row r="2398" spans="1:7">
      <c r="A2398" t="s">
        <v>9533</v>
      </c>
      <c r="B2398" t="s">
        <v>9534</v>
      </c>
      <c r="C2398" t="s">
        <v>4766</v>
      </c>
      <c r="D2398">
        <v>99.72</v>
      </c>
      <c r="E2398" s="208">
        <v>42983</v>
      </c>
      <c r="F2398" t="s">
        <v>4767</v>
      </c>
      <c r="G2398" t="s">
        <v>4768</v>
      </c>
    </row>
    <row r="2399" spans="1:7">
      <c r="A2399" t="s">
        <v>9535</v>
      </c>
      <c r="B2399" t="s">
        <v>9536</v>
      </c>
      <c r="C2399" t="s">
        <v>4845</v>
      </c>
      <c r="D2399">
        <v>24.64</v>
      </c>
      <c r="E2399" s="208">
        <v>42983</v>
      </c>
      <c r="F2399" t="s">
        <v>4767</v>
      </c>
      <c r="G2399" t="s">
        <v>4768</v>
      </c>
    </row>
    <row r="2400" spans="1:7">
      <c r="A2400" t="s">
        <v>9537</v>
      </c>
      <c r="B2400" t="s">
        <v>9538</v>
      </c>
      <c r="C2400" t="s">
        <v>4766</v>
      </c>
      <c r="D2400">
        <v>169</v>
      </c>
      <c r="E2400" s="208">
        <v>42977</v>
      </c>
      <c r="F2400" t="s">
        <v>9060</v>
      </c>
      <c r="G2400" t="s">
        <v>4768</v>
      </c>
    </row>
    <row r="2401" spans="1:7">
      <c r="A2401" t="s">
        <v>9539</v>
      </c>
      <c r="B2401" t="s">
        <v>9540</v>
      </c>
      <c r="C2401" t="s">
        <v>4766</v>
      </c>
      <c r="D2401">
        <v>99.99</v>
      </c>
      <c r="E2401" s="208">
        <v>42977</v>
      </c>
      <c r="F2401" t="s">
        <v>7796</v>
      </c>
      <c r="G2401" t="s">
        <v>4768</v>
      </c>
    </row>
    <row r="2402" spans="1:7">
      <c r="A2402" t="s">
        <v>9541</v>
      </c>
      <c r="B2402" t="s">
        <v>9542</v>
      </c>
      <c r="C2402" t="s">
        <v>4831</v>
      </c>
      <c r="D2402">
        <v>59.87</v>
      </c>
      <c r="E2402" s="208">
        <v>42977</v>
      </c>
      <c r="F2402" t="s">
        <v>8799</v>
      </c>
      <c r="G2402" t="s">
        <v>4768</v>
      </c>
    </row>
    <row r="2403" spans="1:7">
      <c r="A2403" t="s">
        <v>9543</v>
      </c>
      <c r="B2403" t="s">
        <v>9544</v>
      </c>
      <c r="C2403" t="s">
        <v>4766</v>
      </c>
      <c r="D2403">
        <v>28.97</v>
      </c>
      <c r="E2403" s="208">
        <v>42977</v>
      </c>
      <c r="F2403" t="s">
        <v>9060</v>
      </c>
      <c r="G2403" t="s">
        <v>4768</v>
      </c>
    </row>
    <row r="2404" spans="1:7">
      <c r="A2404" t="s">
        <v>9545</v>
      </c>
      <c r="B2404" t="s">
        <v>9546</v>
      </c>
      <c r="C2404" t="s">
        <v>4766</v>
      </c>
      <c r="D2404">
        <v>3</v>
      </c>
      <c r="E2404" s="208">
        <v>42976</v>
      </c>
      <c r="F2404" t="s">
        <v>4877</v>
      </c>
      <c r="G2404" t="s">
        <v>4768</v>
      </c>
    </row>
    <row r="2405" spans="1:7">
      <c r="A2405" t="s">
        <v>9547</v>
      </c>
      <c r="B2405" t="s">
        <v>9548</v>
      </c>
      <c r="C2405" t="s">
        <v>4766</v>
      </c>
      <c r="D2405">
        <v>13.72</v>
      </c>
      <c r="E2405" s="208">
        <v>42975</v>
      </c>
      <c r="F2405" t="s">
        <v>4767</v>
      </c>
      <c r="G2405" t="s">
        <v>4768</v>
      </c>
    </row>
    <row r="2406" spans="1:7">
      <c r="A2406" t="s">
        <v>9549</v>
      </c>
      <c r="B2406" t="s">
        <v>9550</v>
      </c>
      <c r="C2406" t="s">
        <v>4766</v>
      </c>
      <c r="D2406">
        <v>7.29</v>
      </c>
      <c r="E2406" s="208">
        <v>42972</v>
      </c>
      <c r="F2406" t="s">
        <v>4767</v>
      </c>
      <c r="G2406" t="s">
        <v>4768</v>
      </c>
    </row>
    <row r="2407" spans="1:7">
      <c r="A2407" t="s">
        <v>9551</v>
      </c>
      <c r="B2407" t="s">
        <v>9552</v>
      </c>
      <c r="C2407" t="s">
        <v>4766</v>
      </c>
      <c r="D2407">
        <v>29.6</v>
      </c>
      <c r="E2407" s="208">
        <v>42969</v>
      </c>
      <c r="F2407" t="s">
        <v>4767</v>
      </c>
      <c r="G2407" t="s">
        <v>4768</v>
      </c>
    </row>
    <row r="2408" spans="1:7">
      <c r="A2408" t="s">
        <v>9553</v>
      </c>
      <c r="B2408" t="s">
        <v>9554</v>
      </c>
      <c r="C2408" t="s">
        <v>4766</v>
      </c>
      <c r="D2408">
        <v>20198</v>
      </c>
      <c r="E2408" s="208">
        <v>42968</v>
      </c>
      <c r="F2408" t="s">
        <v>4767</v>
      </c>
      <c r="G2408" t="s">
        <v>4768</v>
      </c>
    </row>
    <row r="2409" spans="1:7">
      <c r="A2409" t="s">
        <v>9555</v>
      </c>
      <c r="B2409" t="s">
        <v>9556</v>
      </c>
      <c r="C2409" t="s">
        <v>4766</v>
      </c>
      <c r="D2409">
        <v>36.54</v>
      </c>
      <c r="E2409" s="208">
        <v>42968</v>
      </c>
      <c r="F2409" t="s">
        <v>4832</v>
      </c>
      <c r="G2409" t="s">
        <v>4768</v>
      </c>
    </row>
    <row r="2410" spans="1:7">
      <c r="A2410" t="s">
        <v>9557</v>
      </c>
      <c r="B2410" t="s">
        <v>9558</v>
      </c>
      <c r="C2410" t="s">
        <v>562</v>
      </c>
      <c r="D2410">
        <v>50</v>
      </c>
      <c r="E2410" s="208">
        <v>42965</v>
      </c>
      <c r="F2410" t="s">
        <v>4804</v>
      </c>
      <c r="G2410" t="s">
        <v>4768</v>
      </c>
    </row>
    <row r="2411" spans="1:7">
      <c r="A2411" t="s">
        <v>9559</v>
      </c>
      <c r="B2411" t="s">
        <v>9560</v>
      </c>
      <c r="C2411" t="s">
        <v>5172</v>
      </c>
      <c r="D2411">
        <v>108.05</v>
      </c>
      <c r="E2411" s="208">
        <v>42964</v>
      </c>
      <c r="F2411" t="s">
        <v>4804</v>
      </c>
      <c r="G2411" t="s">
        <v>4768</v>
      </c>
    </row>
    <row r="2412" spans="1:7">
      <c r="A2412" t="s">
        <v>9561</v>
      </c>
      <c r="B2412" t="s">
        <v>9562</v>
      </c>
      <c r="C2412" t="s">
        <v>4766</v>
      </c>
      <c r="D2412">
        <v>11.29</v>
      </c>
      <c r="E2412" s="208">
        <v>42964</v>
      </c>
      <c r="F2412" t="s">
        <v>8386</v>
      </c>
      <c r="G2412" t="s">
        <v>4768</v>
      </c>
    </row>
    <row r="2413" spans="1:7">
      <c r="A2413" t="s">
        <v>9563</v>
      </c>
      <c r="B2413" t="s">
        <v>9564</v>
      </c>
      <c r="C2413" t="s">
        <v>4884</v>
      </c>
      <c r="D2413">
        <v>94.99</v>
      </c>
      <c r="E2413" s="208">
        <v>42964</v>
      </c>
      <c r="F2413" t="s">
        <v>8386</v>
      </c>
      <c r="G2413" t="s">
        <v>4768</v>
      </c>
    </row>
    <row r="2414" spans="1:7">
      <c r="A2414" t="s">
        <v>9565</v>
      </c>
      <c r="B2414" t="s">
        <v>9566</v>
      </c>
      <c r="C2414" t="s">
        <v>4766</v>
      </c>
      <c r="D2414">
        <v>99</v>
      </c>
      <c r="E2414" s="208">
        <v>42963</v>
      </c>
      <c r="F2414" t="s">
        <v>8386</v>
      </c>
      <c r="G2414" t="s">
        <v>4768</v>
      </c>
    </row>
    <row r="2415" spans="1:7">
      <c r="A2415" t="s">
        <v>9567</v>
      </c>
      <c r="B2415" t="s">
        <v>9568</v>
      </c>
      <c r="C2415" t="s">
        <v>4766</v>
      </c>
      <c r="D2415">
        <v>55.19</v>
      </c>
      <c r="E2415" s="208">
        <v>42963</v>
      </c>
      <c r="F2415" t="s">
        <v>8386</v>
      </c>
      <c r="G2415" t="s">
        <v>4768</v>
      </c>
    </row>
    <row r="2416" spans="1:7">
      <c r="A2416" t="s">
        <v>9569</v>
      </c>
      <c r="B2416" t="s">
        <v>9570</v>
      </c>
      <c r="C2416" t="s">
        <v>562</v>
      </c>
      <c r="D2416">
        <v>14.91</v>
      </c>
      <c r="E2416" s="208">
        <v>42963</v>
      </c>
      <c r="F2416" t="s">
        <v>4804</v>
      </c>
      <c r="G2416" t="s">
        <v>4768</v>
      </c>
    </row>
    <row r="2417" spans="1:7">
      <c r="A2417" t="s">
        <v>9571</v>
      </c>
      <c r="B2417" t="s">
        <v>9572</v>
      </c>
      <c r="C2417" t="s">
        <v>562</v>
      </c>
      <c r="D2417">
        <v>24.96</v>
      </c>
      <c r="E2417" s="208">
        <v>42963</v>
      </c>
      <c r="F2417" t="s">
        <v>4804</v>
      </c>
      <c r="G2417" t="s">
        <v>4768</v>
      </c>
    </row>
    <row r="2418" spans="1:7">
      <c r="A2418" t="s">
        <v>9573</v>
      </c>
      <c r="B2418" t="s">
        <v>9574</v>
      </c>
      <c r="C2418" t="s">
        <v>6866</v>
      </c>
      <c r="D2418">
        <v>376.26</v>
      </c>
      <c r="E2418" s="208">
        <v>42963</v>
      </c>
      <c r="F2418" t="s">
        <v>4804</v>
      </c>
      <c r="G2418" t="s">
        <v>4768</v>
      </c>
    </row>
    <row r="2419" spans="1:7">
      <c r="A2419" t="s">
        <v>9575</v>
      </c>
      <c r="B2419" t="s">
        <v>9576</v>
      </c>
      <c r="C2419" t="s">
        <v>4766</v>
      </c>
      <c r="D2419">
        <v>7.1</v>
      </c>
      <c r="E2419" s="208">
        <v>42962</v>
      </c>
      <c r="F2419" t="s">
        <v>4832</v>
      </c>
      <c r="G2419" t="s">
        <v>4768</v>
      </c>
    </row>
    <row r="2420" spans="1:7">
      <c r="A2420" t="s">
        <v>9577</v>
      </c>
      <c r="B2420" t="s">
        <v>9578</v>
      </c>
      <c r="C2420" t="s">
        <v>4766</v>
      </c>
      <c r="D2420">
        <v>53.75</v>
      </c>
      <c r="E2420" s="208">
        <v>42962</v>
      </c>
      <c r="F2420" t="s">
        <v>4772</v>
      </c>
      <c r="G2420" t="s">
        <v>4768</v>
      </c>
    </row>
    <row r="2421" spans="1:7">
      <c r="A2421" t="s">
        <v>9579</v>
      </c>
      <c r="B2421" t="s">
        <v>9580</v>
      </c>
      <c r="C2421" t="s">
        <v>4766</v>
      </c>
      <c r="D2421">
        <v>22.5</v>
      </c>
      <c r="E2421" s="208">
        <v>42962</v>
      </c>
      <c r="F2421" t="s">
        <v>4772</v>
      </c>
      <c r="G2421" t="s">
        <v>4768</v>
      </c>
    </row>
    <row r="2422" spans="1:7">
      <c r="A2422" t="s">
        <v>9581</v>
      </c>
      <c r="B2422" t="s">
        <v>9582</v>
      </c>
      <c r="C2422" t="s">
        <v>4766</v>
      </c>
      <c r="D2422">
        <v>32</v>
      </c>
      <c r="E2422" s="208">
        <v>42962</v>
      </c>
      <c r="F2422" t="s">
        <v>4877</v>
      </c>
      <c r="G2422" t="s">
        <v>4768</v>
      </c>
    </row>
    <row r="2423" spans="1:7">
      <c r="A2423" t="s">
        <v>9583</v>
      </c>
      <c r="B2423" t="s">
        <v>9584</v>
      </c>
      <c r="C2423" t="s">
        <v>5286</v>
      </c>
      <c r="D2423">
        <v>17.63</v>
      </c>
      <c r="E2423" s="208">
        <v>42961</v>
      </c>
      <c r="F2423" t="s">
        <v>8386</v>
      </c>
      <c r="G2423" t="s">
        <v>4768</v>
      </c>
    </row>
    <row r="2424" spans="1:7">
      <c r="A2424" t="s">
        <v>9585</v>
      </c>
      <c r="B2424" t="s">
        <v>9586</v>
      </c>
      <c r="C2424" t="s">
        <v>4766</v>
      </c>
      <c r="D2424">
        <v>345</v>
      </c>
      <c r="E2424" s="208">
        <v>42961</v>
      </c>
      <c r="F2424" t="s">
        <v>4772</v>
      </c>
      <c r="G2424" t="s">
        <v>4768</v>
      </c>
    </row>
    <row r="2425" spans="1:7">
      <c r="A2425" t="s">
        <v>9587</v>
      </c>
      <c r="B2425" t="s">
        <v>9588</v>
      </c>
      <c r="C2425" t="s">
        <v>4766</v>
      </c>
      <c r="D2425">
        <v>52.89</v>
      </c>
      <c r="E2425" s="208">
        <v>42958</v>
      </c>
      <c r="F2425" t="s">
        <v>4832</v>
      </c>
      <c r="G2425" t="s">
        <v>4768</v>
      </c>
    </row>
    <row r="2426" spans="1:7">
      <c r="A2426" t="s">
        <v>9589</v>
      </c>
      <c r="B2426" t="s">
        <v>9590</v>
      </c>
      <c r="C2426" t="s">
        <v>4766</v>
      </c>
      <c r="D2426">
        <v>22.34</v>
      </c>
      <c r="E2426" s="208">
        <v>42958</v>
      </c>
      <c r="F2426" t="s">
        <v>4832</v>
      </c>
      <c r="G2426" t="s">
        <v>4768</v>
      </c>
    </row>
    <row r="2427" spans="1:7">
      <c r="A2427" t="s">
        <v>9591</v>
      </c>
      <c r="B2427" t="s">
        <v>9592</v>
      </c>
      <c r="C2427" t="s">
        <v>4831</v>
      </c>
      <c r="D2427">
        <v>12.02</v>
      </c>
      <c r="E2427" s="208">
        <v>42958</v>
      </c>
      <c r="F2427" t="s">
        <v>4832</v>
      </c>
      <c r="G2427" t="s">
        <v>4768</v>
      </c>
    </row>
    <row r="2428" spans="1:7">
      <c r="A2428" t="s">
        <v>9593</v>
      </c>
      <c r="B2428" t="s">
        <v>9594</v>
      </c>
      <c r="C2428" t="s">
        <v>4766</v>
      </c>
      <c r="D2428">
        <v>114.89</v>
      </c>
      <c r="E2428" s="208">
        <v>42956</v>
      </c>
      <c r="F2428" t="s">
        <v>4832</v>
      </c>
      <c r="G2428" t="s">
        <v>4768</v>
      </c>
    </row>
    <row r="2429" spans="1:7">
      <c r="A2429" t="s">
        <v>9595</v>
      </c>
      <c r="B2429" t="s">
        <v>9596</v>
      </c>
      <c r="C2429" t="s">
        <v>4766</v>
      </c>
      <c r="D2429">
        <v>9.34</v>
      </c>
      <c r="E2429" s="208">
        <v>42956</v>
      </c>
      <c r="F2429" t="s">
        <v>4832</v>
      </c>
      <c r="G2429" t="s">
        <v>4768</v>
      </c>
    </row>
    <row r="2430" spans="1:7">
      <c r="A2430" t="s">
        <v>9597</v>
      </c>
      <c r="B2430" t="s">
        <v>9598</v>
      </c>
      <c r="C2430" t="s">
        <v>4831</v>
      </c>
      <c r="D2430">
        <v>9.2100000000000009</v>
      </c>
      <c r="E2430" s="208">
        <v>42956</v>
      </c>
      <c r="F2430" t="s">
        <v>4832</v>
      </c>
      <c r="G2430" t="s">
        <v>4768</v>
      </c>
    </row>
    <row r="2431" spans="1:7">
      <c r="A2431" t="s">
        <v>9599</v>
      </c>
      <c r="B2431" t="s">
        <v>9600</v>
      </c>
      <c r="C2431" t="s">
        <v>4831</v>
      </c>
      <c r="D2431">
        <v>14.01</v>
      </c>
      <c r="E2431" s="208">
        <v>42956</v>
      </c>
      <c r="F2431" t="s">
        <v>4832</v>
      </c>
      <c r="G2431" t="s">
        <v>4768</v>
      </c>
    </row>
    <row r="2432" spans="1:7">
      <c r="A2432" t="s">
        <v>9601</v>
      </c>
      <c r="B2432" t="s">
        <v>9602</v>
      </c>
      <c r="C2432" t="s">
        <v>4766</v>
      </c>
      <c r="D2432">
        <v>2.57</v>
      </c>
      <c r="E2432" s="208">
        <v>42956</v>
      </c>
      <c r="F2432" t="s">
        <v>8386</v>
      </c>
      <c r="G2432" t="s">
        <v>4768</v>
      </c>
    </row>
    <row r="2433" spans="1:7">
      <c r="A2433" t="s">
        <v>9603</v>
      </c>
      <c r="B2433" t="s">
        <v>9604</v>
      </c>
      <c r="C2433" t="s">
        <v>4766</v>
      </c>
      <c r="D2433">
        <v>99</v>
      </c>
      <c r="E2433" s="208">
        <v>42955</v>
      </c>
      <c r="F2433" t="s">
        <v>4832</v>
      </c>
      <c r="G2433" t="s">
        <v>4768</v>
      </c>
    </row>
    <row r="2434" spans="1:7">
      <c r="A2434" t="s">
        <v>9605</v>
      </c>
      <c r="B2434" t="s">
        <v>9606</v>
      </c>
      <c r="C2434" t="s">
        <v>562</v>
      </c>
      <c r="D2434">
        <v>84</v>
      </c>
      <c r="E2434" s="208">
        <v>42951</v>
      </c>
      <c r="F2434" t="s">
        <v>4804</v>
      </c>
      <c r="G2434" t="s">
        <v>4768</v>
      </c>
    </row>
    <row r="2435" spans="1:7">
      <c r="A2435" t="s">
        <v>9607</v>
      </c>
      <c r="B2435" t="s">
        <v>9608</v>
      </c>
      <c r="C2435" t="s">
        <v>4766</v>
      </c>
      <c r="D2435">
        <v>21.36</v>
      </c>
      <c r="E2435" s="208">
        <v>42950</v>
      </c>
      <c r="F2435" t="s">
        <v>8799</v>
      </c>
      <c r="G2435" t="s">
        <v>4768</v>
      </c>
    </row>
    <row r="2436" spans="1:7">
      <c r="A2436" t="s">
        <v>9609</v>
      </c>
      <c r="B2436" t="s">
        <v>9610</v>
      </c>
      <c r="C2436" t="s">
        <v>4766</v>
      </c>
      <c r="D2436">
        <v>325</v>
      </c>
      <c r="E2436" s="208">
        <v>42949</v>
      </c>
      <c r="F2436" t="s">
        <v>9611</v>
      </c>
      <c r="G2436" t="s">
        <v>4768</v>
      </c>
    </row>
    <row r="2437" spans="1:7">
      <c r="A2437" t="s">
        <v>9612</v>
      </c>
      <c r="B2437" t="s">
        <v>9613</v>
      </c>
      <c r="C2437" t="s">
        <v>4766</v>
      </c>
      <c r="D2437">
        <v>16.829999999999998</v>
      </c>
      <c r="E2437" s="208">
        <v>42949</v>
      </c>
      <c r="F2437" t="s">
        <v>8386</v>
      </c>
      <c r="G2437" t="s">
        <v>4768</v>
      </c>
    </row>
    <row r="2438" spans="1:7">
      <c r="A2438" t="s">
        <v>9614</v>
      </c>
      <c r="B2438" t="s">
        <v>9615</v>
      </c>
      <c r="C2438" t="s">
        <v>4766</v>
      </c>
      <c r="D2438">
        <v>4.59</v>
      </c>
      <c r="E2438" s="208">
        <v>42949</v>
      </c>
      <c r="F2438" t="s">
        <v>8386</v>
      </c>
      <c r="G2438" t="s">
        <v>4768</v>
      </c>
    </row>
    <row r="2439" spans="1:7">
      <c r="A2439" t="s">
        <v>9616</v>
      </c>
      <c r="B2439" t="s">
        <v>9617</v>
      </c>
      <c r="C2439" t="s">
        <v>4803</v>
      </c>
      <c r="D2439">
        <v>243</v>
      </c>
      <c r="E2439" s="208">
        <v>42948</v>
      </c>
      <c r="F2439" t="s">
        <v>4772</v>
      </c>
      <c r="G2439" t="s">
        <v>4768</v>
      </c>
    </row>
    <row r="2440" spans="1:7">
      <c r="A2440" t="s">
        <v>9618</v>
      </c>
      <c r="B2440" t="s">
        <v>9619</v>
      </c>
      <c r="C2440" t="s">
        <v>4766</v>
      </c>
      <c r="D2440">
        <v>8.92</v>
      </c>
      <c r="E2440" s="208">
        <v>42947</v>
      </c>
      <c r="F2440" t="s">
        <v>4832</v>
      </c>
      <c r="G2440" t="s">
        <v>4768</v>
      </c>
    </row>
    <row r="2441" spans="1:7">
      <c r="A2441" t="s">
        <v>9620</v>
      </c>
      <c r="B2441" t="s">
        <v>9621</v>
      </c>
      <c r="C2441" t="s">
        <v>4766</v>
      </c>
      <c r="D2441">
        <v>59.44</v>
      </c>
      <c r="E2441" s="208">
        <v>42944</v>
      </c>
      <c r="F2441" t="s">
        <v>9138</v>
      </c>
      <c r="G2441" t="s">
        <v>4768</v>
      </c>
    </row>
    <row r="2442" spans="1:7">
      <c r="A2442" t="s">
        <v>9622</v>
      </c>
      <c r="B2442" t="s">
        <v>9623</v>
      </c>
      <c r="C2442" t="s">
        <v>4766</v>
      </c>
      <c r="D2442">
        <v>178.76</v>
      </c>
      <c r="E2442" s="208">
        <v>42944</v>
      </c>
      <c r="F2442" t="s">
        <v>9138</v>
      </c>
      <c r="G2442" t="s">
        <v>4768</v>
      </c>
    </row>
    <row r="2443" spans="1:7">
      <c r="A2443" t="s">
        <v>9624</v>
      </c>
      <c r="B2443" t="s">
        <v>9625</v>
      </c>
      <c r="C2443" t="s">
        <v>4766</v>
      </c>
      <c r="D2443">
        <v>6</v>
      </c>
      <c r="E2443" s="208">
        <v>42944</v>
      </c>
      <c r="F2443" t="s">
        <v>9626</v>
      </c>
      <c r="G2443" t="s">
        <v>4768</v>
      </c>
    </row>
    <row r="2444" spans="1:7">
      <c r="A2444" t="s">
        <v>9627</v>
      </c>
      <c r="B2444" t="s">
        <v>9628</v>
      </c>
      <c r="C2444" t="s">
        <v>4766</v>
      </c>
      <c r="D2444">
        <v>168.78</v>
      </c>
      <c r="E2444" s="208">
        <v>42943</v>
      </c>
      <c r="F2444" t="s">
        <v>4881</v>
      </c>
      <c r="G2444" t="s">
        <v>4768</v>
      </c>
    </row>
    <row r="2445" spans="1:7">
      <c r="A2445" t="s">
        <v>9629</v>
      </c>
      <c r="B2445" t="s">
        <v>9630</v>
      </c>
      <c r="C2445" t="s">
        <v>4766</v>
      </c>
      <c r="D2445">
        <v>46.72</v>
      </c>
      <c r="E2445" s="208">
        <v>42943</v>
      </c>
      <c r="F2445" t="s">
        <v>4881</v>
      </c>
      <c r="G2445" t="s">
        <v>4768</v>
      </c>
    </row>
    <row r="2446" spans="1:7">
      <c r="A2446" t="s">
        <v>9631</v>
      </c>
      <c r="B2446" t="s">
        <v>9632</v>
      </c>
      <c r="C2446" t="s">
        <v>4766</v>
      </c>
      <c r="D2446">
        <v>99.32</v>
      </c>
      <c r="E2446" s="208">
        <v>42943</v>
      </c>
      <c r="F2446" t="s">
        <v>4881</v>
      </c>
      <c r="G2446" t="s">
        <v>4768</v>
      </c>
    </row>
    <row r="2447" spans="1:7">
      <c r="A2447" t="s">
        <v>9633</v>
      </c>
      <c r="B2447" t="s">
        <v>9634</v>
      </c>
      <c r="C2447" t="s">
        <v>4766</v>
      </c>
      <c r="D2447">
        <v>0.77</v>
      </c>
      <c r="E2447" s="208">
        <v>42943</v>
      </c>
      <c r="F2447" t="s">
        <v>8386</v>
      </c>
      <c r="G2447" t="s">
        <v>4768</v>
      </c>
    </row>
    <row r="2448" spans="1:7">
      <c r="A2448" t="s">
        <v>9635</v>
      </c>
      <c r="B2448" t="s">
        <v>9636</v>
      </c>
      <c r="C2448" t="s">
        <v>4766</v>
      </c>
      <c r="D2448">
        <v>139.22</v>
      </c>
      <c r="E2448" s="208">
        <v>42943</v>
      </c>
      <c r="F2448" t="s">
        <v>4881</v>
      </c>
      <c r="G2448" t="s">
        <v>4768</v>
      </c>
    </row>
    <row r="2449" spans="1:7">
      <c r="A2449" t="s">
        <v>9637</v>
      </c>
      <c r="B2449" t="s">
        <v>9638</v>
      </c>
      <c r="C2449" t="s">
        <v>4766</v>
      </c>
      <c r="D2449">
        <v>17</v>
      </c>
      <c r="E2449" s="208">
        <v>42943</v>
      </c>
      <c r="F2449" t="s">
        <v>4772</v>
      </c>
      <c r="G2449" t="s">
        <v>4768</v>
      </c>
    </row>
    <row r="2450" spans="1:7">
      <c r="A2450" t="s">
        <v>9639</v>
      </c>
      <c r="B2450" t="s">
        <v>9640</v>
      </c>
      <c r="C2450" t="s">
        <v>4766</v>
      </c>
      <c r="D2450">
        <v>64</v>
      </c>
      <c r="E2450" s="208">
        <v>42943</v>
      </c>
      <c r="F2450" t="s">
        <v>4772</v>
      </c>
      <c r="G2450" t="s">
        <v>4768</v>
      </c>
    </row>
    <row r="2451" spans="1:7">
      <c r="A2451" t="s">
        <v>9641</v>
      </c>
      <c r="B2451" t="s">
        <v>7432</v>
      </c>
      <c r="C2451" t="s">
        <v>4766</v>
      </c>
      <c r="D2451">
        <v>35.979999999999997</v>
      </c>
      <c r="E2451" s="208">
        <v>42942</v>
      </c>
      <c r="F2451" t="s">
        <v>4767</v>
      </c>
      <c r="G2451" t="s">
        <v>4768</v>
      </c>
    </row>
    <row r="2452" spans="1:7">
      <c r="A2452" t="s">
        <v>9642</v>
      </c>
      <c r="B2452" t="s">
        <v>9643</v>
      </c>
      <c r="C2452" t="s">
        <v>4766</v>
      </c>
      <c r="D2452">
        <v>23.99</v>
      </c>
      <c r="E2452" s="208">
        <v>42942</v>
      </c>
      <c r="F2452" t="s">
        <v>4767</v>
      </c>
      <c r="G2452" t="s">
        <v>4768</v>
      </c>
    </row>
    <row r="2453" spans="1:7">
      <c r="A2453" t="s">
        <v>9644</v>
      </c>
      <c r="B2453" t="s">
        <v>9645</v>
      </c>
      <c r="C2453" t="s">
        <v>4871</v>
      </c>
      <c r="D2453">
        <v>8.49</v>
      </c>
      <c r="E2453" s="208">
        <v>42942</v>
      </c>
      <c r="F2453" t="s">
        <v>4767</v>
      </c>
      <c r="G2453" t="s">
        <v>4768</v>
      </c>
    </row>
    <row r="2454" spans="1:7">
      <c r="A2454" t="s">
        <v>9646</v>
      </c>
      <c r="B2454" t="s">
        <v>9647</v>
      </c>
      <c r="C2454" t="s">
        <v>4766</v>
      </c>
      <c r="D2454">
        <v>6.71</v>
      </c>
      <c r="E2454" s="208">
        <v>42941</v>
      </c>
      <c r="F2454" t="s">
        <v>8386</v>
      </c>
      <c r="G2454" t="s">
        <v>4768</v>
      </c>
    </row>
    <row r="2455" spans="1:7">
      <c r="A2455" t="s">
        <v>9648</v>
      </c>
      <c r="B2455" t="s">
        <v>9649</v>
      </c>
      <c r="C2455" t="s">
        <v>4766</v>
      </c>
      <c r="D2455">
        <v>31.89</v>
      </c>
      <c r="E2455" s="208">
        <v>42940</v>
      </c>
      <c r="F2455" t="s">
        <v>4767</v>
      </c>
      <c r="G2455" t="s">
        <v>4768</v>
      </c>
    </row>
    <row r="2456" spans="1:7">
      <c r="A2456" t="s">
        <v>9650</v>
      </c>
      <c r="B2456" t="s">
        <v>9651</v>
      </c>
      <c r="C2456" t="s">
        <v>4766</v>
      </c>
      <c r="D2456">
        <v>14.28</v>
      </c>
      <c r="E2456" s="208">
        <v>42937</v>
      </c>
      <c r="F2456" t="s">
        <v>4881</v>
      </c>
      <c r="G2456" t="s">
        <v>4768</v>
      </c>
    </row>
    <row r="2457" spans="1:7">
      <c r="A2457" t="s">
        <v>9652</v>
      </c>
      <c r="B2457" t="s">
        <v>9653</v>
      </c>
      <c r="C2457" t="s">
        <v>4838</v>
      </c>
      <c r="D2457">
        <v>13.67</v>
      </c>
      <c r="E2457" s="208">
        <v>42937</v>
      </c>
      <c r="F2457" t="s">
        <v>4767</v>
      </c>
      <c r="G2457" t="s">
        <v>4768</v>
      </c>
    </row>
    <row r="2458" spans="1:7">
      <c r="A2458" t="s">
        <v>9654</v>
      </c>
      <c r="B2458" t="s">
        <v>9655</v>
      </c>
      <c r="C2458" t="s">
        <v>4766</v>
      </c>
      <c r="D2458">
        <v>100.28</v>
      </c>
      <c r="E2458" s="208">
        <v>42936</v>
      </c>
      <c r="F2458" t="s">
        <v>8386</v>
      </c>
      <c r="G2458" t="s">
        <v>4768</v>
      </c>
    </row>
    <row r="2459" spans="1:7">
      <c r="A2459" t="s">
        <v>9656</v>
      </c>
      <c r="B2459" t="s">
        <v>9657</v>
      </c>
      <c r="C2459" t="s">
        <v>4766</v>
      </c>
      <c r="D2459">
        <v>8.93</v>
      </c>
      <c r="E2459" s="208">
        <v>42936</v>
      </c>
      <c r="F2459" t="s">
        <v>8386</v>
      </c>
      <c r="G2459" t="s">
        <v>4768</v>
      </c>
    </row>
    <row r="2460" spans="1:7">
      <c r="A2460" t="s">
        <v>9658</v>
      </c>
      <c r="B2460" t="s">
        <v>9659</v>
      </c>
      <c r="C2460" t="s">
        <v>562</v>
      </c>
      <c r="D2460">
        <v>230</v>
      </c>
      <c r="E2460" s="208">
        <v>42936</v>
      </c>
      <c r="F2460" t="s">
        <v>4804</v>
      </c>
      <c r="G2460" t="s">
        <v>4768</v>
      </c>
    </row>
    <row r="2461" spans="1:7">
      <c r="A2461" t="s">
        <v>9660</v>
      </c>
      <c r="B2461" t="s">
        <v>9661</v>
      </c>
      <c r="C2461" t="s">
        <v>4766</v>
      </c>
      <c r="D2461">
        <v>28.22</v>
      </c>
      <c r="E2461" s="208">
        <v>42935</v>
      </c>
      <c r="F2461" t="s">
        <v>4832</v>
      </c>
      <c r="G2461" t="s">
        <v>4768</v>
      </c>
    </row>
    <row r="2462" spans="1:7">
      <c r="A2462" t="s">
        <v>9662</v>
      </c>
      <c r="B2462" t="s">
        <v>9663</v>
      </c>
      <c r="C2462" t="s">
        <v>4766</v>
      </c>
      <c r="D2462">
        <v>24.23</v>
      </c>
      <c r="E2462" s="208">
        <v>42935</v>
      </c>
      <c r="F2462" t="s">
        <v>9138</v>
      </c>
      <c r="G2462" t="s">
        <v>4768</v>
      </c>
    </row>
    <row r="2463" spans="1:7">
      <c r="A2463" t="s">
        <v>9664</v>
      </c>
      <c r="B2463" t="s">
        <v>9665</v>
      </c>
      <c r="C2463" t="s">
        <v>4766</v>
      </c>
      <c r="D2463">
        <v>33.409999999999997</v>
      </c>
      <c r="E2463" s="208">
        <v>42935</v>
      </c>
      <c r="F2463" t="s">
        <v>8616</v>
      </c>
      <c r="G2463" t="s">
        <v>4768</v>
      </c>
    </row>
    <row r="2464" spans="1:7">
      <c r="A2464" t="s">
        <v>9666</v>
      </c>
      <c r="B2464" t="s">
        <v>9667</v>
      </c>
      <c r="C2464" t="s">
        <v>4766</v>
      </c>
      <c r="D2464">
        <v>136.19999999999999</v>
      </c>
      <c r="E2464" s="208">
        <v>42935</v>
      </c>
      <c r="F2464" t="s">
        <v>4832</v>
      </c>
      <c r="G2464" t="s">
        <v>4768</v>
      </c>
    </row>
    <row r="2465" spans="1:7">
      <c r="A2465" t="s">
        <v>9668</v>
      </c>
      <c r="B2465" t="s">
        <v>9669</v>
      </c>
      <c r="C2465" t="s">
        <v>4766</v>
      </c>
      <c r="D2465">
        <v>26.61</v>
      </c>
      <c r="E2465" s="208">
        <v>42935</v>
      </c>
      <c r="F2465" t="s">
        <v>9138</v>
      </c>
      <c r="G2465" t="s">
        <v>4768</v>
      </c>
    </row>
    <row r="2466" spans="1:7">
      <c r="A2466" t="s">
        <v>9670</v>
      </c>
      <c r="B2466" t="s">
        <v>9671</v>
      </c>
      <c r="C2466" t="s">
        <v>4766</v>
      </c>
      <c r="D2466">
        <v>19.850000000000001</v>
      </c>
      <c r="E2466" s="208">
        <v>42935</v>
      </c>
      <c r="F2466" t="s">
        <v>9138</v>
      </c>
      <c r="G2466" t="s">
        <v>4768</v>
      </c>
    </row>
    <row r="2467" spans="1:7">
      <c r="A2467" t="s">
        <v>9672</v>
      </c>
      <c r="B2467" t="s">
        <v>9673</v>
      </c>
      <c r="C2467" t="s">
        <v>4766</v>
      </c>
      <c r="D2467">
        <v>269.95</v>
      </c>
      <c r="E2467" s="208">
        <v>42934</v>
      </c>
      <c r="F2467" t="s">
        <v>9138</v>
      </c>
      <c r="G2467" t="s">
        <v>4768</v>
      </c>
    </row>
    <row r="2468" spans="1:7">
      <c r="A2468" t="s">
        <v>9674</v>
      </c>
      <c r="B2468" t="s">
        <v>9675</v>
      </c>
      <c r="C2468" t="s">
        <v>4766</v>
      </c>
      <c r="D2468">
        <v>16.23</v>
      </c>
      <c r="E2468" s="208">
        <v>42934</v>
      </c>
      <c r="F2468" t="s">
        <v>9138</v>
      </c>
      <c r="G2468" t="s">
        <v>4768</v>
      </c>
    </row>
    <row r="2469" spans="1:7">
      <c r="A2469" t="s">
        <v>9676</v>
      </c>
      <c r="B2469" t="s">
        <v>9677</v>
      </c>
      <c r="C2469" t="s">
        <v>4766</v>
      </c>
      <c r="D2469">
        <v>300</v>
      </c>
      <c r="E2469" s="208">
        <v>42934</v>
      </c>
      <c r="F2469" t="s">
        <v>9138</v>
      </c>
      <c r="G2469" t="s">
        <v>4768</v>
      </c>
    </row>
    <row r="2470" spans="1:7">
      <c r="A2470" t="s">
        <v>9678</v>
      </c>
      <c r="B2470" t="s">
        <v>9679</v>
      </c>
      <c r="C2470" t="s">
        <v>4766</v>
      </c>
      <c r="D2470">
        <v>15.07</v>
      </c>
      <c r="E2470" s="208">
        <v>42934</v>
      </c>
      <c r="F2470" t="s">
        <v>8799</v>
      </c>
      <c r="G2470" t="s">
        <v>4768</v>
      </c>
    </row>
    <row r="2471" spans="1:7">
      <c r="A2471" t="s">
        <v>9680</v>
      </c>
      <c r="B2471" t="s">
        <v>9681</v>
      </c>
      <c r="C2471" t="s">
        <v>4972</v>
      </c>
      <c r="D2471">
        <v>5.3</v>
      </c>
      <c r="E2471" s="208">
        <v>42933</v>
      </c>
      <c r="F2471" t="s">
        <v>4877</v>
      </c>
      <c r="G2471" t="s">
        <v>4768</v>
      </c>
    </row>
    <row r="2472" spans="1:7">
      <c r="A2472" t="s">
        <v>9682</v>
      </c>
      <c r="B2472" t="s">
        <v>9683</v>
      </c>
      <c r="C2472" t="s">
        <v>4766</v>
      </c>
      <c r="D2472">
        <v>1.6</v>
      </c>
      <c r="E2472" s="208">
        <v>42930</v>
      </c>
      <c r="F2472" t="s">
        <v>4832</v>
      </c>
      <c r="G2472" t="s">
        <v>4768</v>
      </c>
    </row>
    <row r="2473" spans="1:7">
      <c r="A2473" t="s">
        <v>9684</v>
      </c>
      <c r="B2473" t="s">
        <v>9685</v>
      </c>
      <c r="C2473" t="s">
        <v>4795</v>
      </c>
      <c r="D2473">
        <v>44.15</v>
      </c>
      <c r="E2473" s="208">
        <v>42930</v>
      </c>
      <c r="F2473" t="s">
        <v>4832</v>
      </c>
      <c r="G2473" t="s">
        <v>4768</v>
      </c>
    </row>
    <row r="2474" spans="1:7">
      <c r="A2474" t="s">
        <v>9686</v>
      </c>
      <c r="B2474" t="s">
        <v>9687</v>
      </c>
      <c r="C2474" t="s">
        <v>4766</v>
      </c>
      <c r="D2474">
        <v>100</v>
      </c>
      <c r="E2474" s="208">
        <v>42929</v>
      </c>
      <c r="F2474" t="s">
        <v>9138</v>
      </c>
      <c r="G2474" t="s">
        <v>4768</v>
      </c>
    </row>
    <row r="2475" spans="1:7">
      <c r="A2475" t="s">
        <v>9688</v>
      </c>
      <c r="B2475" t="s">
        <v>9689</v>
      </c>
      <c r="C2475" t="s">
        <v>4831</v>
      </c>
      <c r="D2475">
        <v>27.77</v>
      </c>
      <c r="E2475" s="208">
        <v>42928</v>
      </c>
      <c r="F2475" t="s">
        <v>8386</v>
      </c>
      <c r="G2475" t="s">
        <v>4768</v>
      </c>
    </row>
    <row r="2476" spans="1:7">
      <c r="A2476" t="s">
        <v>9690</v>
      </c>
      <c r="B2476" t="s">
        <v>9691</v>
      </c>
      <c r="C2476" t="s">
        <v>4888</v>
      </c>
      <c r="D2476">
        <v>3.32</v>
      </c>
      <c r="E2476" s="208">
        <v>42923</v>
      </c>
      <c r="F2476" t="s">
        <v>8386</v>
      </c>
      <c r="G2476" t="s">
        <v>4768</v>
      </c>
    </row>
    <row r="2477" spans="1:7">
      <c r="A2477" t="s">
        <v>9692</v>
      </c>
      <c r="B2477" t="s">
        <v>9693</v>
      </c>
      <c r="C2477" t="s">
        <v>4795</v>
      </c>
      <c r="D2477">
        <v>46.22</v>
      </c>
      <c r="E2477" s="208">
        <v>42921</v>
      </c>
      <c r="F2477" t="s">
        <v>4832</v>
      </c>
      <c r="G2477" t="s">
        <v>4768</v>
      </c>
    </row>
    <row r="2478" spans="1:7">
      <c r="A2478" t="s">
        <v>9694</v>
      </c>
      <c r="B2478" t="s">
        <v>9673</v>
      </c>
      <c r="C2478" t="s">
        <v>4766</v>
      </c>
      <c r="D2478">
        <v>269.95</v>
      </c>
      <c r="E2478" s="208">
        <v>42920</v>
      </c>
      <c r="F2478" t="s">
        <v>9138</v>
      </c>
      <c r="G2478" t="s">
        <v>4768</v>
      </c>
    </row>
    <row r="2479" spans="1:7">
      <c r="A2479" t="s">
        <v>9695</v>
      </c>
      <c r="B2479" t="s">
        <v>9696</v>
      </c>
      <c r="C2479" t="s">
        <v>4766</v>
      </c>
      <c r="D2479">
        <v>12.77</v>
      </c>
      <c r="E2479" s="208">
        <v>42920</v>
      </c>
      <c r="F2479" t="s">
        <v>8386</v>
      </c>
      <c r="G2479" t="s">
        <v>4768</v>
      </c>
    </row>
    <row r="2480" spans="1:7">
      <c r="A2480" t="s">
        <v>9697</v>
      </c>
      <c r="B2480" t="s">
        <v>9698</v>
      </c>
      <c r="C2480" t="s">
        <v>4795</v>
      </c>
      <c r="D2480">
        <v>85.55</v>
      </c>
      <c r="E2480" s="208">
        <v>42920</v>
      </c>
      <c r="F2480" t="s">
        <v>8386</v>
      </c>
      <c r="G2480" t="s">
        <v>4768</v>
      </c>
    </row>
    <row r="2481" spans="1:7">
      <c r="A2481" t="s">
        <v>9699</v>
      </c>
      <c r="B2481" t="s">
        <v>9700</v>
      </c>
      <c r="C2481" t="s">
        <v>4871</v>
      </c>
      <c r="D2481">
        <v>267.19</v>
      </c>
      <c r="E2481" s="208">
        <v>42920</v>
      </c>
      <c r="F2481" t="s">
        <v>4767</v>
      </c>
      <c r="G2481" t="s">
        <v>4768</v>
      </c>
    </row>
    <row r="2482" spans="1:7">
      <c r="A2482" t="s">
        <v>9701</v>
      </c>
      <c r="B2482" t="s">
        <v>9702</v>
      </c>
      <c r="C2482" t="s">
        <v>4766</v>
      </c>
      <c r="D2482">
        <v>3.95</v>
      </c>
      <c r="E2482" s="208">
        <v>42915</v>
      </c>
      <c r="F2482" t="s">
        <v>8386</v>
      </c>
      <c r="G2482" t="s">
        <v>4768</v>
      </c>
    </row>
    <row r="2483" spans="1:7">
      <c r="A2483" t="s">
        <v>9703</v>
      </c>
      <c r="B2483" t="s">
        <v>9704</v>
      </c>
      <c r="C2483" t="s">
        <v>4766</v>
      </c>
      <c r="D2483">
        <v>29.43</v>
      </c>
      <c r="E2483" s="208">
        <v>42914</v>
      </c>
      <c r="F2483" t="s">
        <v>8386</v>
      </c>
      <c r="G2483" t="s">
        <v>4768</v>
      </c>
    </row>
    <row r="2484" spans="1:7">
      <c r="A2484" t="s">
        <v>9705</v>
      </c>
      <c r="B2484" t="s">
        <v>9706</v>
      </c>
      <c r="C2484" t="s">
        <v>9707</v>
      </c>
      <c r="D2484">
        <v>18.66</v>
      </c>
      <c r="E2484" s="208">
        <v>42914</v>
      </c>
      <c r="F2484" t="s">
        <v>4804</v>
      </c>
      <c r="G2484" t="s">
        <v>4768</v>
      </c>
    </row>
    <row r="2485" spans="1:7">
      <c r="A2485" t="s">
        <v>9708</v>
      </c>
      <c r="B2485" t="s">
        <v>9709</v>
      </c>
      <c r="C2485" t="s">
        <v>4766</v>
      </c>
      <c r="D2485">
        <v>1.99</v>
      </c>
      <c r="E2485" s="208">
        <v>42913</v>
      </c>
      <c r="F2485" t="s">
        <v>4832</v>
      </c>
      <c r="G2485" t="s">
        <v>4768</v>
      </c>
    </row>
    <row r="2486" spans="1:7">
      <c r="A2486" t="s">
        <v>9710</v>
      </c>
      <c r="B2486" t="s">
        <v>9711</v>
      </c>
      <c r="C2486" t="s">
        <v>4831</v>
      </c>
      <c r="D2486">
        <v>4.25</v>
      </c>
      <c r="E2486" s="208">
        <v>42913</v>
      </c>
      <c r="F2486" t="s">
        <v>8386</v>
      </c>
      <c r="G2486" t="s">
        <v>4768</v>
      </c>
    </row>
    <row r="2487" spans="1:7">
      <c r="A2487" t="s">
        <v>9712</v>
      </c>
      <c r="B2487" t="s">
        <v>9713</v>
      </c>
      <c r="C2487" t="s">
        <v>4766</v>
      </c>
      <c r="D2487">
        <v>98.8</v>
      </c>
      <c r="E2487" s="208">
        <v>42913</v>
      </c>
      <c r="F2487" t="s">
        <v>4877</v>
      </c>
      <c r="G2487" t="s">
        <v>4768</v>
      </c>
    </row>
    <row r="2488" spans="1:7">
      <c r="A2488" t="s">
        <v>9714</v>
      </c>
      <c r="B2488" t="s">
        <v>9715</v>
      </c>
      <c r="C2488" t="s">
        <v>4771</v>
      </c>
      <c r="D2488">
        <v>192.5</v>
      </c>
      <c r="E2488" s="208">
        <v>42909</v>
      </c>
      <c r="F2488" t="s">
        <v>4767</v>
      </c>
      <c r="G2488" t="s">
        <v>4768</v>
      </c>
    </row>
    <row r="2489" spans="1:7">
      <c r="A2489" t="s">
        <v>9716</v>
      </c>
      <c r="B2489" t="s">
        <v>9717</v>
      </c>
      <c r="C2489" t="s">
        <v>4766</v>
      </c>
      <c r="D2489">
        <v>19.989999999999998</v>
      </c>
      <c r="E2489" s="208">
        <v>42909</v>
      </c>
      <c r="F2489" t="s">
        <v>4767</v>
      </c>
      <c r="G2489" t="s">
        <v>4768</v>
      </c>
    </row>
    <row r="2490" spans="1:7">
      <c r="A2490" t="s">
        <v>9718</v>
      </c>
      <c r="B2490" t="s">
        <v>9719</v>
      </c>
      <c r="C2490" t="s">
        <v>4803</v>
      </c>
      <c r="D2490">
        <v>142</v>
      </c>
      <c r="E2490" s="208">
        <v>42908</v>
      </c>
      <c r="F2490" t="s">
        <v>4772</v>
      </c>
      <c r="G2490" t="s">
        <v>4768</v>
      </c>
    </row>
    <row r="2491" spans="1:7">
      <c r="A2491" t="s">
        <v>9720</v>
      </c>
      <c r="B2491" t="s">
        <v>9721</v>
      </c>
      <c r="C2491" t="s">
        <v>9722</v>
      </c>
      <c r="D2491">
        <v>11.99</v>
      </c>
      <c r="E2491" s="208">
        <v>42905</v>
      </c>
      <c r="F2491" t="s">
        <v>4767</v>
      </c>
      <c r="G2491" t="s">
        <v>4768</v>
      </c>
    </row>
    <row r="2492" spans="1:7">
      <c r="A2492" t="s">
        <v>9723</v>
      </c>
      <c r="B2492" t="s">
        <v>9724</v>
      </c>
      <c r="C2492" t="s">
        <v>4766</v>
      </c>
      <c r="D2492">
        <v>17.37</v>
      </c>
      <c r="E2492" s="208">
        <v>42905</v>
      </c>
      <c r="F2492" t="s">
        <v>8197</v>
      </c>
      <c r="G2492" t="s">
        <v>4768</v>
      </c>
    </row>
    <row r="2493" spans="1:7">
      <c r="A2493" t="s">
        <v>9725</v>
      </c>
      <c r="B2493" t="s">
        <v>9726</v>
      </c>
      <c r="C2493" t="s">
        <v>4795</v>
      </c>
      <c r="D2493">
        <v>94.25</v>
      </c>
      <c r="E2493" s="208">
        <v>42902</v>
      </c>
      <c r="F2493" t="s">
        <v>6516</v>
      </c>
      <c r="G2493" t="s">
        <v>4768</v>
      </c>
    </row>
    <row r="2494" spans="1:7">
      <c r="A2494" t="s">
        <v>9727</v>
      </c>
      <c r="B2494" t="s">
        <v>9728</v>
      </c>
      <c r="C2494" t="s">
        <v>4895</v>
      </c>
      <c r="D2494">
        <v>300.27</v>
      </c>
      <c r="E2494" s="208">
        <v>42901</v>
      </c>
      <c r="F2494" t="s">
        <v>4767</v>
      </c>
      <c r="G2494" t="s">
        <v>4768</v>
      </c>
    </row>
    <row r="2495" spans="1:7">
      <c r="A2495" t="s">
        <v>9729</v>
      </c>
      <c r="B2495" t="s">
        <v>9730</v>
      </c>
      <c r="C2495" t="s">
        <v>4766</v>
      </c>
      <c r="D2495">
        <v>16.649999999999999</v>
      </c>
      <c r="E2495" s="208">
        <v>42901</v>
      </c>
      <c r="F2495" t="s">
        <v>4832</v>
      </c>
      <c r="G2495" t="s">
        <v>4768</v>
      </c>
    </row>
    <row r="2496" spans="1:7">
      <c r="A2496" t="s">
        <v>9731</v>
      </c>
      <c r="B2496" t="s">
        <v>9732</v>
      </c>
      <c r="C2496" t="s">
        <v>4766</v>
      </c>
      <c r="D2496">
        <v>8.5</v>
      </c>
      <c r="E2496" s="208">
        <v>42901</v>
      </c>
      <c r="F2496" t="s">
        <v>4772</v>
      </c>
      <c r="G2496" t="s">
        <v>4768</v>
      </c>
    </row>
    <row r="2497" spans="1:7">
      <c r="A2497" t="s">
        <v>9733</v>
      </c>
      <c r="B2497" t="s">
        <v>9734</v>
      </c>
      <c r="C2497" t="s">
        <v>4795</v>
      </c>
      <c r="D2497">
        <v>31.27</v>
      </c>
      <c r="E2497" s="208">
        <v>42901</v>
      </c>
      <c r="F2497" t="s">
        <v>8386</v>
      </c>
      <c r="G2497" t="s">
        <v>4768</v>
      </c>
    </row>
    <row r="2498" spans="1:7">
      <c r="A2498" t="s">
        <v>9735</v>
      </c>
      <c r="B2498" t="s">
        <v>9736</v>
      </c>
      <c r="C2498" t="s">
        <v>4766</v>
      </c>
      <c r="D2498">
        <v>15.78</v>
      </c>
      <c r="E2498" s="208">
        <v>42901</v>
      </c>
      <c r="F2498" t="s">
        <v>4832</v>
      </c>
      <c r="G2498" t="s">
        <v>4768</v>
      </c>
    </row>
    <row r="2499" spans="1:7">
      <c r="A2499" t="s">
        <v>9737</v>
      </c>
      <c r="B2499" t="s">
        <v>9738</v>
      </c>
      <c r="C2499" t="s">
        <v>4803</v>
      </c>
      <c r="D2499">
        <v>72</v>
      </c>
      <c r="E2499" s="208">
        <v>42900</v>
      </c>
      <c r="F2499" t="s">
        <v>4772</v>
      </c>
      <c r="G2499" t="s">
        <v>4768</v>
      </c>
    </row>
    <row r="2500" spans="1:7">
      <c r="A2500" t="s">
        <v>9739</v>
      </c>
      <c r="B2500" t="s">
        <v>9740</v>
      </c>
      <c r="C2500" t="s">
        <v>5089</v>
      </c>
      <c r="D2500">
        <v>30</v>
      </c>
      <c r="E2500" s="208">
        <v>42900</v>
      </c>
      <c r="F2500" t="s">
        <v>4772</v>
      </c>
      <c r="G2500" t="s">
        <v>4768</v>
      </c>
    </row>
    <row r="2501" spans="1:7">
      <c r="A2501" t="s">
        <v>9741</v>
      </c>
      <c r="B2501" t="s">
        <v>9742</v>
      </c>
      <c r="C2501" t="s">
        <v>4766</v>
      </c>
      <c r="D2501">
        <v>157.1</v>
      </c>
      <c r="E2501" s="208">
        <v>42899</v>
      </c>
      <c r="F2501" t="s">
        <v>4881</v>
      </c>
      <c r="G2501" t="s">
        <v>4768</v>
      </c>
    </row>
    <row r="2502" spans="1:7">
      <c r="A2502" t="s">
        <v>9743</v>
      </c>
      <c r="B2502" t="s">
        <v>9744</v>
      </c>
      <c r="C2502" t="s">
        <v>4766</v>
      </c>
      <c r="D2502">
        <v>99</v>
      </c>
      <c r="E2502" s="208">
        <v>42893</v>
      </c>
      <c r="F2502" t="s">
        <v>4832</v>
      </c>
      <c r="G2502" t="s">
        <v>4768</v>
      </c>
    </row>
    <row r="2503" spans="1:7">
      <c r="A2503" t="s">
        <v>9745</v>
      </c>
      <c r="B2503" t="s">
        <v>9746</v>
      </c>
      <c r="C2503" t="s">
        <v>4845</v>
      </c>
      <c r="D2503">
        <v>8.5</v>
      </c>
      <c r="E2503" s="208">
        <v>42892</v>
      </c>
      <c r="F2503" t="s">
        <v>4772</v>
      </c>
      <c r="G2503" t="s">
        <v>4768</v>
      </c>
    </row>
    <row r="2504" spans="1:7">
      <c r="A2504" t="s">
        <v>9747</v>
      </c>
      <c r="B2504" t="s">
        <v>9748</v>
      </c>
      <c r="C2504" t="s">
        <v>4803</v>
      </c>
      <c r="D2504">
        <v>105</v>
      </c>
      <c r="E2504" s="208"/>
      <c r="G2504" t="s">
        <v>9749</v>
      </c>
    </row>
    <row r="2505" spans="1:7">
      <c r="A2505" t="s">
        <v>9750</v>
      </c>
      <c r="B2505" t="s">
        <v>9751</v>
      </c>
      <c r="C2505" t="s">
        <v>4803</v>
      </c>
      <c r="D2505">
        <v>86</v>
      </c>
      <c r="E2505" s="208"/>
      <c r="G2505" t="s">
        <v>9749</v>
      </c>
    </row>
    <row r="2506" spans="1:7">
      <c r="A2506" t="s">
        <v>9752</v>
      </c>
      <c r="B2506" t="s">
        <v>9753</v>
      </c>
      <c r="C2506" t="s">
        <v>4803</v>
      </c>
      <c r="D2506">
        <v>118</v>
      </c>
      <c r="E2506" s="208"/>
      <c r="G2506" t="s">
        <v>9749</v>
      </c>
    </row>
    <row r="2507" spans="1:7">
      <c r="A2507" t="s">
        <v>9754</v>
      </c>
      <c r="B2507" t="s">
        <v>9755</v>
      </c>
      <c r="C2507" t="s">
        <v>4845</v>
      </c>
      <c r="D2507">
        <v>91</v>
      </c>
      <c r="E2507" s="208"/>
      <c r="G2507" t="s">
        <v>9749</v>
      </c>
    </row>
    <row r="2508" spans="1:7">
      <c r="A2508" t="s">
        <v>9756</v>
      </c>
      <c r="B2508" t="s">
        <v>9757</v>
      </c>
      <c r="C2508" t="s">
        <v>4845</v>
      </c>
      <c r="D2508">
        <v>91</v>
      </c>
      <c r="E2508" s="208"/>
      <c r="G2508" t="s">
        <v>9749</v>
      </c>
    </row>
    <row r="2509" spans="1:7">
      <c r="A2509" t="s">
        <v>9758</v>
      </c>
      <c r="B2509" t="s">
        <v>9759</v>
      </c>
      <c r="C2509" t="s">
        <v>4845</v>
      </c>
      <c r="D2509">
        <v>134</v>
      </c>
      <c r="E2509" s="208"/>
      <c r="G2509" t="s">
        <v>9749</v>
      </c>
    </row>
    <row r="2510" spans="1:7">
      <c r="A2510" t="s">
        <v>9760</v>
      </c>
      <c r="B2510" t="s">
        <v>9761</v>
      </c>
      <c r="C2510" t="s">
        <v>4803</v>
      </c>
      <c r="D2510">
        <v>126</v>
      </c>
      <c r="E2510" s="208"/>
      <c r="G2510" t="s">
        <v>9749</v>
      </c>
    </row>
    <row r="2511" spans="1:7">
      <c r="A2511" t="s">
        <v>9762</v>
      </c>
      <c r="B2511" t="s">
        <v>6648</v>
      </c>
      <c r="C2511" t="s">
        <v>4803</v>
      </c>
      <c r="D2511">
        <v>148</v>
      </c>
      <c r="E2511" s="208"/>
      <c r="G2511" t="s">
        <v>9749</v>
      </c>
    </row>
    <row r="2512" spans="1:7">
      <c r="A2512" t="s">
        <v>9763</v>
      </c>
      <c r="B2512" t="s">
        <v>9764</v>
      </c>
      <c r="C2512" t="s">
        <v>4803</v>
      </c>
      <c r="D2512">
        <v>346</v>
      </c>
      <c r="E2512" s="208"/>
      <c r="G2512" t="s">
        <v>9749</v>
      </c>
    </row>
    <row r="2513" spans="1:7">
      <c r="A2513" t="s">
        <v>9765</v>
      </c>
      <c r="B2513" t="s">
        <v>9766</v>
      </c>
      <c r="C2513" t="s">
        <v>4803</v>
      </c>
      <c r="D2513">
        <v>346</v>
      </c>
      <c r="E2513" s="208"/>
      <c r="G2513" t="s">
        <v>9749</v>
      </c>
    </row>
    <row r="2514" spans="1:7">
      <c r="A2514" t="s">
        <v>9767</v>
      </c>
      <c r="B2514" t="s">
        <v>9768</v>
      </c>
      <c r="C2514" t="s">
        <v>4803</v>
      </c>
      <c r="D2514">
        <v>212</v>
      </c>
      <c r="E2514" s="208"/>
      <c r="G2514" t="s">
        <v>9749</v>
      </c>
    </row>
    <row r="2515" spans="1:7">
      <c r="A2515" t="s">
        <v>9769</v>
      </c>
      <c r="B2515" t="s">
        <v>9770</v>
      </c>
      <c r="C2515" t="s">
        <v>4803</v>
      </c>
      <c r="D2515">
        <v>406</v>
      </c>
      <c r="E2515" s="208"/>
      <c r="G2515" t="s">
        <v>9749</v>
      </c>
    </row>
    <row r="2516" spans="1:7">
      <c r="A2516" t="s">
        <v>9771</v>
      </c>
      <c r="B2516" t="s">
        <v>9772</v>
      </c>
      <c r="C2516" t="s">
        <v>4803</v>
      </c>
      <c r="D2516">
        <v>477</v>
      </c>
      <c r="E2516" s="208"/>
      <c r="G2516" t="s">
        <v>9749</v>
      </c>
    </row>
    <row r="2517" spans="1:7">
      <c r="A2517" t="s">
        <v>9773</v>
      </c>
      <c r="B2517" t="s">
        <v>9774</v>
      </c>
      <c r="C2517" t="s">
        <v>4803</v>
      </c>
      <c r="D2517">
        <v>645</v>
      </c>
      <c r="E2517" s="208"/>
      <c r="G2517" t="s">
        <v>9749</v>
      </c>
    </row>
    <row r="2518" spans="1:7">
      <c r="A2518" t="s">
        <v>9775</v>
      </c>
      <c r="B2518" t="s">
        <v>9776</v>
      </c>
      <c r="C2518" t="s">
        <v>4803</v>
      </c>
      <c r="D2518">
        <v>450</v>
      </c>
      <c r="E2518" s="208"/>
      <c r="G2518" t="s">
        <v>9749</v>
      </c>
    </row>
    <row r="2519" spans="1:7">
      <c r="A2519" t="s">
        <v>9777</v>
      </c>
      <c r="B2519" t="s">
        <v>9778</v>
      </c>
      <c r="C2519" t="s">
        <v>4803</v>
      </c>
      <c r="D2519">
        <v>189</v>
      </c>
      <c r="E2519" s="208"/>
      <c r="G2519" t="s">
        <v>9749</v>
      </c>
    </row>
    <row r="2520" spans="1:7">
      <c r="A2520" t="s">
        <v>9779</v>
      </c>
      <c r="B2520" t="s">
        <v>9780</v>
      </c>
      <c r="C2520" t="s">
        <v>4803</v>
      </c>
      <c r="D2520">
        <v>641</v>
      </c>
      <c r="E2520" s="208"/>
      <c r="G2520" t="s">
        <v>9749</v>
      </c>
    </row>
    <row r="2521" spans="1:7">
      <c r="A2521" t="s">
        <v>9781</v>
      </c>
      <c r="B2521" t="s">
        <v>9782</v>
      </c>
      <c r="C2521" t="s">
        <v>4803</v>
      </c>
      <c r="D2521">
        <v>349</v>
      </c>
      <c r="E2521" s="208"/>
      <c r="G2521" t="s">
        <v>9749</v>
      </c>
    </row>
    <row r="2522" spans="1:7">
      <c r="A2522" t="s">
        <v>9783</v>
      </c>
      <c r="B2522" t="s">
        <v>9784</v>
      </c>
      <c r="C2522" t="s">
        <v>4803</v>
      </c>
      <c r="D2522">
        <v>382</v>
      </c>
      <c r="E2522" s="208"/>
      <c r="G2522" t="s">
        <v>9749</v>
      </c>
    </row>
    <row r="2523" spans="1:7">
      <c r="A2523" t="s">
        <v>9785</v>
      </c>
      <c r="B2523" t="s">
        <v>9786</v>
      </c>
      <c r="C2523" t="s">
        <v>4803</v>
      </c>
      <c r="D2523">
        <v>292</v>
      </c>
      <c r="E2523" s="208"/>
      <c r="G2523" t="s">
        <v>9749</v>
      </c>
    </row>
    <row r="2524" spans="1:7">
      <c r="A2524" t="s">
        <v>9787</v>
      </c>
      <c r="B2524" t="s">
        <v>9788</v>
      </c>
      <c r="C2524" t="s">
        <v>4803</v>
      </c>
      <c r="D2524">
        <v>292</v>
      </c>
      <c r="E2524" s="208"/>
      <c r="G2524" t="s">
        <v>9749</v>
      </c>
    </row>
    <row r="2525" spans="1:7">
      <c r="A2525" t="s">
        <v>9789</v>
      </c>
      <c r="B2525" t="s">
        <v>9790</v>
      </c>
      <c r="C2525" t="s">
        <v>4803</v>
      </c>
      <c r="D2525">
        <v>377</v>
      </c>
      <c r="E2525" s="208"/>
      <c r="G2525" t="s">
        <v>9749</v>
      </c>
    </row>
    <row r="2526" spans="1:7">
      <c r="A2526" t="s">
        <v>9791</v>
      </c>
      <c r="B2526" t="s">
        <v>9792</v>
      </c>
      <c r="C2526" t="s">
        <v>4803</v>
      </c>
      <c r="D2526">
        <v>443</v>
      </c>
      <c r="E2526" s="208"/>
      <c r="G2526" t="s">
        <v>9749</v>
      </c>
    </row>
    <row r="2527" spans="1:7">
      <c r="A2527" t="s">
        <v>9793</v>
      </c>
      <c r="B2527" t="s">
        <v>9794</v>
      </c>
      <c r="C2527" t="s">
        <v>4803</v>
      </c>
      <c r="D2527">
        <v>607</v>
      </c>
      <c r="E2527" s="208"/>
      <c r="G2527" t="s">
        <v>9749</v>
      </c>
    </row>
    <row r="2528" spans="1:7">
      <c r="A2528" t="s">
        <v>9795</v>
      </c>
      <c r="B2528" t="s">
        <v>9796</v>
      </c>
      <c r="C2528" t="s">
        <v>4803</v>
      </c>
      <c r="D2528">
        <v>492</v>
      </c>
      <c r="E2528" s="208"/>
      <c r="G2528" t="s">
        <v>9749</v>
      </c>
    </row>
    <row r="2529" spans="1:7">
      <c r="A2529" t="s">
        <v>9797</v>
      </c>
      <c r="B2529" t="s">
        <v>9798</v>
      </c>
      <c r="C2529" t="s">
        <v>4803</v>
      </c>
      <c r="D2529">
        <v>225</v>
      </c>
      <c r="E2529" s="208"/>
      <c r="G2529" t="s">
        <v>9749</v>
      </c>
    </row>
    <row r="2530" spans="1:7">
      <c r="A2530" t="s">
        <v>9799</v>
      </c>
      <c r="B2530" t="s">
        <v>9800</v>
      </c>
      <c r="C2530" t="s">
        <v>4803</v>
      </c>
      <c r="D2530">
        <v>367</v>
      </c>
      <c r="E2530" s="208"/>
      <c r="G2530" t="s">
        <v>9749</v>
      </c>
    </row>
    <row r="2531" spans="1:7">
      <c r="A2531" t="s">
        <v>9801</v>
      </c>
      <c r="B2531" t="s">
        <v>9802</v>
      </c>
      <c r="C2531" t="s">
        <v>4803</v>
      </c>
      <c r="D2531">
        <v>656</v>
      </c>
      <c r="E2531" s="208"/>
      <c r="G2531" t="s">
        <v>9749</v>
      </c>
    </row>
    <row r="2532" spans="1:7">
      <c r="A2532" t="s">
        <v>9803</v>
      </c>
      <c r="B2532" t="s">
        <v>9804</v>
      </c>
      <c r="C2532" t="s">
        <v>4803</v>
      </c>
      <c r="D2532">
        <v>531</v>
      </c>
      <c r="E2532" s="208"/>
      <c r="G2532" t="s">
        <v>9749</v>
      </c>
    </row>
    <row r="2533" spans="1:7">
      <c r="A2533" t="s">
        <v>9805</v>
      </c>
      <c r="B2533" t="s">
        <v>9806</v>
      </c>
      <c r="C2533" t="s">
        <v>4803</v>
      </c>
      <c r="D2533">
        <v>157</v>
      </c>
      <c r="E2533" s="208"/>
      <c r="G2533" t="s">
        <v>9749</v>
      </c>
    </row>
    <row r="2534" spans="1:7">
      <c r="A2534" t="s">
        <v>9807</v>
      </c>
      <c r="B2534" t="s">
        <v>9808</v>
      </c>
      <c r="C2534" t="s">
        <v>4803</v>
      </c>
      <c r="D2534">
        <v>189</v>
      </c>
      <c r="E2534" s="208"/>
      <c r="G2534" t="s">
        <v>9749</v>
      </c>
    </row>
    <row r="2535" spans="1:7">
      <c r="A2535" t="s">
        <v>9809</v>
      </c>
      <c r="B2535" t="s">
        <v>9810</v>
      </c>
      <c r="C2535" t="s">
        <v>4803</v>
      </c>
      <c r="D2535">
        <v>291</v>
      </c>
      <c r="E2535" s="208"/>
      <c r="G2535" t="s">
        <v>9749</v>
      </c>
    </row>
    <row r="2536" spans="1:7">
      <c r="A2536" t="s">
        <v>9811</v>
      </c>
      <c r="B2536" t="s">
        <v>9812</v>
      </c>
      <c r="C2536" t="s">
        <v>4803</v>
      </c>
      <c r="D2536">
        <v>466</v>
      </c>
      <c r="E2536" s="208"/>
      <c r="G2536" t="s">
        <v>9749</v>
      </c>
    </row>
    <row r="2537" spans="1:7">
      <c r="A2537" t="s">
        <v>9813</v>
      </c>
      <c r="B2537" t="s">
        <v>9814</v>
      </c>
      <c r="C2537" t="s">
        <v>4803</v>
      </c>
      <c r="D2537">
        <v>462</v>
      </c>
      <c r="E2537" s="208"/>
      <c r="G2537" t="s">
        <v>9749</v>
      </c>
    </row>
    <row r="2538" spans="1:7">
      <c r="A2538" t="s">
        <v>9815</v>
      </c>
      <c r="B2538" t="s">
        <v>9816</v>
      </c>
      <c r="C2538" t="s">
        <v>4803</v>
      </c>
      <c r="D2538">
        <v>166</v>
      </c>
      <c r="E2538" s="208"/>
      <c r="G2538" t="s">
        <v>9749</v>
      </c>
    </row>
    <row r="2539" spans="1:7">
      <c r="A2539" t="s">
        <v>9817</v>
      </c>
      <c r="B2539" t="s">
        <v>9818</v>
      </c>
      <c r="C2539" t="s">
        <v>4803</v>
      </c>
      <c r="D2539">
        <v>228</v>
      </c>
      <c r="E2539" s="208"/>
      <c r="G2539" t="s">
        <v>9749</v>
      </c>
    </row>
    <row r="2540" spans="1:7">
      <c r="A2540" t="s">
        <v>9819</v>
      </c>
      <c r="B2540" t="s">
        <v>9820</v>
      </c>
      <c r="C2540" t="s">
        <v>4803</v>
      </c>
      <c r="D2540">
        <v>189</v>
      </c>
      <c r="E2540" s="208"/>
      <c r="G2540" t="s">
        <v>9749</v>
      </c>
    </row>
    <row r="2541" spans="1:7">
      <c r="A2541" t="s">
        <v>9821</v>
      </c>
      <c r="B2541" t="s">
        <v>9822</v>
      </c>
      <c r="C2541" t="s">
        <v>6508</v>
      </c>
      <c r="D2541">
        <v>1632</v>
      </c>
      <c r="E2541" s="208"/>
      <c r="G2541" t="s">
        <v>9749</v>
      </c>
    </row>
    <row r="2542" spans="1:7">
      <c r="A2542" t="s">
        <v>9823</v>
      </c>
      <c r="B2542" t="s">
        <v>9824</v>
      </c>
      <c r="C2542" t="s">
        <v>6508</v>
      </c>
      <c r="D2542">
        <v>1070</v>
      </c>
      <c r="E2542" s="208"/>
      <c r="G2542" t="s">
        <v>9749</v>
      </c>
    </row>
    <row r="2543" spans="1:7">
      <c r="A2543" t="s">
        <v>9825</v>
      </c>
      <c r="B2543" t="s">
        <v>9826</v>
      </c>
      <c r="C2543" t="s">
        <v>4803</v>
      </c>
      <c r="D2543">
        <v>717</v>
      </c>
      <c r="E2543" s="208"/>
      <c r="G2543" t="s">
        <v>9749</v>
      </c>
    </row>
    <row r="2544" spans="1:7">
      <c r="A2544" t="s">
        <v>9827</v>
      </c>
      <c r="B2544" t="s">
        <v>9828</v>
      </c>
      <c r="C2544" t="s">
        <v>6508</v>
      </c>
      <c r="D2544">
        <v>1559</v>
      </c>
      <c r="E2544" s="208"/>
      <c r="G2544" t="s">
        <v>9749</v>
      </c>
    </row>
    <row r="2545" spans="1:7">
      <c r="A2545" t="s">
        <v>9829</v>
      </c>
      <c r="B2545" t="s">
        <v>9830</v>
      </c>
      <c r="C2545" t="s">
        <v>4803</v>
      </c>
      <c r="D2545">
        <v>982</v>
      </c>
      <c r="E2545" s="208"/>
      <c r="G2545" t="s">
        <v>9749</v>
      </c>
    </row>
    <row r="2546" spans="1:7">
      <c r="A2546" t="s">
        <v>9831</v>
      </c>
      <c r="B2546" t="s">
        <v>9832</v>
      </c>
      <c r="C2546" t="s">
        <v>4803</v>
      </c>
      <c r="D2546">
        <v>639</v>
      </c>
      <c r="E2546" s="208"/>
      <c r="G2546" t="s">
        <v>9749</v>
      </c>
    </row>
    <row r="2547" spans="1:7">
      <c r="A2547" t="s">
        <v>9833</v>
      </c>
      <c r="B2547" t="s">
        <v>9834</v>
      </c>
      <c r="C2547" t="s">
        <v>4803</v>
      </c>
      <c r="D2547">
        <v>176</v>
      </c>
      <c r="E2547" s="208"/>
      <c r="G2547" t="s">
        <v>9749</v>
      </c>
    </row>
    <row r="2548" spans="1:7">
      <c r="A2548" t="s">
        <v>9835</v>
      </c>
      <c r="B2548" t="s">
        <v>9836</v>
      </c>
      <c r="C2548" t="s">
        <v>4803</v>
      </c>
      <c r="D2548">
        <v>373</v>
      </c>
      <c r="E2548" s="208"/>
      <c r="G2548" t="s">
        <v>9749</v>
      </c>
    </row>
    <row r="2549" spans="1:7">
      <c r="A2549" t="s">
        <v>9837</v>
      </c>
      <c r="B2549" t="s">
        <v>9838</v>
      </c>
      <c r="C2549" t="s">
        <v>4803</v>
      </c>
      <c r="D2549">
        <v>552</v>
      </c>
      <c r="E2549" s="208"/>
      <c r="G2549" t="s">
        <v>9749</v>
      </c>
    </row>
    <row r="2550" spans="1:7">
      <c r="A2550" t="s">
        <v>9839</v>
      </c>
      <c r="B2550" t="s">
        <v>9840</v>
      </c>
      <c r="C2550" t="s">
        <v>4803</v>
      </c>
      <c r="D2550">
        <v>338</v>
      </c>
      <c r="E2550" s="208"/>
      <c r="G2550" t="s">
        <v>9749</v>
      </c>
    </row>
    <row r="2551" spans="1:7">
      <c r="A2551" t="s">
        <v>9841</v>
      </c>
      <c r="B2551" t="s">
        <v>6828</v>
      </c>
      <c r="C2551" t="s">
        <v>4803</v>
      </c>
      <c r="D2551">
        <v>261</v>
      </c>
      <c r="E2551" s="208"/>
      <c r="G2551" t="s">
        <v>9749</v>
      </c>
    </row>
    <row r="2552" spans="1:7">
      <c r="A2552" t="s">
        <v>9842</v>
      </c>
      <c r="B2552" t="s">
        <v>9843</v>
      </c>
      <c r="C2552" t="s">
        <v>4803</v>
      </c>
      <c r="D2552">
        <v>339</v>
      </c>
      <c r="E2552" s="208"/>
      <c r="G2552" t="s">
        <v>9749</v>
      </c>
    </row>
    <row r="2553" spans="1:7">
      <c r="A2553" t="s">
        <v>9844</v>
      </c>
      <c r="B2553" t="s">
        <v>9845</v>
      </c>
      <c r="C2553" t="s">
        <v>9846</v>
      </c>
      <c r="D2553">
        <v>146</v>
      </c>
      <c r="E2553" s="208"/>
      <c r="G2553" t="s">
        <v>9749</v>
      </c>
    </row>
    <row r="2554" spans="1:7">
      <c r="A2554" t="s">
        <v>9847</v>
      </c>
      <c r="B2554" t="s">
        <v>9848</v>
      </c>
      <c r="C2554" t="s">
        <v>9849</v>
      </c>
      <c r="D2554">
        <v>632</v>
      </c>
      <c r="E2554" s="208"/>
      <c r="G2554" t="s">
        <v>9749</v>
      </c>
    </row>
    <row r="2555" spans="1:7">
      <c r="A2555" t="s">
        <v>9850</v>
      </c>
      <c r="B2555" t="s">
        <v>9851</v>
      </c>
      <c r="C2555" t="s">
        <v>9849</v>
      </c>
      <c r="D2555">
        <v>508</v>
      </c>
      <c r="E2555" s="208"/>
      <c r="G2555" t="s">
        <v>9749</v>
      </c>
    </row>
    <row r="2556" spans="1:7">
      <c r="A2556" t="s">
        <v>9852</v>
      </c>
      <c r="B2556" t="s">
        <v>9853</v>
      </c>
      <c r="C2556" t="s">
        <v>9846</v>
      </c>
      <c r="D2556">
        <v>108</v>
      </c>
      <c r="E2556" s="208"/>
      <c r="G2556" t="s">
        <v>9749</v>
      </c>
    </row>
    <row r="2557" spans="1:7">
      <c r="A2557" t="s">
        <v>9854</v>
      </c>
      <c r="B2557" t="s">
        <v>9855</v>
      </c>
      <c r="C2557" t="s">
        <v>9849</v>
      </c>
      <c r="D2557">
        <v>465</v>
      </c>
      <c r="E2557" s="208"/>
      <c r="G2557" t="s">
        <v>9749</v>
      </c>
    </row>
    <row r="2558" spans="1:7">
      <c r="A2558" t="s">
        <v>9856</v>
      </c>
      <c r="B2558" t="s">
        <v>9857</v>
      </c>
      <c r="C2558" t="s">
        <v>9849</v>
      </c>
      <c r="D2558">
        <v>455</v>
      </c>
      <c r="E2558" s="208"/>
      <c r="G2558" t="s">
        <v>9749</v>
      </c>
    </row>
    <row r="2559" spans="1:7">
      <c r="A2559" t="s">
        <v>9858</v>
      </c>
      <c r="B2559" t="s">
        <v>9859</v>
      </c>
      <c r="C2559" t="s">
        <v>9860</v>
      </c>
      <c r="D2559">
        <v>4650</v>
      </c>
      <c r="E2559" s="208"/>
      <c r="G2559" t="s">
        <v>9749</v>
      </c>
    </row>
    <row r="2560" spans="1:7">
      <c r="A2560" t="s">
        <v>9861</v>
      </c>
      <c r="B2560" t="s">
        <v>9862</v>
      </c>
      <c r="C2560" t="s">
        <v>9849</v>
      </c>
      <c r="D2560">
        <v>455</v>
      </c>
      <c r="E2560" s="208"/>
      <c r="G2560" t="s">
        <v>9749</v>
      </c>
    </row>
    <row r="2561" spans="1:7">
      <c r="A2561" t="s">
        <v>9863</v>
      </c>
      <c r="B2561" t="s">
        <v>9864</v>
      </c>
      <c r="C2561" t="s">
        <v>9860</v>
      </c>
      <c r="D2561">
        <v>4650</v>
      </c>
      <c r="E2561" s="208"/>
      <c r="G2561" t="s">
        <v>9749</v>
      </c>
    </row>
    <row r="2562" spans="1:7">
      <c r="A2562" t="s">
        <v>9865</v>
      </c>
      <c r="B2562" t="s">
        <v>9866</v>
      </c>
      <c r="C2562" t="s">
        <v>9849</v>
      </c>
      <c r="D2562">
        <v>455</v>
      </c>
      <c r="E2562" s="208"/>
      <c r="G2562" t="s">
        <v>9749</v>
      </c>
    </row>
    <row r="2563" spans="1:7">
      <c r="A2563" t="s">
        <v>9867</v>
      </c>
      <c r="B2563" t="s">
        <v>9868</v>
      </c>
      <c r="C2563" t="s">
        <v>9860</v>
      </c>
      <c r="D2563">
        <v>4650</v>
      </c>
      <c r="E2563" s="208"/>
      <c r="G2563" t="s">
        <v>9749</v>
      </c>
    </row>
    <row r="2564" spans="1:7">
      <c r="A2564" t="s">
        <v>9869</v>
      </c>
      <c r="B2564" t="s">
        <v>9870</v>
      </c>
      <c r="C2564" t="s">
        <v>9849</v>
      </c>
      <c r="D2564">
        <v>455</v>
      </c>
      <c r="E2564" s="208"/>
      <c r="G2564" t="s">
        <v>9749</v>
      </c>
    </row>
    <row r="2565" spans="1:7">
      <c r="A2565" t="s">
        <v>9871</v>
      </c>
      <c r="B2565" t="s">
        <v>9872</v>
      </c>
      <c r="C2565" t="s">
        <v>9860</v>
      </c>
      <c r="D2565">
        <v>4650</v>
      </c>
      <c r="E2565" s="208"/>
      <c r="G2565" t="s">
        <v>9749</v>
      </c>
    </row>
    <row r="2566" spans="1:7">
      <c r="A2566" t="s">
        <v>9873</v>
      </c>
      <c r="B2566" t="s">
        <v>9874</v>
      </c>
      <c r="C2566" t="s">
        <v>9849</v>
      </c>
      <c r="D2566">
        <v>455</v>
      </c>
      <c r="E2566" s="208"/>
      <c r="G2566" t="s">
        <v>9749</v>
      </c>
    </row>
    <row r="2567" spans="1:7">
      <c r="A2567" t="s">
        <v>9875</v>
      </c>
      <c r="B2567" t="s">
        <v>9876</v>
      </c>
      <c r="C2567" t="s">
        <v>9860</v>
      </c>
      <c r="D2567">
        <v>4650</v>
      </c>
      <c r="E2567" s="208"/>
      <c r="G2567" t="s">
        <v>9749</v>
      </c>
    </row>
    <row r="2568" spans="1:7">
      <c r="A2568" t="s">
        <v>9877</v>
      </c>
      <c r="B2568" t="s">
        <v>9878</v>
      </c>
      <c r="C2568" t="s">
        <v>9849</v>
      </c>
      <c r="D2568">
        <v>455</v>
      </c>
      <c r="E2568" s="208"/>
      <c r="G2568" t="s">
        <v>9749</v>
      </c>
    </row>
    <row r="2569" spans="1:7">
      <c r="A2569" t="s">
        <v>9879</v>
      </c>
      <c r="B2569" t="s">
        <v>9880</v>
      </c>
      <c r="C2569" t="s">
        <v>9860</v>
      </c>
      <c r="D2569">
        <v>4650</v>
      </c>
      <c r="E2569" s="208"/>
      <c r="G2569" t="s">
        <v>9749</v>
      </c>
    </row>
    <row r="2570" spans="1:7">
      <c r="A2570" t="s">
        <v>9881</v>
      </c>
      <c r="B2570" t="s">
        <v>9882</v>
      </c>
      <c r="C2570" t="s">
        <v>9849</v>
      </c>
      <c r="D2570">
        <v>470</v>
      </c>
      <c r="E2570" s="208"/>
      <c r="G2570" t="s">
        <v>9749</v>
      </c>
    </row>
    <row r="2571" spans="1:7">
      <c r="A2571" t="s">
        <v>9883</v>
      </c>
      <c r="B2571" t="s">
        <v>9884</v>
      </c>
      <c r="C2571" t="s">
        <v>9860</v>
      </c>
      <c r="D2571">
        <v>4809</v>
      </c>
      <c r="E2571" s="208"/>
      <c r="G2571" t="s">
        <v>9749</v>
      </c>
    </row>
    <row r="2572" spans="1:7">
      <c r="A2572" t="s">
        <v>9885</v>
      </c>
      <c r="B2572" t="s">
        <v>9886</v>
      </c>
      <c r="C2572" t="s">
        <v>9849</v>
      </c>
      <c r="D2572">
        <v>455</v>
      </c>
      <c r="E2572" s="208"/>
      <c r="G2572" t="s">
        <v>9749</v>
      </c>
    </row>
    <row r="2573" spans="1:7">
      <c r="A2573" t="s">
        <v>9887</v>
      </c>
      <c r="B2573" t="s">
        <v>9888</v>
      </c>
      <c r="C2573" t="s">
        <v>9860</v>
      </c>
      <c r="D2573">
        <v>4650</v>
      </c>
      <c r="E2573" s="208"/>
      <c r="G2573" t="s">
        <v>9749</v>
      </c>
    </row>
    <row r="2574" spans="1:7">
      <c r="A2574" t="s">
        <v>9889</v>
      </c>
      <c r="B2574" t="s">
        <v>9890</v>
      </c>
      <c r="C2574" t="s">
        <v>9849</v>
      </c>
      <c r="D2574">
        <v>455</v>
      </c>
      <c r="E2574" s="208"/>
      <c r="G2574" t="s">
        <v>9749</v>
      </c>
    </row>
    <row r="2575" spans="1:7">
      <c r="A2575" t="s">
        <v>9891</v>
      </c>
      <c r="B2575" t="s">
        <v>9892</v>
      </c>
      <c r="C2575" t="s">
        <v>9860</v>
      </c>
      <c r="D2575">
        <v>4650</v>
      </c>
      <c r="E2575" s="208"/>
      <c r="G2575" t="s">
        <v>9749</v>
      </c>
    </row>
    <row r="2576" spans="1:7">
      <c r="A2576" t="s">
        <v>9893</v>
      </c>
      <c r="B2576" t="s">
        <v>9894</v>
      </c>
      <c r="C2576" t="s">
        <v>9849</v>
      </c>
      <c r="D2576">
        <v>490</v>
      </c>
      <c r="E2576" s="208"/>
      <c r="G2576" t="s">
        <v>9749</v>
      </c>
    </row>
    <row r="2577" spans="1:7">
      <c r="A2577" t="s">
        <v>9895</v>
      </c>
      <c r="B2577" t="s">
        <v>9896</v>
      </c>
      <c r="C2577" t="s">
        <v>9860</v>
      </c>
      <c r="D2577">
        <v>5021</v>
      </c>
      <c r="E2577" s="208"/>
      <c r="G2577" t="s">
        <v>9749</v>
      </c>
    </row>
    <row r="2578" spans="1:7">
      <c r="A2578" t="s">
        <v>9897</v>
      </c>
      <c r="B2578" t="s">
        <v>9898</v>
      </c>
      <c r="C2578" t="s">
        <v>9849</v>
      </c>
      <c r="D2578">
        <v>455</v>
      </c>
      <c r="E2578" s="208"/>
      <c r="G2578" t="s">
        <v>9749</v>
      </c>
    </row>
    <row r="2579" spans="1:7">
      <c r="A2579" t="s">
        <v>9899</v>
      </c>
      <c r="B2579" t="s">
        <v>9900</v>
      </c>
      <c r="C2579" t="s">
        <v>9860</v>
      </c>
      <c r="D2579">
        <v>4650</v>
      </c>
      <c r="E2579" s="208"/>
      <c r="G2579" t="s">
        <v>9749</v>
      </c>
    </row>
    <row r="2580" spans="1:7">
      <c r="A2580" t="s">
        <v>9901</v>
      </c>
      <c r="B2580" t="s">
        <v>9902</v>
      </c>
      <c r="C2580" t="s">
        <v>9849</v>
      </c>
      <c r="D2580">
        <v>455</v>
      </c>
      <c r="E2580" s="208"/>
      <c r="G2580" t="s">
        <v>9749</v>
      </c>
    </row>
    <row r="2581" spans="1:7">
      <c r="A2581" t="s">
        <v>9903</v>
      </c>
      <c r="B2581" t="s">
        <v>9904</v>
      </c>
      <c r="C2581" t="s">
        <v>9860</v>
      </c>
      <c r="D2581">
        <v>4650</v>
      </c>
      <c r="E2581" s="208"/>
      <c r="G2581" t="s">
        <v>9749</v>
      </c>
    </row>
    <row r="2582" spans="1:7">
      <c r="A2582" t="s">
        <v>9905</v>
      </c>
      <c r="B2582" t="s">
        <v>9906</v>
      </c>
      <c r="C2582" t="s">
        <v>9849</v>
      </c>
      <c r="D2582">
        <v>455</v>
      </c>
      <c r="E2582" s="208"/>
      <c r="G2582" t="s">
        <v>9749</v>
      </c>
    </row>
    <row r="2583" spans="1:7">
      <c r="A2583" t="s">
        <v>9907</v>
      </c>
      <c r="B2583" t="s">
        <v>9908</v>
      </c>
      <c r="C2583" t="s">
        <v>9860</v>
      </c>
      <c r="D2583">
        <v>4650</v>
      </c>
      <c r="E2583" s="208"/>
      <c r="G2583" t="s">
        <v>9749</v>
      </c>
    </row>
    <row r="2584" spans="1:7">
      <c r="A2584" t="s">
        <v>9909</v>
      </c>
      <c r="B2584" t="s">
        <v>9910</v>
      </c>
      <c r="C2584" t="s">
        <v>9849</v>
      </c>
      <c r="D2584">
        <v>455</v>
      </c>
      <c r="E2584" s="208"/>
      <c r="G2584" t="s">
        <v>9749</v>
      </c>
    </row>
    <row r="2585" spans="1:7">
      <c r="A2585" t="s">
        <v>9911</v>
      </c>
      <c r="B2585" t="s">
        <v>9912</v>
      </c>
      <c r="C2585" t="s">
        <v>9860</v>
      </c>
      <c r="D2585">
        <v>4650</v>
      </c>
      <c r="E2585" s="208"/>
      <c r="G2585" t="s">
        <v>9749</v>
      </c>
    </row>
    <row r="2586" spans="1:7">
      <c r="A2586" t="s">
        <v>9913</v>
      </c>
      <c r="B2586" t="s">
        <v>9914</v>
      </c>
      <c r="C2586" t="s">
        <v>9849</v>
      </c>
      <c r="D2586">
        <v>455</v>
      </c>
      <c r="E2586" s="208"/>
      <c r="G2586" t="s">
        <v>9749</v>
      </c>
    </row>
    <row r="2587" spans="1:7">
      <c r="A2587" t="s">
        <v>9915</v>
      </c>
      <c r="B2587" t="s">
        <v>9916</v>
      </c>
      <c r="C2587" t="s">
        <v>9860</v>
      </c>
      <c r="D2587">
        <v>4650</v>
      </c>
      <c r="E2587" s="208"/>
      <c r="G2587" t="s">
        <v>9749</v>
      </c>
    </row>
    <row r="2588" spans="1:7">
      <c r="A2588" t="s">
        <v>9917</v>
      </c>
      <c r="B2588" t="s">
        <v>9918</v>
      </c>
      <c r="C2588" t="s">
        <v>9849</v>
      </c>
      <c r="D2588">
        <v>455</v>
      </c>
      <c r="E2588" s="208"/>
      <c r="G2588" t="s">
        <v>9749</v>
      </c>
    </row>
    <row r="2589" spans="1:7">
      <c r="A2589" t="s">
        <v>9919</v>
      </c>
      <c r="B2589" t="s">
        <v>9920</v>
      </c>
      <c r="C2589" t="s">
        <v>9860</v>
      </c>
      <c r="D2589">
        <v>4650</v>
      </c>
      <c r="E2589" s="208"/>
      <c r="G2589" t="s">
        <v>9749</v>
      </c>
    </row>
    <row r="2590" spans="1:7">
      <c r="A2590" t="s">
        <v>9921</v>
      </c>
      <c r="B2590" t="s">
        <v>9922</v>
      </c>
      <c r="C2590" t="s">
        <v>9849</v>
      </c>
      <c r="D2590">
        <v>470</v>
      </c>
      <c r="E2590" s="208"/>
      <c r="G2590" t="s">
        <v>9749</v>
      </c>
    </row>
    <row r="2591" spans="1:7">
      <c r="A2591" t="s">
        <v>9923</v>
      </c>
      <c r="B2591" t="s">
        <v>9924</v>
      </c>
      <c r="C2591" t="s">
        <v>9860</v>
      </c>
      <c r="D2591">
        <v>4809</v>
      </c>
      <c r="E2591" s="208"/>
      <c r="G2591" t="s">
        <v>9749</v>
      </c>
    </row>
    <row r="2592" spans="1:7">
      <c r="A2592" t="s">
        <v>9925</v>
      </c>
      <c r="B2592" t="s">
        <v>9926</v>
      </c>
      <c r="C2592" t="s">
        <v>9849</v>
      </c>
      <c r="D2592">
        <v>470</v>
      </c>
      <c r="E2592" s="208"/>
      <c r="G2592" t="s">
        <v>9749</v>
      </c>
    </row>
    <row r="2593" spans="1:7">
      <c r="A2593" t="s">
        <v>9927</v>
      </c>
      <c r="B2593" t="s">
        <v>9928</v>
      </c>
      <c r="C2593" t="s">
        <v>9860</v>
      </c>
      <c r="D2593">
        <v>4809</v>
      </c>
      <c r="E2593" s="208"/>
      <c r="G2593" t="s">
        <v>9749</v>
      </c>
    </row>
    <row r="2594" spans="1:7">
      <c r="A2594" t="s">
        <v>9929</v>
      </c>
      <c r="B2594" t="s">
        <v>9930</v>
      </c>
      <c r="C2594" t="s">
        <v>9849</v>
      </c>
      <c r="D2594">
        <v>490</v>
      </c>
      <c r="E2594" s="208"/>
      <c r="G2594" t="s">
        <v>9749</v>
      </c>
    </row>
    <row r="2595" spans="1:7">
      <c r="A2595" t="s">
        <v>9931</v>
      </c>
      <c r="B2595" t="s">
        <v>9932</v>
      </c>
      <c r="C2595" t="s">
        <v>9860</v>
      </c>
      <c r="D2595">
        <v>5021</v>
      </c>
      <c r="E2595" s="208"/>
      <c r="G2595" t="s">
        <v>9749</v>
      </c>
    </row>
    <row r="2596" spans="1:7">
      <c r="A2596" t="s">
        <v>9933</v>
      </c>
      <c r="B2596" t="s">
        <v>9934</v>
      </c>
      <c r="C2596" t="s">
        <v>9849</v>
      </c>
      <c r="D2596">
        <v>470</v>
      </c>
      <c r="E2596" s="208"/>
      <c r="G2596" t="s">
        <v>9749</v>
      </c>
    </row>
    <row r="2597" spans="1:7">
      <c r="A2597" t="s">
        <v>9935</v>
      </c>
      <c r="B2597" t="s">
        <v>9936</v>
      </c>
      <c r="C2597" t="s">
        <v>9860</v>
      </c>
      <c r="D2597">
        <v>4809</v>
      </c>
      <c r="E2597" s="208"/>
      <c r="G2597" t="s">
        <v>9749</v>
      </c>
    </row>
    <row r="2598" spans="1:7">
      <c r="A2598" t="s">
        <v>9937</v>
      </c>
      <c r="B2598" t="s">
        <v>9938</v>
      </c>
      <c r="C2598" t="s">
        <v>9849</v>
      </c>
      <c r="D2598">
        <v>490</v>
      </c>
      <c r="E2598" s="208"/>
      <c r="G2598" t="s">
        <v>9749</v>
      </c>
    </row>
    <row r="2599" spans="1:7">
      <c r="A2599" t="s">
        <v>9939</v>
      </c>
      <c r="B2599" t="s">
        <v>9940</v>
      </c>
      <c r="C2599" t="s">
        <v>9860</v>
      </c>
      <c r="D2599">
        <v>5021</v>
      </c>
      <c r="E2599" s="208"/>
      <c r="G2599" t="s">
        <v>9749</v>
      </c>
    </row>
    <row r="2600" spans="1:7">
      <c r="A2600" t="s">
        <v>9941</v>
      </c>
      <c r="B2600" t="s">
        <v>9942</v>
      </c>
      <c r="C2600" t="s">
        <v>9849</v>
      </c>
      <c r="D2600">
        <v>455</v>
      </c>
      <c r="E2600" s="208"/>
      <c r="G2600" t="s">
        <v>9749</v>
      </c>
    </row>
    <row r="2601" spans="1:7">
      <c r="A2601" t="s">
        <v>9943</v>
      </c>
      <c r="B2601" t="s">
        <v>9944</v>
      </c>
      <c r="C2601" t="s">
        <v>9860</v>
      </c>
      <c r="D2601">
        <v>4650</v>
      </c>
      <c r="E2601" s="208"/>
      <c r="G2601" t="s">
        <v>9749</v>
      </c>
    </row>
    <row r="2602" spans="1:7">
      <c r="A2602" t="s">
        <v>9945</v>
      </c>
      <c r="B2602" t="s">
        <v>9946</v>
      </c>
      <c r="C2602" t="s">
        <v>9849</v>
      </c>
      <c r="D2602">
        <v>455</v>
      </c>
      <c r="E2602" s="208"/>
      <c r="G2602" t="s">
        <v>9749</v>
      </c>
    </row>
    <row r="2603" spans="1:7">
      <c r="A2603" t="s">
        <v>9947</v>
      </c>
      <c r="B2603" t="s">
        <v>9948</v>
      </c>
      <c r="C2603" t="s">
        <v>9860</v>
      </c>
      <c r="D2603">
        <v>4650</v>
      </c>
      <c r="E2603" s="208"/>
      <c r="G2603" t="s">
        <v>9749</v>
      </c>
    </row>
    <row r="2604" spans="1:7">
      <c r="A2604" t="s">
        <v>9949</v>
      </c>
      <c r="B2604" t="s">
        <v>9950</v>
      </c>
      <c r="C2604" t="s">
        <v>9849</v>
      </c>
      <c r="D2604">
        <v>455</v>
      </c>
      <c r="E2604" s="208"/>
      <c r="G2604" t="s">
        <v>9749</v>
      </c>
    </row>
    <row r="2605" spans="1:7">
      <c r="A2605" t="s">
        <v>9951</v>
      </c>
      <c r="B2605" t="s">
        <v>9952</v>
      </c>
      <c r="C2605" t="s">
        <v>9860</v>
      </c>
      <c r="D2605">
        <v>4650</v>
      </c>
      <c r="E2605" s="208"/>
      <c r="G2605" t="s">
        <v>9749</v>
      </c>
    </row>
    <row r="2606" spans="1:7">
      <c r="A2606" t="s">
        <v>9953</v>
      </c>
      <c r="B2606" t="s">
        <v>9954</v>
      </c>
      <c r="C2606" t="s">
        <v>9849</v>
      </c>
      <c r="D2606">
        <v>455</v>
      </c>
      <c r="E2606" s="208"/>
      <c r="G2606" t="s">
        <v>9749</v>
      </c>
    </row>
    <row r="2607" spans="1:7">
      <c r="A2607" t="s">
        <v>9955</v>
      </c>
      <c r="B2607" t="s">
        <v>9956</v>
      </c>
      <c r="C2607" t="s">
        <v>9860</v>
      </c>
      <c r="D2607">
        <v>4650</v>
      </c>
      <c r="E2607" s="208"/>
      <c r="G2607" t="s">
        <v>9749</v>
      </c>
    </row>
    <row r="2608" spans="1:7">
      <c r="A2608" t="s">
        <v>9957</v>
      </c>
      <c r="B2608" t="s">
        <v>9958</v>
      </c>
      <c r="C2608" t="s">
        <v>9849</v>
      </c>
      <c r="D2608">
        <v>455</v>
      </c>
      <c r="E2608" s="208"/>
      <c r="G2608" t="s">
        <v>9749</v>
      </c>
    </row>
    <row r="2609" spans="1:7">
      <c r="A2609" t="s">
        <v>9959</v>
      </c>
      <c r="B2609" t="s">
        <v>9960</v>
      </c>
      <c r="C2609" t="s">
        <v>9860</v>
      </c>
      <c r="D2609">
        <v>4650</v>
      </c>
      <c r="E2609" s="208"/>
      <c r="G2609" t="s">
        <v>9749</v>
      </c>
    </row>
    <row r="2610" spans="1:7">
      <c r="A2610" t="s">
        <v>9961</v>
      </c>
      <c r="B2610" t="s">
        <v>9962</v>
      </c>
      <c r="C2610" t="s">
        <v>9849</v>
      </c>
      <c r="D2610">
        <v>455</v>
      </c>
      <c r="E2610" s="208"/>
      <c r="G2610" t="s">
        <v>9749</v>
      </c>
    </row>
    <row r="2611" spans="1:7">
      <c r="A2611" t="s">
        <v>9963</v>
      </c>
      <c r="B2611" t="s">
        <v>9964</v>
      </c>
      <c r="C2611" t="s">
        <v>9860</v>
      </c>
      <c r="D2611">
        <v>4650</v>
      </c>
      <c r="E2611" s="208"/>
      <c r="G2611" t="s">
        <v>9749</v>
      </c>
    </row>
    <row r="2612" spans="1:7">
      <c r="A2612" t="s">
        <v>9965</v>
      </c>
      <c r="B2612" t="s">
        <v>9966</v>
      </c>
      <c r="C2612" t="s">
        <v>9849</v>
      </c>
      <c r="D2612">
        <v>455</v>
      </c>
      <c r="E2612" s="208"/>
      <c r="G2612" t="s">
        <v>9749</v>
      </c>
    </row>
    <row r="2613" spans="1:7">
      <c r="A2613" t="s">
        <v>9967</v>
      </c>
      <c r="B2613" t="s">
        <v>9968</v>
      </c>
      <c r="C2613" t="s">
        <v>9860</v>
      </c>
      <c r="D2613">
        <v>4650</v>
      </c>
      <c r="E2613" s="208"/>
      <c r="G2613" t="s">
        <v>9749</v>
      </c>
    </row>
    <row r="2614" spans="1:7">
      <c r="A2614" t="s">
        <v>9969</v>
      </c>
      <c r="B2614" t="s">
        <v>9970</v>
      </c>
      <c r="C2614" t="s">
        <v>9846</v>
      </c>
      <c r="D2614">
        <v>110</v>
      </c>
      <c r="E2614" s="208"/>
      <c r="G2614" t="s">
        <v>9749</v>
      </c>
    </row>
    <row r="2615" spans="1:7">
      <c r="A2615" t="s">
        <v>9971</v>
      </c>
      <c r="B2615" t="s">
        <v>9972</v>
      </c>
      <c r="C2615" t="s">
        <v>9973</v>
      </c>
      <c r="D2615">
        <v>472</v>
      </c>
      <c r="E2615" s="208"/>
      <c r="G2615" t="s">
        <v>9749</v>
      </c>
    </row>
    <row r="2616" spans="1:7">
      <c r="A2616" t="s">
        <v>9974</v>
      </c>
      <c r="B2616" t="s">
        <v>9975</v>
      </c>
      <c r="C2616" t="s">
        <v>9849</v>
      </c>
      <c r="D2616">
        <v>861</v>
      </c>
      <c r="E2616" s="208"/>
      <c r="G2616" t="s">
        <v>9749</v>
      </c>
    </row>
    <row r="2617" spans="1:7">
      <c r="A2617" t="s">
        <v>9976</v>
      </c>
      <c r="B2617" t="s">
        <v>9977</v>
      </c>
      <c r="C2617" t="s">
        <v>9849</v>
      </c>
      <c r="D2617">
        <v>861</v>
      </c>
      <c r="E2617" s="208"/>
      <c r="G2617" t="s">
        <v>9749</v>
      </c>
    </row>
    <row r="2618" spans="1:7">
      <c r="A2618" t="s">
        <v>9978</v>
      </c>
      <c r="B2618" t="s">
        <v>9979</v>
      </c>
      <c r="C2618" t="s">
        <v>9849</v>
      </c>
      <c r="D2618">
        <v>861</v>
      </c>
      <c r="E2618" s="208"/>
      <c r="G2618" t="s">
        <v>9749</v>
      </c>
    </row>
    <row r="2619" spans="1:7">
      <c r="A2619" t="s">
        <v>9980</v>
      </c>
      <c r="B2619" t="s">
        <v>9981</v>
      </c>
      <c r="C2619" t="s">
        <v>9849</v>
      </c>
      <c r="D2619">
        <v>861</v>
      </c>
      <c r="E2619" s="208"/>
      <c r="G2619" t="s">
        <v>9749</v>
      </c>
    </row>
    <row r="2620" spans="1:7">
      <c r="A2620" t="s">
        <v>9982</v>
      </c>
      <c r="B2620" t="s">
        <v>9983</v>
      </c>
      <c r="C2620" t="s">
        <v>9849</v>
      </c>
      <c r="D2620">
        <v>861</v>
      </c>
      <c r="E2620" s="208"/>
      <c r="G2620" t="s">
        <v>9749</v>
      </c>
    </row>
    <row r="2621" spans="1:7">
      <c r="A2621" t="s">
        <v>9984</v>
      </c>
      <c r="B2621" t="s">
        <v>9985</v>
      </c>
      <c r="C2621" t="s">
        <v>9849</v>
      </c>
      <c r="D2621">
        <v>861</v>
      </c>
      <c r="E2621" s="208"/>
      <c r="G2621" t="s">
        <v>9749</v>
      </c>
    </row>
    <row r="2622" spans="1:7">
      <c r="A2622" t="s">
        <v>9986</v>
      </c>
      <c r="B2622" t="s">
        <v>9987</v>
      </c>
      <c r="C2622" t="s">
        <v>9849</v>
      </c>
      <c r="D2622">
        <v>861</v>
      </c>
      <c r="E2622" s="208"/>
      <c r="G2622" t="s">
        <v>9749</v>
      </c>
    </row>
    <row r="2623" spans="1:7">
      <c r="A2623" t="s">
        <v>9988</v>
      </c>
      <c r="B2623" t="s">
        <v>9989</v>
      </c>
      <c r="C2623" t="s">
        <v>9849</v>
      </c>
      <c r="D2623">
        <v>861</v>
      </c>
      <c r="E2623" s="208"/>
      <c r="G2623" t="s">
        <v>9749</v>
      </c>
    </row>
    <row r="2624" spans="1:7">
      <c r="A2624" t="s">
        <v>9990</v>
      </c>
      <c r="B2624" t="s">
        <v>9991</v>
      </c>
      <c r="C2624" t="s">
        <v>9849</v>
      </c>
      <c r="D2624">
        <v>861</v>
      </c>
      <c r="E2624" s="208"/>
      <c r="G2624" t="s">
        <v>9749</v>
      </c>
    </row>
    <row r="2625" spans="1:7">
      <c r="A2625" t="s">
        <v>9992</v>
      </c>
      <c r="B2625" t="s">
        <v>9993</v>
      </c>
      <c r="C2625" t="s">
        <v>9849</v>
      </c>
      <c r="D2625">
        <v>861</v>
      </c>
      <c r="E2625" s="208"/>
      <c r="G2625" t="s">
        <v>9749</v>
      </c>
    </row>
    <row r="2626" spans="1:7">
      <c r="A2626" t="s">
        <v>9994</v>
      </c>
      <c r="B2626" t="s">
        <v>9995</v>
      </c>
      <c r="C2626" t="s">
        <v>9849</v>
      </c>
      <c r="D2626">
        <v>861</v>
      </c>
      <c r="E2626" s="208"/>
      <c r="G2626" t="s">
        <v>9749</v>
      </c>
    </row>
    <row r="2627" spans="1:7">
      <c r="A2627" t="s">
        <v>9996</v>
      </c>
      <c r="B2627" t="s">
        <v>9997</v>
      </c>
      <c r="C2627" t="s">
        <v>9849</v>
      </c>
      <c r="D2627">
        <v>861</v>
      </c>
      <c r="E2627" s="208"/>
      <c r="G2627" t="s">
        <v>9749</v>
      </c>
    </row>
    <row r="2628" spans="1:7">
      <c r="A2628" t="s">
        <v>9998</v>
      </c>
      <c r="B2628" t="s">
        <v>9999</v>
      </c>
      <c r="C2628" t="s">
        <v>9849</v>
      </c>
      <c r="D2628">
        <v>861</v>
      </c>
      <c r="E2628" s="208"/>
      <c r="G2628" t="s">
        <v>9749</v>
      </c>
    </row>
    <row r="2629" spans="1:7">
      <c r="A2629" t="s">
        <v>10000</v>
      </c>
      <c r="B2629" t="s">
        <v>10001</v>
      </c>
      <c r="C2629" t="s">
        <v>9849</v>
      </c>
      <c r="D2629">
        <v>861</v>
      </c>
      <c r="E2629" s="208"/>
      <c r="G2629" t="s">
        <v>9749</v>
      </c>
    </row>
    <row r="2630" spans="1:7">
      <c r="A2630" t="s">
        <v>10002</v>
      </c>
      <c r="B2630" t="s">
        <v>10003</v>
      </c>
      <c r="C2630" t="s">
        <v>9849</v>
      </c>
      <c r="D2630">
        <v>861</v>
      </c>
      <c r="E2630" s="208"/>
      <c r="G2630" t="s">
        <v>9749</v>
      </c>
    </row>
    <row r="2631" spans="1:7">
      <c r="A2631" t="s">
        <v>10004</v>
      </c>
      <c r="B2631" t="s">
        <v>10005</v>
      </c>
      <c r="C2631" t="s">
        <v>9849</v>
      </c>
      <c r="D2631">
        <v>861</v>
      </c>
      <c r="E2631" s="208"/>
      <c r="G2631" t="s">
        <v>9749</v>
      </c>
    </row>
    <row r="2632" spans="1:7">
      <c r="A2632" t="s">
        <v>10006</v>
      </c>
      <c r="B2632" t="s">
        <v>10007</v>
      </c>
      <c r="C2632" t="s">
        <v>9849</v>
      </c>
      <c r="D2632">
        <v>861</v>
      </c>
      <c r="E2632" s="208"/>
      <c r="G2632" t="s">
        <v>9749</v>
      </c>
    </row>
    <row r="2633" spans="1:7">
      <c r="A2633" t="s">
        <v>10008</v>
      </c>
      <c r="B2633" t="s">
        <v>10009</v>
      </c>
      <c r="C2633" t="s">
        <v>9849</v>
      </c>
      <c r="D2633">
        <v>861</v>
      </c>
      <c r="E2633" s="208"/>
      <c r="G2633" t="s">
        <v>9749</v>
      </c>
    </row>
    <row r="2634" spans="1:7">
      <c r="A2634" t="s">
        <v>10010</v>
      </c>
      <c r="B2634" t="s">
        <v>10011</v>
      </c>
      <c r="C2634" t="s">
        <v>9849</v>
      </c>
      <c r="D2634">
        <v>861</v>
      </c>
      <c r="E2634" s="208"/>
      <c r="G2634" t="s">
        <v>9749</v>
      </c>
    </row>
    <row r="2635" spans="1:7">
      <c r="A2635" t="s">
        <v>10012</v>
      </c>
      <c r="B2635" t="s">
        <v>10013</v>
      </c>
      <c r="C2635" t="s">
        <v>9849</v>
      </c>
      <c r="D2635">
        <v>861</v>
      </c>
      <c r="E2635" s="208"/>
      <c r="G2635" t="s">
        <v>9749</v>
      </c>
    </row>
    <row r="2636" spans="1:7">
      <c r="A2636" t="s">
        <v>10014</v>
      </c>
      <c r="B2636" t="s">
        <v>10015</v>
      </c>
      <c r="C2636" t="s">
        <v>9849</v>
      </c>
      <c r="D2636">
        <v>861</v>
      </c>
      <c r="E2636" s="208"/>
      <c r="G2636" t="s">
        <v>9749</v>
      </c>
    </row>
    <row r="2637" spans="1:7">
      <c r="A2637" t="s">
        <v>10016</v>
      </c>
      <c r="B2637" t="s">
        <v>10017</v>
      </c>
      <c r="C2637" t="s">
        <v>9849</v>
      </c>
      <c r="D2637">
        <v>861</v>
      </c>
      <c r="E2637" s="208"/>
      <c r="G2637" t="s">
        <v>9749</v>
      </c>
    </row>
    <row r="2638" spans="1:7">
      <c r="A2638" t="s">
        <v>10018</v>
      </c>
      <c r="B2638" t="s">
        <v>10019</v>
      </c>
      <c r="C2638" t="s">
        <v>9849</v>
      </c>
      <c r="D2638">
        <v>861</v>
      </c>
      <c r="E2638" s="208"/>
      <c r="G2638" t="s">
        <v>9749</v>
      </c>
    </row>
    <row r="2639" spans="1:7">
      <c r="A2639" t="s">
        <v>10020</v>
      </c>
      <c r="B2639" t="s">
        <v>10021</v>
      </c>
      <c r="C2639" t="s">
        <v>9849</v>
      </c>
      <c r="D2639">
        <v>861</v>
      </c>
      <c r="E2639" s="208"/>
      <c r="G2639" t="s">
        <v>9749</v>
      </c>
    </row>
    <row r="2640" spans="1:7">
      <c r="A2640" t="s">
        <v>10022</v>
      </c>
      <c r="B2640" t="s">
        <v>10023</v>
      </c>
      <c r="C2640" t="s">
        <v>9849</v>
      </c>
      <c r="D2640">
        <v>861</v>
      </c>
      <c r="E2640" s="208"/>
      <c r="G2640" t="s">
        <v>9749</v>
      </c>
    </row>
    <row r="2641" spans="1:7">
      <c r="A2641" t="s">
        <v>10024</v>
      </c>
      <c r="B2641" t="s">
        <v>10025</v>
      </c>
      <c r="C2641" t="s">
        <v>9849</v>
      </c>
      <c r="D2641">
        <v>861</v>
      </c>
      <c r="E2641" s="208"/>
      <c r="G2641" t="s">
        <v>9749</v>
      </c>
    </row>
    <row r="2642" spans="1:7">
      <c r="A2642" t="s">
        <v>10026</v>
      </c>
      <c r="B2642" t="s">
        <v>10027</v>
      </c>
      <c r="C2642" t="s">
        <v>9846</v>
      </c>
      <c r="D2642">
        <v>187</v>
      </c>
      <c r="E2642" s="208"/>
      <c r="G2642" t="s">
        <v>9749</v>
      </c>
    </row>
    <row r="2643" spans="1:7">
      <c r="A2643" t="s">
        <v>10028</v>
      </c>
      <c r="B2643" t="s">
        <v>10029</v>
      </c>
      <c r="C2643" t="s">
        <v>9849</v>
      </c>
      <c r="D2643">
        <v>861</v>
      </c>
      <c r="E2643" s="208"/>
      <c r="G2643" t="s">
        <v>9749</v>
      </c>
    </row>
    <row r="2644" spans="1:7">
      <c r="A2644" t="s">
        <v>10030</v>
      </c>
      <c r="B2644" t="s">
        <v>10031</v>
      </c>
      <c r="C2644" t="s">
        <v>10032</v>
      </c>
      <c r="D2644">
        <v>319</v>
      </c>
      <c r="E2644" s="208"/>
      <c r="G2644" t="s">
        <v>9749</v>
      </c>
    </row>
    <row r="2645" spans="1:7">
      <c r="A2645" t="s">
        <v>10033</v>
      </c>
      <c r="B2645" t="s">
        <v>10034</v>
      </c>
      <c r="C2645" t="s">
        <v>9849</v>
      </c>
      <c r="D2645">
        <v>707</v>
      </c>
      <c r="E2645" s="208"/>
      <c r="G2645" t="s">
        <v>9749</v>
      </c>
    </row>
    <row r="2646" spans="1:7">
      <c r="A2646" t="s">
        <v>10035</v>
      </c>
      <c r="B2646" t="s">
        <v>10036</v>
      </c>
      <c r="C2646" t="s">
        <v>6508</v>
      </c>
      <c r="D2646">
        <v>430</v>
      </c>
      <c r="E2646" s="208"/>
      <c r="G2646" t="s">
        <v>9749</v>
      </c>
    </row>
    <row r="2647" spans="1:7">
      <c r="A2647" t="s">
        <v>10037</v>
      </c>
      <c r="B2647" t="s">
        <v>10038</v>
      </c>
      <c r="C2647" t="s">
        <v>9849</v>
      </c>
      <c r="D2647">
        <v>428</v>
      </c>
      <c r="E2647" s="208"/>
      <c r="G2647" t="s">
        <v>9749</v>
      </c>
    </row>
    <row r="2648" spans="1:7">
      <c r="A2648" t="s">
        <v>10039</v>
      </c>
      <c r="B2648" t="s">
        <v>10040</v>
      </c>
      <c r="C2648" t="s">
        <v>9860</v>
      </c>
      <c r="D2648">
        <v>4410</v>
      </c>
      <c r="E2648" s="208"/>
      <c r="G2648" t="s">
        <v>9749</v>
      </c>
    </row>
    <row r="2649" spans="1:7">
      <c r="A2649" t="s">
        <v>10041</v>
      </c>
      <c r="B2649" t="s">
        <v>10042</v>
      </c>
      <c r="C2649" t="s">
        <v>9849</v>
      </c>
      <c r="D2649">
        <v>428</v>
      </c>
      <c r="E2649" s="208"/>
      <c r="G2649" t="s">
        <v>9749</v>
      </c>
    </row>
    <row r="2650" spans="1:7">
      <c r="A2650" t="s">
        <v>10043</v>
      </c>
      <c r="B2650" t="s">
        <v>10044</v>
      </c>
      <c r="C2650" t="s">
        <v>9860</v>
      </c>
      <c r="D2650">
        <v>4410</v>
      </c>
      <c r="E2650" s="208"/>
      <c r="G2650" t="s">
        <v>9749</v>
      </c>
    </row>
    <row r="2651" spans="1:7">
      <c r="A2651" t="s">
        <v>10045</v>
      </c>
      <c r="B2651" t="s">
        <v>10046</v>
      </c>
      <c r="C2651" t="s">
        <v>9849</v>
      </c>
      <c r="D2651">
        <v>428</v>
      </c>
      <c r="E2651" s="208"/>
      <c r="G2651" t="s">
        <v>9749</v>
      </c>
    </row>
    <row r="2652" spans="1:7">
      <c r="A2652" t="s">
        <v>10047</v>
      </c>
      <c r="B2652" t="s">
        <v>10048</v>
      </c>
      <c r="C2652" t="s">
        <v>9860</v>
      </c>
      <c r="D2652">
        <v>4410</v>
      </c>
      <c r="E2652" s="208"/>
      <c r="G2652" t="s">
        <v>9749</v>
      </c>
    </row>
    <row r="2653" spans="1:7">
      <c r="A2653" t="s">
        <v>10049</v>
      </c>
      <c r="B2653" t="s">
        <v>10050</v>
      </c>
      <c r="C2653" t="s">
        <v>9849</v>
      </c>
      <c r="D2653">
        <v>428</v>
      </c>
      <c r="E2653" s="208"/>
      <c r="G2653" t="s">
        <v>9749</v>
      </c>
    </row>
    <row r="2654" spans="1:7">
      <c r="A2654" t="s">
        <v>10051</v>
      </c>
      <c r="B2654" t="s">
        <v>10052</v>
      </c>
      <c r="C2654" t="s">
        <v>9860</v>
      </c>
      <c r="D2654">
        <v>4410</v>
      </c>
      <c r="E2654" s="208"/>
      <c r="G2654" t="s">
        <v>9749</v>
      </c>
    </row>
    <row r="2655" spans="1:7">
      <c r="A2655" t="s">
        <v>10053</v>
      </c>
      <c r="B2655" t="s">
        <v>10054</v>
      </c>
      <c r="C2655" t="s">
        <v>9849</v>
      </c>
      <c r="D2655">
        <v>428</v>
      </c>
      <c r="E2655" s="208"/>
      <c r="G2655" t="s">
        <v>9749</v>
      </c>
    </row>
    <row r="2656" spans="1:7">
      <c r="A2656" t="s">
        <v>10055</v>
      </c>
      <c r="B2656" t="s">
        <v>10056</v>
      </c>
      <c r="C2656" t="s">
        <v>9860</v>
      </c>
      <c r="D2656">
        <v>4410</v>
      </c>
      <c r="E2656" s="208"/>
      <c r="G2656" t="s">
        <v>9749</v>
      </c>
    </row>
    <row r="2657" spans="1:7">
      <c r="A2657" t="s">
        <v>10057</v>
      </c>
      <c r="B2657" t="s">
        <v>10058</v>
      </c>
      <c r="C2657" t="s">
        <v>9849</v>
      </c>
      <c r="D2657">
        <v>428</v>
      </c>
      <c r="E2657" s="208"/>
      <c r="G2657" t="s">
        <v>9749</v>
      </c>
    </row>
    <row r="2658" spans="1:7">
      <c r="A2658" t="s">
        <v>10059</v>
      </c>
      <c r="B2658" t="s">
        <v>10060</v>
      </c>
      <c r="C2658" t="s">
        <v>9860</v>
      </c>
      <c r="D2658">
        <v>4410</v>
      </c>
      <c r="E2658" s="208"/>
      <c r="G2658" t="s">
        <v>9749</v>
      </c>
    </row>
    <row r="2659" spans="1:7">
      <c r="A2659" t="s">
        <v>10061</v>
      </c>
      <c r="B2659" t="s">
        <v>10062</v>
      </c>
      <c r="C2659" t="s">
        <v>9849</v>
      </c>
      <c r="D2659">
        <v>443</v>
      </c>
      <c r="E2659" s="208"/>
      <c r="G2659" t="s">
        <v>9749</v>
      </c>
    </row>
    <row r="2660" spans="1:7">
      <c r="A2660" t="s">
        <v>10063</v>
      </c>
      <c r="B2660" t="s">
        <v>10064</v>
      </c>
      <c r="C2660" t="s">
        <v>9860</v>
      </c>
      <c r="D2660">
        <v>4569</v>
      </c>
      <c r="E2660" s="208"/>
      <c r="G2660" t="s">
        <v>9749</v>
      </c>
    </row>
    <row r="2661" spans="1:7">
      <c r="A2661" t="s">
        <v>10065</v>
      </c>
      <c r="B2661" t="s">
        <v>10066</v>
      </c>
      <c r="C2661" t="s">
        <v>9849</v>
      </c>
      <c r="D2661">
        <v>428</v>
      </c>
      <c r="E2661" s="208"/>
      <c r="G2661" t="s">
        <v>9749</v>
      </c>
    </row>
    <row r="2662" spans="1:7">
      <c r="A2662" t="s">
        <v>10067</v>
      </c>
      <c r="B2662" t="s">
        <v>10068</v>
      </c>
      <c r="C2662" t="s">
        <v>9860</v>
      </c>
      <c r="D2662">
        <v>4410</v>
      </c>
      <c r="E2662" s="208"/>
      <c r="G2662" t="s">
        <v>9749</v>
      </c>
    </row>
    <row r="2663" spans="1:7">
      <c r="A2663" t="s">
        <v>10069</v>
      </c>
      <c r="B2663" t="s">
        <v>10070</v>
      </c>
      <c r="C2663" t="s">
        <v>9849</v>
      </c>
      <c r="D2663">
        <v>428</v>
      </c>
      <c r="E2663" s="208"/>
      <c r="G2663" t="s">
        <v>9749</v>
      </c>
    </row>
    <row r="2664" spans="1:7">
      <c r="A2664" t="s">
        <v>10071</v>
      </c>
      <c r="B2664" t="s">
        <v>10072</v>
      </c>
      <c r="C2664" t="s">
        <v>9860</v>
      </c>
      <c r="D2664">
        <v>4410</v>
      </c>
      <c r="E2664" s="208"/>
      <c r="G2664" t="s">
        <v>9749</v>
      </c>
    </row>
    <row r="2665" spans="1:7">
      <c r="A2665" t="s">
        <v>10073</v>
      </c>
      <c r="B2665" t="s">
        <v>10074</v>
      </c>
      <c r="C2665" t="s">
        <v>9849</v>
      </c>
      <c r="D2665">
        <v>463</v>
      </c>
      <c r="E2665" s="208"/>
      <c r="G2665" t="s">
        <v>9749</v>
      </c>
    </row>
    <row r="2666" spans="1:7">
      <c r="A2666" t="s">
        <v>10075</v>
      </c>
      <c r="B2666" t="s">
        <v>10076</v>
      </c>
      <c r="C2666" t="s">
        <v>9860</v>
      </c>
      <c r="D2666">
        <v>4781</v>
      </c>
      <c r="E2666" s="208"/>
      <c r="G2666" t="s">
        <v>9749</v>
      </c>
    </row>
    <row r="2667" spans="1:7">
      <c r="A2667" t="s">
        <v>10077</v>
      </c>
      <c r="B2667" t="s">
        <v>10078</v>
      </c>
      <c r="C2667" t="s">
        <v>9849</v>
      </c>
      <c r="D2667">
        <v>428</v>
      </c>
      <c r="E2667" s="208"/>
      <c r="G2667" t="s">
        <v>9749</v>
      </c>
    </row>
    <row r="2668" spans="1:7">
      <c r="A2668" t="s">
        <v>10079</v>
      </c>
      <c r="B2668" t="s">
        <v>10080</v>
      </c>
      <c r="C2668" t="s">
        <v>9860</v>
      </c>
      <c r="D2668">
        <v>4410</v>
      </c>
      <c r="E2668" s="208"/>
      <c r="G2668" t="s">
        <v>9749</v>
      </c>
    </row>
    <row r="2669" spans="1:7">
      <c r="A2669" t="s">
        <v>10081</v>
      </c>
      <c r="B2669" t="s">
        <v>10082</v>
      </c>
      <c r="C2669" t="s">
        <v>9849</v>
      </c>
      <c r="D2669">
        <v>428</v>
      </c>
      <c r="E2669" s="208"/>
      <c r="G2669" t="s">
        <v>9749</v>
      </c>
    </row>
    <row r="2670" spans="1:7">
      <c r="A2670" t="s">
        <v>10083</v>
      </c>
      <c r="B2670" t="s">
        <v>10084</v>
      </c>
      <c r="C2670" t="s">
        <v>9860</v>
      </c>
      <c r="D2670">
        <v>4410</v>
      </c>
      <c r="E2670" s="208"/>
      <c r="G2670" t="s">
        <v>9749</v>
      </c>
    </row>
    <row r="2671" spans="1:7">
      <c r="A2671" t="s">
        <v>10085</v>
      </c>
      <c r="B2671" t="s">
        <v>10086</v>
      </c>
      <c r="C2671" t="s">
        <v>9849</v>
      </c>
      <c r="D2671">
        <v>428</v>
      </c>
      <c r="E2671" s="208"/>
      <c r="G2671" t="s">
        <v>9749</v>
      </c>
    </row>
    <row r="2672" spans="1:7">
      <c r="A2672" t="s">
        <v>10087</v>
      </c>
      <c r="B2672" t="s">
        <v>10088</v>
      </c>
      <c r="C2672" t="s">
        <v>9860</v>
      </c>
      <c r="D2672">
        <v>4410</v>
      </c>
      <c r="E2672" s="208"/>
      <c r="G2672" t="s">
        <v>9749</v>
      </c>
    </row>
    <row r="2673" spans="1:7">
      <c r="A2673" t="s">
        <v>10089</v>
      </c>
      <c r="B2673" t="s">
        <v>10090</v>
      </c>
      <c r="C2673" t="s">
        <v>9849</v>
      </c>
      <c r="D2673">
        <v>428</v>
      </c>
      <c r="E2673" s="208"/>
      <c r="G2673" t="s">
        <v>9749</v>
      </c>
    </row>
    <row r="2674" spans="1:7">
      <c r="A2674" t="s">
        <v>10091</v>
      </c>
      <c r="B2674" t="s">
        <v>10092</v>
      </c>
      <c r="C2674" t="s">
        <v>9860</v>
      </c>
      <c r="D2674">
        <v>4410</v>
      </c>
      <c r="E2674" s="208"/>
      <c r="G2674" t="s">
        <v>9749</v>
      </c>
    </row>
    <row r="2675" spans="1:7">
      <c r="A2675" t="s">
        <v>10093</v>
      </c>
      <c r="B2675" t="s">
        <v>10094</v>
      </c>
      <c r="C2675" t="s">
        <v>9849</v>
      </c>
      <c r="D2675">
        <v>428</v>
      </c>
      <c r="E2675" s="208"/>
      <c r="G2675" t="s">
        <v>9749</v>
      </c>
    </row>
    <row r="2676" spans="1:7">
      <c r="A2676" t="s">
        <v>10095</v>
      </c>
      <c r="B2676" t="s">
        <v>10096</v>
      </c>
      <c r="C2676" t="s">
        <v>9860</v>
      </c>
      <c r="D2676">
        <v>4410</v>
      </c>
      <c r="E2676" s="208"/>
      <c r="G2676" t="s">
        <v>9749</v>
      </c>
    </row>
    <row r="2677" spans="1:7">
      <c r="A2677" t="s">
        <v>10097</v>
      </c>
      <c r="B2677" t="s">
        <v>10098</v>
      </c>
      <c r="C2677" t="s">
        <v>9849</v>
      </c>
      <c r="D2677">
        <v>428</v>
      </c>
      <c r="E2677" s="208"/>
      <c r="G2677" t="s">
        <v>9749</v>
      </c>
    </row>
    <row r="2678" spans="1:7">
      <c r="A2678" t="s">
        <v>10099</v>
      </c>
      <c r="B2678" t="s">
        <v>10100</v>
      </c>
      <c r="C2678" t="s">
        <v>9860</v>
      </c>
      <c r="D2678">
        <v>4410</v>
      </c>
      <c r="E2678" s="208"/>
      <c r="G2678" t="s">
        <v>9749</v>
      </c>
    </row>
    <row r="2679" spans="1:7">
      <c r="A2679" t="s">
        <v>10101</v>
      </c>
      <c r="B2679" t="s">
        <v>10102</v>
      </c>
      <c r="C2679" t="s">
        <v>9849</v>
      </c>
      <c r="D2679">
        <v>443</v>
      </c>
      <c r="E2679" s="208"/>
      <c r="G2679" t="s">
        <v>9749</v>
      </c>
    </row>
    <row r="2680" spans="1:7">
      <c r="A2680" t="s">
        <v>10103</v>
      </c>
      <c r="B2680" t="s">
        <v>10104</v>
      </c>
      <c r="C2680" t="s">
        <v>9860</v>
      </c>
      <c r="D2680">
        <v>4569</v>
      </c>
      <c r="E2680" s="208"/>
      <c r="G2680" t="s">
        <v>9749</v>
      </c>
    </row>
    <row r="2681" spans="1:7">
      <c r="A2681" t="s">
        <v>10105</v>
      </c>
      <c r="B2681" t="s">
        <v>10106</v>
      </c>
      <c r="C2681" t="s">
        <v>9849</v>
      </c>
      <c r="D2681">
        <v>443</v>
      </c>
      <c r="E2681" s="208"/>
      <c r="G2681" t="s">
        <v>9749</v>
      </c>
    </row>
    <row r="2682" spans="1:7">
      <c r="A2682" t="s">
        <v>10107</v>
      </c>
      <c r="B2682" t="s">
        <v>10108</v>
      </c>
      <c r="C2682" t="s">
        <v>9860</v>
      </c>
      <c r="D2682">
        <v>4569</v>
      </c>
      <c r="E2682" s="208"/>
      <c r="G2682" t="s">
        <v>9749</v>
      </c>
    </row>
    <row r="2683" spans="1:7">
      <c r="A2683" t="s">
        <v>10109</v>
      </c>
      <c r="B2683" t="s">
        <v>10110</v>
      </c>
      <c r="C2683" t="s">
        <v>9849</v>
      </c>
      <c r="D2683">
        <v>463</v>
      </c>
      <c r="E2683" s="208"/>
      <c r="G2683" t="s">
        <v>9749</v>
      </c>
    </row>
    <row r="2684" spans="1:7">
      <c r="A2684" t="s">
        <v>10111</v>
      </c>
      <c r="B2684" t="s">
        <v>10112</v>
      </c>
      <c r="C2684" t="s">
        <v>9860</v>
      </c>
      <c r="D2684">
        <v>4781</v>
      </c>
      <c r="E2684" s="208"/>
      <c r="G2684" t="s">
        <v>9749</v>
      </c>
    </row>
    <row r="2685" spans="1:7">
      <c r="A2685" t="s">
        <v>10113</v>
      </c>
      <c r="B2685" t="s">
        <v>10114</v>
      </c>
      <c r="C2685" t="s">
        <v>9849</v>
      </c>
      <c r="D2685">
        <v>443</v>
      </c>
      <c r="E2685" s="208"/>
      <c r="G2685" t="s">
        <v>9749</v>
      </c>
    </row>
    <row r="2686" spans="1:7">
      <c r="A2686" t="s">
        <v>10115</v>
      </c>
      <c r="B2686" t="s">
        <v>10116</v>
      </c>
      <c r="C2686" t="s">
        <v>9860</v>
      </c>
      <c r="D2686">
        <v>4569</v>
      </c>
      <c r="E2686" s="208"/>
      <c r="G2686" t="s">
        <v>9749</v>
      </c>
    </row>
    <row r="2687" spans="1:7">
      <c r="A2687" t="s">
        <v>10117</v>
      </c>
      <c r="B2687" t="s">
        <v>10118</v>
      </c>
      <c r="C2687" t="s">
        <v>9849</v>
      </c>
      <c r="D2687">
        <v>463</v>
      </c>
      <c r="E2687" s="208"/>
      <c r="G2687" t="s">
        <v>9749</v>
      </c>
    </row>
    <row r="2688" spans="1:7">
      <c r="A2688" t="s">
        <v>10119</v>
      </c>
      <c r="B2688" t="s">
        <v>10120</v>
      </c>
      <c r="C2688" t="s">
        <v>9860</v>
      </c>
      <c r="D2688">
        <v>4781</v>
      </c>
      <c r="E2688" s="208"/>
      <c r="G2688" t="s">
        <v>9749</v>
      </c>
    </row>
    <row r="2689" spans="1:7">
      <c r="A2689" t="s">
        <v>10121</v>
      </c>
      <c r="B2689" t="s">
        <v>10122</v>
      </c>
      <c r="C2689" t="s">
        <v>9849</v>
      </c>
      <c r="D2689">
        <v>428</v>
      </c>
      <c r="E2689" s="208"/>
      <c r="G2689" t="s">
        <v>9749</v>
      </c>
    </row>
    <row r="2690" spans="1:7">
      <c r="A2690" t="s">
        <v>10123</v>
      </c>
      <c r="B2690" t="s">
        <v>10124</v>
      </c>
      <c r="C2690" t="s">
        <v>9860</v>
      </c>
      <c r="D2690">
        <v>4410</v>
      </c>
      <c r="E2690" s="208"/>
      <c r="G2690" t="s">
        <v>9749</v>
      </c>
    </row>
    <row r="2691" spans="1:7">
      <c r="A2691" t="s">
        <v>10125</v>
      </c>
      <c r="B2691" t="s">
        <v>10126</v>
      </c>
      <c r="C2691" t="s">
        <v>9849</v>
      </c>
      <c r="D2691">
        <v>428</v>
      </c>
      <c r="E2691" s="208"/>
      <c r="G2691" t="s">
        <v>9749</v>
      </c>
    </row>
    <row r="2692" spans="1:7">
      <c r="A2692" t="s">
        <v>10127</v>
      </c>
      <c r="B2692" t="s">
        <v>10128</v>
      </c>
      <c r="C2692" t="s">
        <v>9860</v>
      </c>
      <c r="D2692">
        <v>4410</v>
      </c>
      <c r="E2692" s="208"/>
      <c r="G2692" t="s">
        <v>9749</v>
      </c>
    </row>
    <row r="2693" spans="1:7">
      <c r="A2693" t="s">
        <v>10129</v>
      </c>
      <c r="B2693" t="s">
        <v>10130</v>
      </c>
      <c r="C2693" t="s">
        <v>9849</v>
      </c>
      <c r="D2693">
        <v>428</v>
      </c>
      <c r="E2693" s="208"/>
      <c r="G2693" t="s">
        <v>9749</v>
      </c>
    </row>
    <row r="2694" spans="1:7">
      <c r="A2694" t="s">
        <v>10131</v>
      </c>
      <c r="B2694" t="s">
        <v>10132</v>
      </c>
      <c r="C2694" t="s">
        <v>9860</v>
      </c>
      <c r="D2694">
        <v>4410</v>
      </c>
      <c r="E2694" s="208"/>
      <c r="G2694" t="s">
        <v>9749</v>
      </c>
    </row>
    <row r="2695" spans="1:7">
      <c r="A2695" t="s">
        <v>10133</v>
      </c>
      <c r="B2695" t="s">
        <v>10134</v>
      </c>
      <c r="C2695" t="s">
        <v>9849</v>
      </c>
      <c r="D2695">
        <v>428</v>
      </c>
      <c r="E2695" s="208"/>
      <c r="G2695" t="s">
        <v>9749</v>
      </c>
    </row>
    <row r="2696" spans="1:7">
      <c r="A2696" t="s">
        <v>10135</v>
      </c>
      <c r="B2696" t="s">
        <v>10136</v>
      </c>
      <c r="C2696" t="s">
        <v>9860</v>
      </c>
      <c r="D2696">
        <v>4410</v>
      </c>
      <c r="E2696" s="208"/>
      <c r="G2696" t="s">
        <v>9749</v>
      </c>
    </row>
    <row r="2697" spans="1:7">
      <c r="A2697" t="s">
        <v>10137</v>
      </c>
      <c r="B2697" t="s">
        <v>10138</v>
      </c>
      <c r="C2697" t="s">
        <v>9849</v>
      </c>
      <c r="D2697">
        <v>428</v>
      </c>
      <c r="E2697" s="208"/>
      <c r="G2697" t="s">
        <v>9749</v>
      </c>
    </row>
    <row r="2698" spans="1:7">
      <c r="A2698" t="s">
        <v>10139</v>
      </c>
      <c r="B2698" t="s">
        <v>10140</v>
      </c>
      <c r="C2698" t="s">
        <v>9860</v>
      </c>
      <c r="D2698">
        <v>4410</v>
      </c>
      <c r="E2698" s="208"/>
      <c r="G2698" t="s">
        <v>9749</v>
      </c>
    </row>
    <row r="2699" spans="1:7">
      <c r="A2699" t="s">
        <v>10141</v>
      </c>
      <c r="B2699" t="s">
        <v>10142</v>
      </c>
      <c r="C2699" t="s">
        <v>9849</v>
      </c>
      <c r="D2699">
        <v>428</v>
      </c>
      <c r="E2699" s="208"/>
      <c r="G2699" t="s">
        <v>9749</v>
      </c>
    </row>
    <row r="2700" spans="1:7">
      <c r="A2700" t="s">
        <v>10143</v>
      </c>
      <c r="B2700" t="s">
        <v>10144</v>
      </c>
      <c r="C2700" t="s">
        <v>9860</v>
      </c>
      <c r="D2700">
        <v>4410</v>
      </c>
      <c r="E2700" s="208"/>
      <c r="G2700" t="s">
        <v>9749</v>
      </c>
    </row>
    <row r="2701" spans="1:7">
      <c r="A2701" t="s">
        <v>10145</v>
      </c>
      <c r="B2701" t="s">
        <v>10146</v>
      </c>
      <c r="C2701" t="s">
        <v>9849</v>
      </c>
      <c r="D2701">
        <v>312</v>
      </c>
      <c r="E2701" s="208"/>
      <c r="G2701" t="s">
        <v>9749</v>
      </c>
    </row>
    <row r="2702" spans="1:7">
      <c r="A2702" t="s">
        <v>10147</v>
      </c>
      <c r="B2702" t="s">
        <v>10148</v>
      </c>
      <c r="C2702" t="s">
        <v>9849</v>
      </c>
      <c r="D2702">
        <v>584</v>
      </c>
      <c r="E2702" s="208"/>
      <c r="G2702" t="s">
        <v>9749</v>
      </c>
    </row>
    <row r="2703" spans="1:7">
      <c r="A2703" t="s">
        <v>10149</v>
      </c>
      <c r="B2703" t="s">
        <v>10150</v>
      </c>
      <c r="C2703" t="s">
        <v>9849</v>
      </c>
      <c r="D2703">
        <v>238</v>
      </c>
      <c r="E2703" s="208"/>
      <c r="G2703" t="s">
        <v>9749</v>
      </c>
    </row>
    <row r="2704" spans="1:7">
      <c r="A2704" t="s">
        <v>10151</v>
      </c>
      <c r="B2704" t="s">
        <v>10152</v>
      </c>
      <c r="C2704" t="s">
        <v>9846</v>
      </c>
      <c r="D2704">
        <v>56</v>
      </c>
      <c r="E2704" s="208"/>
      <c r="G2704" t="s">
        <v>9749</v>
      </c>
    </row>
    <row r="2705" spans="1:7">
      <c r="A2705" t="s">
        <v>10153</v>
      </c>
      <c r="B2705" t="s">
        <v>10154</v>
      </c>
      <c r="C2705" t="s">
        <v>9849</v>
      </c>
      <c r="D2705">
        <v>210</v>
      </c>
      <c r="E2705" s="208"/>
      <c r="G2705" t="s">
        <v>9749</v>
      </c>
    </row>
    <row r="2706" spans="1:7">
      <c r="A2706" t="s">
        <v>10155</v>
      </c>
      <c r="B2706" t="s">
        <v>10156</v>
      </c>
      <c r="C2706" t="s">
        <v>9860</v>
      </c>
      <c r="D2706">
        <v>2125</v>
      </c>
      <c r="E2706" s="208"/>
      <c r="G2706" t="s">
        <v>9749</v>
      </c>
    </row>
    <row r="2707" spans="1:7">
      <c r="A2707" t="s">
        <v>10157</v>
      </c>
      <c r="B2707" t="s">
        <v>10158</v>
      </c>
      <c r="C2707" t="s">
        <v>9846</v>
      </c>
      <c r="D2707">
        <v>73</v>
      </c>
      <c r="E2707" s="208"/>
      <c r="G2707" t="s">
        <v>9749</v>
      </c>
    </row>
    <row r="2708" spans="1:7">
      <c r="A2708" t="s">
        <v>10159</v>
      </c>
      <c r="B2708" t="s">
        <v>10160</v>
      </c>
      <c r="C2708" t="s">
        <v>9849</v>
      </c>
      <c r="D2708">
        <v>309</v>
      </c>
      <c r="E2708" s="208"/>
      <c r="G2708" t="s">
        <v>9749</v>
      </c>
    </row>
    <row r="2709" spans="1:7">
      <c r="A2709" t="s">
        <v>10161</v>
      </c>
      <c r="B2709" t="s">
        <v>10162</v>
      </c>
      <c r="C2709" t="s">
        <v>10163</v>
      </c>
      <c r="D2709">
        <v>3145</v>
      </c>
      <c r="E2709" s="208"/>
      <c r="G2709" t="s">
        <v>9749</v>
      </c>
    </row>
    <row r="2710" spans="1:7">
      <c r="A2710" t="s">
        <v>10164</v>
      </c>
      <c r="B2710" t="s">
        <v>10165</v>
      </c>
      <c r="C2710" t="s">
        <v>4803</v>
      </c>
      <c r="D2710">
        <v>78</v>
      </c>
      <c r="E2710" s="208"/>
      <c r="G2710" t="s">
        <v>9749</v>
      </c>
    </row>
    <row r="2711" spans="1:7">
      <c r="A2711" t="s">
        <v>10166</v>
      </c>
      <c r="B2711" t="s">
        <v>10167</v>
      </c>
      <c r="C2711" t="s">
        <v>4803</v>
      </c>
      <c r="D2711">
        <v>109</v>
      </c>
      <c r="E2711" s="208"/>
      <c r="G2711" t="s">
        <v>9749</v>
      </c>
    </row>
    <row r="2712" spans="1:7">
      <c r="A2712" t="s">
        <v>10168</v>
      </c>
      <c r="B2712" t="s">
        <v>10169</v>
      </c>
      <c r="C2712" t="s">
        <v>4803</v>
      </c>
      <c r="D2712">
        <v>207</v>
      </c>
      <c r="E2712" s="208"/>
      <c r="G2712" t="s">
        <v>9749</v>
      </c>
    </row>
    <row r="2713" spans="1:7">
      <c r="A2713" t="s">
        <v>10170</v>
      </c>
      <c r="B2713" t="s">
        <v>10171</v>
      </c>
      <c r="C2713" t="s">
        <v>9849</v>
      </c>
      <c r="D2713">
        <v>612</v>
      </c>
      <c r="E2713" s="208"/>
      <c r="G2713" t="s">
        <v>9749</v>
      </c>
    </row>
    <row r="2714" spans="1:7">
      <c r="A2714" t="s">
        <v>10172</v>
      </c>
      <c r="B2714" t="s">
        <v>10173</v>
      </c>
      <c r="C2714" t="s">
        <v>10163</v>
      </c>
      <c r="D2714">
        <v>6409</v>
      </c>
      <c r="E2714" s="208"/>
      <c r="G2714" t="s">
        <v>9749</v>
      </c>
    </row>
    <row r="2715" spans="1:7">
      <c r="A2715" t="s">
        <v>10174</v>
      </c>
      <c r="B2715" t="s">
        <v>10175</v>
      </c>
      <c r="C2715" t="s">
        <v>4803</v>
      </c>
      <c r="D2715">
        <v>632</v>
      </c>
      <c r="E2715" s="208"/>
      <c r="G2715" t="s">
        <v>9749</v>
      </c>
    </row>
    <row r="2716" spans="1:7">
      <c r="A2716" t="s">
        <v>10176</v>
      </c>
      <c r="B2716" t="s">
        <v>10177</v>
      </c>
      <c r="C2716" t="s">
        <v>9849</v>
      </c>
      <c r="D2716">
        <v>303</v>
      </c>
      <c r="E2716" s="208"/>
      <c r="G2716" t="s">
        <v>9749</v>
      </c>
    </row>
    <row r="2717" spans="1:7">
      <c r="A2717" t="s">
        <v>10178</v>
      </c>
      <c r="B2717" t="s">
        <v>10179</v>
      </c>
      <c r="C2717" t="s">
        <v>9860</v>
      </c>
      <c r="D2717">
        <v>3137</v>
      </c>
      <c r="E2717" s="208"/>
      <c r="G2717" t="s">
        <v>9749</v>
      </c>
    </row>
    <row r="2718" spans="1:7">
      <c r="A2718" t="s">
        <v>10180</v>
      </c>
      <c r="B2718" t="s">
        <v>10181</v>
      </c>
      <c r="C2718" t="s">
        <v>10182</v>
      </c>
      <c r="D2718">
        <v>3210</v>
      </c>
      <c r="E2718" s="208"/>
      <c r="G2718" t="s">
        <v>9749</v>
      </c>
    </row>
    <row r="2719" spans="1:7">
      <c r="A2719" t="s">
        <v>10183</v>
      </c>
      <c r="B2719" t="s">
        <v>10184</v>
      </c>
      <c r="C2719" t="s">
        <v>9849</v>
      </c>
      <c r="D2719">
        <v>469</v>
      </c>
      <c r="E2719" s="208"/>
      <c r="G2719" t="s">
        <v>9749</v>
      </c>
    </row>
    <row r="2720" spans="1:7">
      <c r="A2720" t="s">
        <v>10185</v>
      </c>
      <c r="B2720" t="s">
        <v>10186</v>
      </c>
      <c r="C2720" t="s">
        <v>9860</v>
      </c>
      <c r="D2720">
        <v>4845</v>
      </c>
      <c r="E2720" s="208"/>
      <c r="G2720" t="s">
        <v>9749</v>
      </c>
    </row>
    <row r="2721" spans="1:7">
      <c r="A2721" t="s">
        <v>10187</v>
      </c>
      <c r="B2721" t="s">
        <v>10188</v>
      </c>
      <c r="C2721" t="s">
        <v>9849</v>
      </c>
      <c r="D2721">
        <v>197</v>
      </c>
      <c r="E2721" s="208"/>
      <c r="G2721" t="s">
        <v>9749</v>
      </c>
    </row>
    <row r="2722" spans="1:7">
      <c r="A2722" t="s">
        <v>10189</v>
      </c>
      <c r="B2722" t="s">
        <v>10190</v>
      </c>
      <c r="C2722" t="s">
        <v>9860</v>
      </c>
      <c r="D2722">
        <v>2039</v>
      </c>
      <c r="E2722" s="208"/>
      <c r="G2722" t="s">
        <v>9749</v>
      </c>
    </row>
    <row r="2723" spans="1:7">
      <c r="A2723" t="s">
        <v>10191</v>
      </c>
      <c r="B2723" t="s">
        <v>10192</v>
      </c>
      <c r="C2723" t="s">
        <v>9849</v>
      </c>
      <c r="D2723">
        <v>604</v>
      </c>
      <c r="E2723" s="208"/>
      <c r="G2723" t="s">
        <v>9749</v>
      </c>
    </row>
    <row r="2724" spans="1:7">
      <c r="A2724" t="s">
        <v>10193</v>
      </c>
      <c r="B2724" t="s">
        <v>10194</v>
      </c>
      <c r="C2724" t="s">
        <v>9860</v>
      </c>
      <c r="D2724">
        <v>6335</v>
      </c>
      <c r="E2724" s="208"/>
      <c r="G2724" t="s">
        <v>9749</v>
      </c>
    </row>
    <row r="2725" spans="1:7">
      <c r="A2725" t="s">
        <v>10195</v>
      </c>
      <c r="B2725" t="s">
        <v>10196</v>
      </c>
      <c r="C2725" t="s">
        <v>9849</v>
      </c>
      <c r="D2725">
        <v>756</v>
      </c>
      <c r="E2725" s="208"/>
      <c r="G2725" t="s">
        <v>9749</v>
      </c>
    </row>
    <row r="2726" spans="1:7">
      <c r="A2726" t="s">
        <v>10197</v>
      </c>
      <c r="B2726" t="s">
        <v>10198</v>
      </c>
      <c r="C2726" t="s">
        <v>4803</v>
      </c>
      <c r="D2726">
        <v>136</v>
      </c>
      <c r="E2726" s="208"/>
      <c r="G2726" t="s">
        <v>9749</v>
      </c>
    </row>
    <row r="2727" spans="1:7">
      <c r="A2727" t="s">
        <v>10199</v>
      </c>
      <c r="B2727" t="s">
        <v>10200</v>
      </c>
      <c r="C2727" t="s">
        <v>10201</v>
      </c>
      <c r="D2727">
        <v>131</v>
      </c>
      <c r="E2727" s="208"/>
      <c r="G2727" t="s">
        <v>9749</v>
      </c>
    </row>
    <row r="2728" spans="1:7">
      <c r="A2728" t="s">
        <v>10202</v>
      </c>
      <c r="B2728" t="s">
        <v>10203</v>
      </c>
      <c r="C2728" t="s">
        <v>10204</v>
      </c>
      <c r="D2728">
        <v>1481</v>
      </c>
      <c r="E2728" s="208"/>
      <c r="G2728" t="s">
        <v>9749</v>
      </c>
    </row>
    <row r="2729" spans="1:7">
      <c r="A2729" t="s">
        <v>10205</v>
      </c>
      <c r="B2729" t="s">
        <v>10206</v>
      </c>
      <c r="C2729" t="s">
        <v>9849</v>
      </c>
      <c r="D2729">
        <v>909</v>
      </c>
      <c r="E2729" s="208"/>
      <c r="G2729" t="s">
        <v>9749</v>
      </c>
    </row>
    <row r="2730" spans="1:7">
      <c r="A2730" t="s">
        <v>10207</v>
      </c>
      <c r="B2730" t="s">
        <v>10208</v>
      </c>
      <c r="C2730" t="s">
        <v>10209</v>
      </c>
      <c r="D2730">
        <v>9087</v>
      </c>
      <c r="E2730" s="208"/>
      <c r="G2730" t="s">
        <v>9749</v>
      </c>
    </row>
    <row r="2731" spans="1:7">
      <c r="A2731" t="s">
        <v>10210</v>
      </c>
      <c r="B2731" t="s">
        <v>10211</v>
      </c>
      <c r="C2731" t="s">
        <v>9849</v>
      </c>
      <c r="D2731">
        <v>909</v>
      </c>
      <c r="E2731" s="208"/>
      <c r="G2731" t="s">
        <v>9749</v>
      </c>
    </row>
    <row r="2732" spans="1:7">
      <c r="A2732" t="s">
        <v>10212</v>
      </c>
      <c r="B2732" t="s">
        <v>10213</v>
      </c>
      <c r="C2732" t="s">
        <v>10209</v>
      </c>
      <c r="D2732">
        <v>9087</v>
      </c>
      <c r="E2732" s="208"/>
      <c r="G2732" t="s">
        <v>9749</v>
      </c>
    </row>
    <row r="2733" spans="1:7">
      <c r="A2733" t="s">
        <v>10214</v>
      </c>
      <c r="B2733" t="s">
        <v>10215</v>
      </c>
      <c r="C2733" t="s">
        <v>9849</v>
      </c>
      <c r="D2733">
        <v>909</v>
      </c>
      <c r="E2733" s="208"/>
      <c r="G2733" t="s">
        <v>9749</v>
      </c>
    </row>
    <row r="2734" spans="1:7">
      <c r="A2734" t="s">
        <v>10216</v>
      </c>
      <c r="B2734" t="s">
        <v>10217</v>
      </c>
      <c r="C2734" t="s">
        <v>10209</v>
      </c>
      <c r="D2734">
        <v>9087</v>
      </c>
      <c r="E2734" s="208"/>
      <c r="G2734" t="s">
        <v>9749</v>
      </c>
    </row>
    <row r="2735" spans="1:7">
      <c r="A2735" t="s">
        <v>10218</v>
      </c>
      <c r="B2735" t="s">
        <v>10219</v>
      </c>
      <c r="C2735" t="s">
        <v>9849</v>
      </c>
      <c r="D2735">
        <v>909</v>
      </c>
      <c r="E2735" s="208"/>
      <c r="G2735" t="s">
        <v>9749</v>
      </c>
    </row>
    <row r="2736" spans="1:7">
      <c r="A2736" t="s">
        <v>10220</v>
      </c>
      <c r="B2736" t="s">
        <v>10221</v>
      </c>
      <c r="C2736" t="s">
        <v>10209</v>
      </c>
      <c r="D2736">
        <v>9087</v>
      </c>
      <c r="E2736" s="208"/>
      <c r="G2736" t="s">
        <v>9749</v>
      </c>
    </row>
    <row r="2737" spans="1:7">
      <c r="A2737" t="s">
        <v>10222</v>
      </c>
      <c r="B2737" t="s">
        <v>10223</v>
      </c>
      <c r="C2737" t="s">
        <v>9849</v>
      </c>
      <c r="D2737">
        <v>689</v>
      </c>
      <c r="E2737" s="208"/>
      <c r="G2737" t="s">
        <v>9749</v>
      </c>
    </row>
    <row r="2738" spans="1:7">
      <c r="A2738" t="s">
        <v>10224</v>
      </c>
      <c r="B2738" t="s">
        <v>10225</v>
      </c>
      <c r="C2738" t="s">
        <v>9849</v>
      </c>
      <c r="D2738">
        <v>192</v>
      </c>
      <c r="E2738" s="208"/>
      <c r="G2738" t="s">
        <v>9749</v>
      </c>
    </row>
    <row r="2739" spans="1:7">
      <c r="A2739" t="s">
        <v>10226</v>
      </c>
      <c r="B2739" t="s">
        <v>10227</v>
      </c>
      <c r="C2739" t="s">
        <v>9849</v>
      </c>
      <c r="D2739">
        <v>1145</v>
      </c>
      <c r="E2739" s="208"/>
      <c r="G2739" t="s">
        <v>9749</v>
      </c>
    </row>
    <row r="2740" spans="1:7">
      <c r="A2740" t="s">
        <v>10228</v>
      </c>
      <c r="B2740" t="s">
        <v>10229</v>
      </c>
      <c r="C2740" t="s">
        <v>10209</v>
      </c>
      <c r="D2740">
        <v>11442</v>
      </c>
      <c r="E2740" s="208"/>
      <c r="G2740" t="s">
        <v>9749</v>
      </c>
    </row>
    <row r="2741" spans="1:7">
      <c r="A2741" t="s">
        <v>10230</v>
      </c>
      <c r="B2741" t="s">
        <v>10231</v>
      </c>
      <c r="C2741" t="s">
        <v>9849</v>
      </c>
      <c r="D2741">
        <v>1145</v>
      </c>
      <c r="E2741" s="208"/>
      <c r="G2741" t="s">
        <v>9749</v>
      </c>
    </row>
    <row r="2742" spans="1:7">
      <c r="A2742" t="s">
        <v>10232</v>
      </c>
      <c r="B2742" t="s">
        <v>10233</v>
      </c>
      <c r="C2742" t="s">
        <v>10209</v>
      </c>
      <c r="D2742">
        <v>11442</v>
      </c>
      <c r="E2742" s="208"/>
      <c r="G2742" t="s">
        <v>9749</v>
      </c>
    </row>
    <row r="2743" spans="1:7">
      <c r="A2743" t="s">
        <v>10234</v>
      </c>
      <c r="B2743" t="s">
        <v>10235</v>
      </c>
      <c r="C2743" t="s">
        <v>9849</v>
      </c>
      <c r="D2743">
        <v>1145</v>
      </c>
      <c r="E2743" s="208"/>
      <c r="G2743" t="s">
        <v>9749</v>
      </c>
    </row>
    <row r="2744" spans="1:7">
      <c r="A2744" t="s">
        <v>10236</v>
      </c>
      <c r="B2744" t="s">
        <v>10237</v>
      </c>
      <c r="C2744" t="s">
        <v>10209</v>
      </c>
      <c r="D2744">
        <v>11442</v>
      </c>
      <c r="E2744" s="208"/>
      <c r="G2744" t="s">
        <v>9749</v>
      </c>
    </row>
    <row r="2745" spans="1:7">
      <c r="A2745" t="s">
        <v>10238</v>
      </c>
      <c r="B2745" t="s">
        <v>10239</v>
      </c>
      <c r="C2745" t="s">
        <v>9849</v>
      </c>
      <c r="D2745">
        <v>1145</v>
      </c>
      <c r="E2745" s="208"/>
      <c r="G2745" t="s">
        <v>9749</v>
      </c>
    </row>
    <row r="2746" spans="1:7">
      <c r="A2746" t="s">
        <v>10240</v>
      </c>
      <c r="B2746" t="s">
        <v>10241</v>
      </c>
      <c r="C2746" t="s">
        <v>10209</v>
      </c>
      <c r="D2746">
        <v>11442</v>
      </c>
      <c r="E2746" s="208"/>
      <c r="G2746" t="s">
        <v>9749</v>
      </c>
    </row>
    <row r="2747" spans="1:7">
      <c r="A2747" t="s">
        <v>10242</v>
      </c>
      <c r="B2747" t="s">
        <v>10243</v>
      </c>
      <c r="C2747" t="s">
        <v>9849</v>
      </c>
      <c r="D2747">
        <v>1145</v>
      </c>
      <c r="E2747" s="208"/>
      <c r="G2747" t="s">
        <v>9749</v>
      </c>
    </row>
    <row r="2748" spans="1:7">
      <c r="A2748" t="s">
        <v>10244</v>
      </c>
      <c r="B2748" t="s">
        <v>10245</v>
      </c>
      <c r="C2748" t="s">
        <v>10209</v>
      </c>
      <c r="D2748">
        <v>11442</v>
      </c>
      <c r="E2748" s="208"/>
      <c r="G2748" t="s">
        <v>9749</v>
      </c>
    </row>
    <row r="2749" spans="1:7">
      <c r="A2749" t="s">
        <v>10246</v>
      </c>
      <c r="B2749" t="s">
        <v>10247</v>
      </c>
      <c r="C2749" t="s">
        <v>9849</v>
      </c>
      <c r="D2749">
        <v>391</v>
      </c>
      <c r="E2749" s="208"/>
      <c r="G2749" t="s">
        <v>9749</v>
      </c>
    </row>
    <row r="2750" spans="1:7">
      <c r="A2750" t="s">
        <v>10248</v>
      </c>
      <c r="B2750" t="s">
        <v>10249</v>
      </c>
      <c r="C2750" t="s">
        <v>10201</v>
      </c>
      <c r="D2750">
        <v>300</v>
      </c>
      <c r="E2750" s="208"/>
      <c r="G2750" t="s">
        <v>9749</v>
      </c>
    </row>
    <row r="2751" spans="1:7">
      <c r="A2751" t="s">
        <v>10250</v>
      </c>
      <c r="B2751" t="s">
        <v>10251</v>
      </c>
      <c r="C2751" t="s">
        <v>10032</v>
      </c>
      <c r="D2751">
        <v>312</v>
      </c>
      <c r="E2751" s="208"/>
      <c r="G2751" t="s">
        <v>9749</v>
      </c>
    </row>
    <row r="2752" spans="1:7">
      <c r="A2752" t="s">
        <v>10252</v>
      </c>
      <c r="B2752" t="s">
        <v>10253</v>
      </c>
      <c r="C2752" t="s">
        <v>9849</v>
      </c>
      <c r="D2752">
        <v>761</v>
      </c>
      <c r="E2752" s="208"/>
      <c r="G2752" t="s">
        <v>9749</v>
      </c>
    </row>
    <row r="2753" spans="1:7">
      <c r="A2753" t="s">
        <v>10254</v>
      </c>
      <c r="B2753" t="s">
        <v>10255</v>
      </c>
      <c r="C2753" t="s">
        <v>10032</v>
      </c>
      <c r="D2753">
        <v>351</v>
      </c>
      <c r="E2753" s="208"/>
      <c r="G2753" t="s">
        <v>9749</v>
      </c>
    </row>
    <row r="2754" spans="1:7">
      <c r="A2754" t="s">
        <v>10256</v>
      </c>
      <c r="B2754" t="s">
        <v>10257</v>
      </c>
      <c r="C2754" t="s">
        <v>9849</v>
      </c>
      <c r="D2754">
        <v>810</v>
      </c>
      <c r="E2754" s="208"/>
      <c r="G2754" t="s">
        <v>9749</v>
      </c>
    </row>
    <row r="2755" spans="1:7">
      <c r="A2755" t="s">
        <v>10258</v>
      </c>
      <c r="B2755" t="s">
        <v>10259</v>
      </c>
      <c r="C2755" t="s">
        <v>9849</v>
      </c>
      <c r="D2755">
        <v>922</v>
      </c>
      <c r="E2755" s="208"/>
      <c r="G2755" t="s">
        <v>9749</v>
      </c>
    </row>
    <row r="2756" spans="1:7">
      <c r="A2756" t="s">
        <v>10260</v>
      </c>
      <c r="B2756" t="s">
        <v>10261</v>
      </c>
      <c r="C2756" t="s">
        <v>9849</v>
      </c>
      <c r="D2756">
        <v>922</v>
      </c>
      <c r="E2756" s="208"/>
      <c r="G2756" t="s">
        <v>9749</v>
      </c>
    </row>
    <row r="2757" spans="1:7">
      <c r="A2757" t="s">
        <v>10262</v>
      </c>
      <c r="B2757" t="s">
        <v>10263</v>
      </c>
      <c r="C2757" t="s">
        <v>9849</v>
      </c>
      <c r="D2757">
        <v>922</v>
      </c>
      <c r="E2757" s="208"/>
      <c r="G2757" t="s">
        <v>9749</v>
      </c>
    </row>
    <row r="2758" spans="1:7">
      <c r="A2758" t="s">
        <v>10264</v>
      </c>
      <c r="B2758" t="s">
        <v>10265</v>
      </c>
      <c r="C2758" t="s">
        <v>9849</v>
      </c>
      <c r="D2758">
        <v>922</v>
      </c>
      <c r="E2758" s="208"/>
      <c r="G2758" t="s">
        <v>9749</v>
      </c>
    </row>
    <row r="2759" spans="1:7">
      <c r="A2759" t="s">
        <v>10266</v>
      </c>
      <c r="B2759" t="s">
        <v>10267</v>
      </c>
      <c r="C2759" t="s">
        <v>9849</v>
      </c>
      <c r="D2759">
        <v>922</v>
      </c>
      <c r="E2759" s="208"/>
      <c r="G2759" t="s">
        <v>9749</v>
      </c>
    </row>
    <row r="2760" spans="1:7">
      <c r="A2760" t="s">
        <v>10268</v>
      </c>
      <c r="B2760" t="s">
        <v>10269</v>
      </c>
      <c r="C2760" t="s">
        <v>9849</v>
      </c>
      <c r="D2760">
        <v>922</v>
      </c>
      <c r="E2760" s="208"/>
      <c r="G2760" t="s">
        <v>9749</v>
      </c>
    </row>
    <row r="2761" spans="1:7">
      <c r="A2761" t="s">
        <v>10270</v>
      </c>
      <c r="B2761" t="s">
        <v>10271</v>
      </c>
      <c r="C2761" t="s">
        <v>9849</v>
      </c>
      <c r="D2761">
        <v>922</v>
      </c>
      <c r="E2761" s="208"/>
      <c r="G2761" t="s">
        <v>9749</v>
      </c>
    </row>
    <row r="2762" spans="1:7">
      <c r="A2762" t="s">
        <v>10272</v>
      </c>
      <c r="B2762" t="s">
        <v>10273</v>
      </c>
      <c r="C2762" t="s">
        <v>9849</v>
      </c>
      <c r="D2762">
        <v>922</v>
      </c>
      <c r="E2762" s="208"/>
      <c r="G2762" t="s">
        <v>9749</v>
      </c>
    </row>
    <row r="2763" spans="1:7">
      <c r="A2763" t="s">
        <v>10274</v>
      </c>
      <c r="B2763" t="s">
        <v>10275</v>
      </c>
      <c r="C2763" t="s">
        <v>9849</v>
      </c>
      <c r="D2763">
        <v>922</v>
      </c>
      <c r="E2763" s="208"/>
      <c r="G2763" t="s">
        <v>9749</v>
      </c>
    </row>
    <row r="2764" spans="1:7">
      <c r="A2764" t="s">
        <v>10276</v>
      </c>
      <c r="B2764" t="s">
        <v>10277</v>
      </c>
      <c r="C2764" t="s">
        <v>4803</v>
      </c>
      <c r="D2764">
        <v>1018</v>
      </c>
      <c r="E2764" s="208"/>
      <c r="G2764" t="s">
        <v>9749</v>
      </c>
    </row>
    <row r="2765" spans="1:7">
      <c r="A2765" t="s">
        <v>10278</v>
      </c>
      <c r="B2765" t="s">
        <v>10279</v>
      </c>
      <c r="C2765" t="s">
        <v>4803</v>
      </c>
      <c r="D2765">
        <v>564</v>
      </c>
      <c r="E2765" s="208"/>
      <c r="G2765" t="s">
        <v>9749</v>
      </c>
    </row>
    <row r="2766" spans="1:7">
      <c r="A2766" t="s">
        <v>10280</v>
      </c>
      <c r="B2766" t="s">
        <v>10281</v>
      </c>
      <c r="C2766" t="s">
        <v>9846</v>
      </c>
      <c r="D2766">
        <v>97</v>
      </c>
      <c r="E2766" s="208"/>
      <c r="G2766" t="s">
        <v>9749</v>
      </c>
    </row>
    <row r="2767" spans="1:7">
      <c r="A2767" t="s">
        <v>10282</v>
      </c>
      <c r="B2767" t="s">
        <v>10283</v>
      </c>
      <c r="C2767" t="s">
        <v>9849</v>
      </c>
      <c r="D2767">
        <v>425</v>
      </c>
      <c r="E2767" s="208"/>
      <c r="G2767" t="s">
        <v>9749</v>
      </c>
    </row>
    <row r="2768" spans="1:7">
      <c r="A2768" t="s">
        <v>10284</v>
      </c>
      <c r="B2768" t="s">
        <v>6627</v>
      </c>
      <c r="C2768" t="s">
        <v>10285</v>
      </c>
      <c r="D2768">
        <v>124</v>
      </c>
      <c r="E2768" s="208"/>
      <c r="G2768" t="s">
        <v>9749</v>
      </c>
    </row>
    <row r="2769" spans="1:7">
      <c r="A2769" t="s">
        <v>10286</v>
      </c>
      <c r="B2769" t="s">
        <v>10287</v>
      </c>
      <c r="C2769" t="s">
        <v>9846</v>
      </c>
      <c r="D2769">
        <v>286</v>
      </c>
      <c r="E2769" s="208"/>
      <c r="G2769" t="s">
        <v>9749</v>
      </c>
    </row>
    <row r="2770" spans="1:7">
      <c r="A2770" t="s">
        <v>10288</v>
      </c>
      <c r="B2770" t="s">
        <v>10289</v>
      </c>
      <c r="C2770" t="s">
        <v>10290</v>
      </c>
      <c r="D2770">
        <v>578</v>
      </c>
      <c r="E2770" s="208"/>
      <c r="G2770" t="s">
        <v>9749</v>
      </c>
    </row>
    <row r="2771" spans="1:7">
      <c r="A2771" t="s">
        <v>10291</v>
      </c>
      <c r="B2771" t="s">
        <v>10292</v>
      </c>
      <c r="C2771" t="s">
        <v>10204</v>
      </c>
      <c r="D2771">
        <v>1231</v>
      </c>
      <c r="E2771" s="208"/>
      <c r="G2771" t="s">
        <v>9749</v>
      </c>
    </row>
    <row r="2772" spans="1:7">
      <c r="A2772" t="s">
        <v>10293</v>
      </c>
      <c r="B2772" t="s">
        <v>10294</v>
      </c>
      <c r="C2772" t="s">
        <v>10295</v>
      </c>
      <c r="D2772">
        <v>616</v>
      </c>
      <c r="E2772" s="208"/>
      <c r="G2772" t="s">
        <v>9749</v>
      </c>
    </row>
    <row r="2773" spans="1:7">
      <c r="A2773" t="s">
        <v>10296</v>
      </c>
      <c r="B2773" t="s">
        <v>10297</v>
      </c>
      <c r="C2773" t="s">
        <v>10298</v>
      </c>
      <c r="D2773">
        <v>622</v>
      </c>
      <c r="E2773" s="208"/>
      <c r="G2773" t="s">
        <v>9749</v>
      </c>
    </row>
    <row r="2774" spans="1:7">
      <c r="A2774" t="s">
        <v>10299</v>
      </c>
      <c r="B2774" t="s">
        <v>10300</v>
      </c>
      <c r="C2774" t="s">
        <v>10301</v>
      </c>
      <c r="D2774">
        <v>684</v>
      </c>
      <c r="E2774" s="208"/>
      <c r="G2774" t="s">
        <v>9749</v>
      </c>
    </row>
    <row r="2775" spans="1:7">
      <c r="A2775" t="s">
        <v>10302</v>
      </c>
      <c r="B2775" t="s">
        <v>10303</v>
      </c>
      <c r="C2775" t="s">
        <v>10304</v>
      </c>
      <c r="D2775">
        <v>40895</v>
      </c>
      <c r="E2775" s="208"/>
      <c r="G2775" t="s">
        <v>9749</v>
      </c>
    </row>
    <row r="2776" spans="1:7">
      <c r="A2776" t="s">
        <v>10305</v>
      </c>
      <c r="B2776" t="s">
        <v>10306</v>
      </c>
      <c r="C2776" t="s">
        <v>10307</v>
      </c>
      <c r="D2776">
        <v>565</v>
      </c>
      <c r="E2776" s="208"/>
      <c r="G2776" t="s">
        <v>9749</v>
      </c>
    </row>
    <row r="2777" spans="1:7">
      <c r="A2777" t="s">
        <v>10308</v>
      </c>
      <c r="B2777" t="s">
        <v>10309</v>
      </c>
      <c r="C2777" t="s">
        <v>10310</v>
      </c>
      <c r="D2777">
        <v>24606</v>
      </c>
      <c r="E2777" s="208"/>
      <c r="G2777" t="s">
        <v>9749</v>
      </c>
    </row>
    <row r="2778" spans="1:7">
      <c r="A2778" t="s">
        <v>10311</v>
      </c>
      <c r="B2778" t="s">
        <v>10312</v>
      </c>
      <c r="C2778" t="s">
        <v>10307</v>
      </c>
      <c r="D2778">
        <v>710</v>
      </c>
      <c r="E2778" s="208"/>
      <c r="G2778" t="s">
        <v>9749</v>
      </c>
    </row>
    <row r="2779" spans="1:7">
      <c r="A2779" t="s">
        <v>10313</v>
      </c>
      <c r="B2779" t="s">
        <v>10314</v>
      </c>
      <c r="C2779" t="s">
        <v>10307</v>
      </c>
      <c r="D2779">
        <v>710</v>
      </c>
      <c r="E2779" s="208"/>
      <c r="G2779" t="s">
        <v>9749</v>
      </c>
    </row>
    <row r="2780" spans="1:7">
      <c r="A2780" t="s">
        <v>10315</v>
      </c>
      <c r="B2780" t="s">
        <v>10316</v>
      </c>
      <c r="C2780" t="s">
        <v>10307</v>
      </c>
      <c r="D2780">
        <v>710</v>
      </c>
      <c r="E2780" s="208"/>
      <c r="G2780" t="s">
        <v>9749</v>
      </c>
    </row>
    <row r="2781" spans="1:7">
      <c r="A2781" t="s">
        <v>10317</v>
      </c>
      <c r="B2781" t="s">
        <v>10318</v>
      </c>
      <c r="C2781" t="s">
        <v>10307</v>
      </c>
      <c r="D2781">
        <v>710</v>
      </c>
      <c r="E2781" s="208"/>
      <c r="G2781" t="s">
        <v>9749</v>
      </c>
    </row>
    <row r="2782" spans="1:7">
      <c r="A2782" t="s">
        <v>10319</v>
      </c>
      <c r="B2782" t="s">
        <v>10320</v>
      </c>
      <c r="C2782" t="s">
        <v>10307</v>
      </c>
      <c r="D2782">
        <v>710</v>
      </c>
      <c r="E2782" s="208"/>
      <c r="G2782" t="s">
        <v>9749</v>
      </c>
    </row>
    <row r="2783" spans="1:7">
      <c r="A2783" t="s">
        <v>10321</v>
      </c>
      <c r="B2783" t="s">
        <v>10322</v>
      </c>
      <c r="C2783" t="s">
        <v>10307</v>
      </c>
      <c r="D2783">
        <v>710</v>
      </c>
      <c r="E2783" s="208"/>
      <c r="G2783" t="s">
        <v>9749</v>
      </c>
    </row>
    <row r="2784" spans="1:7">
      <c r="A2784" t="s">
        <v>10323</v>
      </c>
      <c r="B2784" t="s">
        <v>10324</v>
      </c>
      <c r="C2784" t="s">
        <v>10032</v>
      </c>
      <c r="D2784">
        <v>367</v>
      </c>
      <c r="E2784" s="208"/>
      <c r="G2784" t="s">
        <v>9749</v>
      </c>
    </row>
    <row r="2785" spans="1:7">
      <c r="A2785" t="s">
        <v>10325</v>
      </c>
      <c r="B2785" t="s">
        <v>10326</v>
      </c>
      <c r="C2785" t="s">
        <v>10327</v>
      </c>
      <c r="D2785">
        <v>1070</v>
      </c>
      <c r="E2785" s="208"/>
      <c r="G2785" t="s">
        <v>9749</v>
      </c>
    </row>
    <row r="2786" spans="1:7">
      <c r="A2786" t="s">
        <v>10328</v>
      </c>
      <c r="B2786" t="s">
        <v>10329</v>
      </c>
      <c r="C2786" t="s">
        <v>10032</v>
      </c>
      <c r="D2786">
        <v>321</v>
      </c>
      <c r="E2786" s="208"/>
      <c r="G2786" t="s">
        <v>9749</v>
      </c>
    </row>
    <row r="2787" spans="1:7">
      <c r="A2787" t="s">
        <v>10330</v>
      </c>
      <c r="B2787" t="s">
        <v>10331</v>
      </c>
      <c r="C2787" t="s">
        <v>10327</v>
      </c>
      <c r="D2787">
        <v>881</v>
      </c>
      <c r="E2787" s="208"/>
      <c r="G2787" t="s">
        <v>9749</v>
      </c>
    </row>
    <row r="2788" spans="1:7">
      <c r="A2788" t="s">
        <v>10332</v>
      </c>
      <c r="B2788" t="s">
        <v>10333</v>
      </c>
      <c r="C2788" t="s">
        <v>10327</v>
      </c>
      <c r="D2788">
        <v>896</v>
      </c>
      <c r="E2788" s="208"/>
      <c r="G2788" t="s">
        <v>9749</v>
      </c>
    </row>
    <row r="2789" spans="1:7">
      <c r="A2789" t="s">
        <v>10334</v>
      </c>
      <c r="B2789" t="s">
        <v>10335</v>
      </c>
      <c r="C2789" t="s">
        <v>10032</v>
      </c>
      <c r="D2789">
        <v>338</v>
      </c>
      <c r="E2789" s="208"/>
      <c r="G2789" t="s">
        <v>9749</v>
      </c>
    </row>
    <row r="2790" spans="1:7">
      <c r="A2790" t="s">
        <v>10336</v>
      </c>
      <c r="B2790" t="s">
        <v>10337</v>
      </c>
      <c r="C2790" t="s">
        <v>10327</v>
      </c>
      <c r="D2790">
        <v>923</v>
      </c>
      <c r="E2790" s="208"/>
      <c r="G2790" t="s">
        <v>9749</v>
      </c>
    </row>
    <row r="2791" spans="1:7">
      <c r="A2791" t="s">
        <v>10338</v>
      </c>
      <c r="B2791" t="s">
        <v>10339</v>
      </c>
      <c r="C2791" t="s">
        <v>10340</v>
      </c>
      <c r="D2791">
        <v>550</v>
      </c>
      <c r="E2791" s="208"/>
      <c r="G2791" t="s">
        <v>9749</v>
      </c>
    </row>
    <row r="2792" spans="1:7">
      <c r="A2792" t="s">
        <v>10341</v>
      </c>
      <c r="B2792" t="s">
        <v>10342</v>
      </c>
      <c r="C2792" t="s">
        <v>4845</v>
      </c>
      <c r="D2792">
        <v>2224</v>
      </c>
      <c r="E2792" s="208"/>
      <c r="G2792" t="s">
        <v>9749</v>
      </c>
    </row>
    <row r="2793" spans="1:7">
      <c r="A2793" t="s">
        <v>10343</v>
      </c>
      <c r="B2793" t="s">
        <v>10344</v>
      </c>
      <c r="C2793" t="s">
        <v>10327</v>
      </c>
      <c r="D2793">
        <v>586</v>
      </c>
      <c r="E2793" s="208"/>
      <c r="G2793" t="s">
        <v>9749</v>
      </c>
    </row>
    <row r="2794" spans="1:7">
      <c r="A2794" t="s">
        <v>10345</v>
      </c>
      <c r="B2794" t="s">
        <v>10346</v>
      </c>
      <c r="C2794" t="s">
        <v>9846</v>
      </c>
      <c r="D2794">
        <v>507</v>
      </c>
      <c r="E2794" s="208"/>
      <c r="G2794" t="s">
        <v>9749</v>
      </c>
    </row>
    <row r="2795" spans="1:7">
      <c r="A2795" t="s">
        <v>10347</v>
      </c>
      <c r="B2795" t="s">
        <v>10348</v>
      </c>
      <c r="C2795" t="s">
        <v>10327</v>
      </c>
      <c r="D2795">
        <v>1100</v>
      </c>
      <c r="E2795" s="208"/>
      <c r="G2795" t="s">
        <v>9749</v>
      </c>
    </row>
    <row r="2796" spans="1:7">
      <c r="A2796" t="s">
        <v>10349</v>
      </c>
      <c r="B2796" t="s">
        <v>10350</v>
      </c>
      <c r="C2796" t="s">
        <v>10032</v>
      </c>
      <c r="D2796">
        <v>413</v>
      </c>
      <c r="E2796" s="208"/>
      <c r="G2796" t="s">
        <v>9749</v>
      </c>
    </row>
    <row r="2797" spans="1:7">
      <c r="A2797" t="s">
        <v>10351</v>
      </c>
      <c r="B2797" t="s">
        <v>10352</v>
      </c>
      <c r="C2797" t="s">
        <v>10327</v>
      </c>
      <c r="D2797">
        <v>1024</v>
      </c>
      <c r="E2797" s="208"/>
      <c r="G2797" t="s">
        <v>9749</v>
      </c>
    </row>
    <row r="2798" spans="1:7">
      <c r="A2798" t="s">
        <v>10353</v>
      </c>
      <c r="B2798" t="s">
        <v>10354</v>
      </c>
      <c r="C2798" t="s">
        <v>10327</v>
      </c>
      <c r="D2798">
        <v>655</v>
      </c>
      <c r="E2798" s="208"/>
      <c r="G2798" t="s">
        <v>9749</v>
      </c>
    </row>
    <row r="2799" spans="1:7">
      <c r="A2799" t="s">
        <v>10355</v>
      </c>
      <c r="B2799" t="s">
        <v>10356</v>
      </c>
      <c r="C2799" t="s">
        <v>10357</v>
      </c>
      <c r="D2799">
        <v>179</v>
      </c>
      <c r="E2799" s="208"/>
      <c r="G2799" t="s">
        <v>9749</v>
      </c>
    </row>
    <row r="2800" spans="1:7">
      <c r="A2800" t="s">
        <v>10358</v>
      </c>
      <c r="B2800" t="s">
        <v>10359</v>
      </c>
      <c r="C2800" t="s">
        <v>10360</v>
      </c>
      <c r="D2800">
        <v>17787</v>
      </c>
      <c r="E2800" s="208"/>
      <c r="G2800" t="s">
        <v>9749</v>
      </c>
    </row>
    <row r="2801" spans="1:7">
      <c r="A2801" t="s">
        <v>10361</v>
      </c>
      <c r="B2801" t="s">
        <v>10362</v>
      </c>
      <c r="C2801" t="s">
        <v>10363</v>
      </c>
      <c r="D2801">
        <v>644</v>
      </c>
      <c r="E2801" s="208"/>
      <c r="G2801" t="s">
        <v>9749</v>
      </c>
    </row>
    <row r="2802" spans="1:7">
      <c r="A2802" t="s">
        <v>10364</v>
      </c>
      <c r="B2802" t="s">
        <v>10365</v>
      </c>
      <c r="C2802" t="s">
        <v>10366</v>
      </c>
      <c r="D2802">
        <v>62217</v>
      </c>
      <c r="E2802" s="208"/>
      <c r="G2802" t="s">
        <v>9749</v>
      </c>
    </row>
    <row r="2803" spans="1:7">
      <c r="A2803" t="s">
        <v>10367</v>
      </c>
      <c r="B2803" t="s">
        <v>10368</v>
      </c>
      <c r="C2803" t="s">
        <v>10369</v>
      </c>
      <c r="D2803">
        <v>457</v>
      </c>
      <c r="E2803" s="208"/>
      <c r="G2803" t="s">
        <v>9749</v>
      </c>
    </row>
    <row r="2804" spans="1:7">
      <c r="A2804" t="s">
        <v>10370</v>
      </c>
      <c r="B2804" t="s">
        <v>10371</v>
      </c>
      <c r="C2804" t="s">
        <v>10372</v>
      </c>
      <c r="D2804">
        <v>44484</v>
      </c>
      <c r="E2804" s="208"/>
      <c r="G2804" t="s">
        <v>9749</v>
      </c>
    </row>
    <row r="2805" spans="1:7">
      <c r="A2805" t="s">
        <v>10373</v>
      </c>
      <c r="B2805" t="s">
        <v>10374</v>
      </c>
      <c r="C2805" t="s">
        <v>9849</v>
      </c>
      <c r="D2805">
        <v>186</v>
      </c>
      <c r="E2805" s="208"/>
      <c r="G2805" t="s">
        <v>9749</v>
      </c>
    </row>
    <row r="2806" spans="1:7">
      <c r="A2806" t="s">
        <v>10375</v>
      </c>
      <c r="B2806" t="s">
        <v>10376</v>
      </c>
      <c r="C2806" t="s">
        <v>10032</v>
      </c>
      <c r="D2806">
        <v>105</v>
      </c>
      <c r="E2806" s="208"/>
      <c r="G2806" t="s">
        <v>9749</v>
      </c>
    </row>
    <row r="2807" spans="1:7">
      <c r="A2807" t="s">
        <v>10377</v>
      </c>
      <c r="B2807" t="s">
        <v>10378</v>
      </c>
      <c r="C2807" t="s">
        <v>9849</v>
      </c>
      <c r="D2807">
        <v>217</v>
      </c>
      <c r="E2807" s="208"/>
      <c r="G2807" t="s">
        <v>9749</v>
      </c>
    </row>
    <row r="2808" spans="1:7">
      <c r="A2808" t="s">
        <v>10379</v>
      </c>
      <c r="B2808" t="s">
        <v>10380</v>
      </c>
      <c r="C2808" t="s">
        <v>10032</v>
      </c>
      <c r="D2808">
        <v>105</v>
      </c>
      <c r="E2808" s="208"/>
      <c r="G2808" t="s">
        <v>9749</v>
      </c>
    </row>
    <row r="2809" spans="1:7">
      <c r="A2809" t="s">
        <v>10381</v>
      </c>
      <c r="B2809" t="s">
        <v>10382</v>
      </c>
      <c r="C2809" t="s">
        <v>9849</v>
      </c>
      <c r="D2809">
        <v>217</v>
      </c>
      <c r="E2809" s="208"/>
      <c r="G2809" t="s">
        <v>9749</v>
      </c>
    </row>
    <row r="2810" spans="1:7">
      <c r="A2810" t="s">
        <v>10383</v>
      </c>
      <c r="B2810" t="s">
        <v>10384</v>
      </c>
      <c r="C2810" t="s">
        <v>10201</v>
      </c>
      <c r="D2810">
        <v>154</v>
      </c>
      <c r="E2810" s="208"/>
      <c r="G2810" t="s">
        <v>9749</v>
      </c>
    </row>
    <row r="2811" spans="1:7">
      <c r="A2811" t="s">
        <v>10385</v>
      </c>
      <c r="B2811" t="s">
        <v>10386</v>
      </c>
      <c r="C2811" t="s">
        <v>10201</v>
      </c>
      <c r="D2811">
        <v>224</v>
      </c>
      <c r="E2811" s="208"/>
      <c r="G2811" t="s">
        <v>9749</v>
      </c>
    </row>
    <row r="2812" spans="1:7">
      <c r="A2812" t="s">
        <v>10387</v>
      </c>
      <c r="B2812" t="s">
        <v>10388</v>
      </c>
      <c r="C2812" t="s">
        <v>10201</v>
      </c>
      <c r="D2812">
        <v>354</v>
      </c>
      <c r="E2812" s="208"/>
      <c r="G2812" t="s">
        <v>9749</v>
      </c>
    </row>
    <row r="2813" spans="1:7">
      <c r="A2813" t="s">
        <v>10389</v>
      </c>
      <c r="B2813" t="s">
        <v>10390</v>
      </c>
      <c r="C2813" t="s">
        <v>9849</v>
      </c>
      <c r="D2813">
        <v>654</v>
      </c>
      <c r="E2813" s="208"/>
      <c r="G2813" t="s">
        <v>9749</v>
      </c>
    </row>
    <row r="2814" spans="1:7">
      <c r="A2814" t="s">
        <v>10391</v>
      </c>
      <c r="B2814" t="s">
        <v>10392</v>
      </c>
      <c r="C2814" t="s">
        <v>10393</v>
      </c>
      <c r="D2814">
        <v>62</v>
      </c>
      <c r="E2814" s="208"/>
      <c r="G2814" t="s">
        <v>9749</v>
      </c>
    </row>
    <row r="2815" spans="1:7">
      <c r="A2815" t="s">
        <v>10394</v>
      </c>
      <c r="B2815" t="s">
        <v>10395</v>
      </c>
      <c r="C2815" t="s">
        <v>6508</v>
      </c>
      <c r="D2815">
        <v>203</v>
      </c>
      <c r="E2815" s="208"/>
      <c r="G2815" t="s">
        <v>9749</v>
      </c>
    </row>
    <row r="2816" spans="1:7">
      <c r="A2816" t="s">
        <v>10396</v>
      </c>
      <c r="B2816" t="s">
        <v>10397</v>
      </c>
      <c r="C2816" t="s">
        <v>10201</v>
      </c>
      <c r="D2816">
        <v>380</v>
      </c>
      <c r="E2816" s="208"/>
      <c r="G2816" t="s">
        <v>9749</v>
      </c>
    </row>
    <row r="2817" spans="1:7">
      <c r="A2817" t="s">
        <v>10398</v>
      </c>
      <c r="B2817" t="s">
        <v>10399</v>
      </c>
      <c r="C2817" t="s">
        <v>9849</v>
      </c>
      <c r="D2817">
        <v>751</v>
      </c>
      <c r="E2817" s="208"/>
      <c r="G2817" t="s">
        <v>9749</v>
      </c>
    </row>
    <row r="2818" spans="1:7">
      <c r="A2818" t="s">
        <v>10400</v>
      </c>
      <c r="B2818" t="s">
        <v>10395</v>
      </c>
      <c r="C2818" t="s">
        <v>6508</v>
      </c>
      <c r="D2818">
        <v>203</v>
      </c>
      <c r="E2818" s="208"/>
      <c r="G2818" t="s">
        <v>9749</v>
      </c>
    </row>
    <row r="2819" spans="1:7">
      <c r="A2819" t="s">
        <v>10401</v>
      </c>
      <c r="B2819" t="s">
        <v>10402</v>
      </c>
      <c r="C2819" t="s">
        <v>10201</v>
      </c>
      <c r="D2819">
        <v>455</v>
      </c>
      <c r="E2819" s="208"/>
      <c r="G2819" t="s">
        <v>9749</v>
      </c>
    </row>
    <row r="2820" spans="1:7">
      <c r="A2820" t="s">
        <v>10403</v>
      </c>
      <c r="B2820" t="s">
        <v>10404</v>
      </c>
      <c r="C2820" t="s">
        <v>6508</v>
      </c>
      <c r="D2820">
        <v>458</v>
      </c>
      <c r="E2820" s="208"/>
      <c r="G2820" t="s">
        <v>9749</v>
      </c>
    </row>
    <row r="2821" spans="1:7">
      <c r="A2821" t="s">
        <v>10405</v>
      </c>
      <c r="B2821" t="s">
        <v>10406</v>
      </c>
      <c r="C2821" t="s">
        <v>6508</v>
      </c>
      <c r="D2821">
        <v>680</v>
      </c>
      <c r="E2821" s="208"/>
      <c r="G2821" t="s">
        <v>9749</v>
      </c>
    </row>
    <row r="2822" spans="1:7">
      <c r="A2822" t="s">
        <v>10407</v>
      </c>
      <c r="B2822" t="s">
        <v>10408</v>
      </c>
      <c r="C2822" t="s">
        <v>10204</v>
      </c>
      <c r="D2822">
        <v>1812</v>
      </c>
      <c r="E2822" s="208"/>
      <c r="G2822" t="s">
        <v>9749</v>
      </c>
    </row>
    <row r="2823" spans="1:7">
      <c r="A2823" t="s">
        <v>10409</v>
      </c>
      <c r="B2823" t="s">
        <v>10410</v>
      </c>
      <c r="C2823" t="s">
        <v>10411</v>
      </c>
      <c r="D2823">
        <v>15159</v>
      </c>
      <c r="E2823" s="208"/>
      <c r="G2823" t="s">
        <v>9749</v>
      </c>
    </row>
    <row r="2824" spans="1:7">
      <c r="A2824" t="s">
        <v>10412</v>
      </c>
      <c r="B2824" t="s">
        <v>10413</v>
      </c>
      <c r="C2824" t="s">
        <v>10414</v>
      </c>
      <c r="D2824">
        <v>5658</v>
      </c>
      <c r="E2824" s="208"/>
      <c r="G2824" t="s">
        <v>9749</v>
      </c>
    </row>
    <row r="2825" spans="1:7">
      <c r="A2825" t="s">
        <v>10415</v>
      </c>
      <c r="B2825" t="s">
        <v>10416</v>
      </c>
      <c r="C2825" t="s">
        <v>4845</v>
      </c>
      <c r="D2825">
        <v>11852</v>
      </c>
      <c r="E2825" s="208"/>
      <c r="G2825" t="s">
        <v>9749</v>
      </c>
    </row>
    <row r="2826" spans="1:7">
      <c r="A2826" t="s">
        <v>10417</v>
      </c>
      <c r="B2826" t="s">
        <v>10418</v>
      </c>
      <c r="C2826" t="s">
        <v>4845</v>
      </c>
      <c r="D2826">
        <v>1205</v>
      </c>
      <c r="E2826" s="208"/>
      <c r="G2826" t="s">
        <v>9749</v>
      </c>
    </row>
    <row r="2827" spans="1:7">
      <c r="A2827" t="s">
        <v>10419</v>
      </c>
      <c r="B2827" t="s">
        <v>10420</v>
      </c>
      <c r="C2827" t="s">
        <v>4845</v>
      </c>
      <c r="D2827">
        <v>1564</v>
      </c>
      <c r="E2827" s="208"/>
      <c r="G2827" t="s">
        <v>9749</v>
      </c>
    </row>
    <row r="2828" spans="1:7">
      <c r="A2828" t="s">
        <v>10421</v>
      </c>
      <c r="B2828" t="s">
        <v>10422</v>
      </c>
      <c r="C2828" t="s">
        <v>4845</v>
      </c>
      <c r="D2828">
        <v>6536</v>
      </c>
      <c r="E2828" s="208"/>
      <c r="G2828" t="s">
        <v>9749</v>
      </c>
    </row>
    <row r="2829" spans="1:7">
      <c r="A2829" t="s">
        <v>10423</v>
      </c>
      <c r="B2829" t="s">
        <v>10424</v>
      </c>
      <c r="C2829" t="s">
        <v>4845</v>
      </c>
      <c r="D2829">
        <v>11046</v>
      </c>
      <c r="E2829" s="208"/>
      <c r="G2829" t="s">
        <v>9749</v>
      </c>
    </row>
    <row r="2830" spans="1:7">
      <c r="A2830" t="s">
        <v>10425</v>
      </c>
      <c r="B2830" t="s">
        <v>10426</v>
      </c>
      <c r="C2830" t="s">
        <v>6508</v>
      </c>
      <c r="D2830">
        <v>37</v>
      </c>
      <c r="E2830" s="208"/>
      <c r="G2830" t="s">
        <v>9749</v>
      </c>
    </row>
    <row r="2831" spans="1:7">
      <c r="A2831" t="s">
        <v>10427</v>
      </c>
      <c r="B2831" t="s">
        <v>10428</v>
      </c>
      <c r="C2831" t="s">
        <v>10204</v>
      </c>
      <c r="D2831">
        <v>2042</v>
      </c>
      <c r="E2831" s="208"/>
      <c r="G2831" t="s">
        <v>9749</v>
      </c>
    </row>
    <row r="2832" spans="1:7">
      <c r="A2832" t="s">
        <v>10429</v>
      </c>
      <c r="B2832" t="s">
        <v>10430</v>
      </c>
      <c r="C2832" t="s">
        <v>6508</v>
      </c>
      <c r="D2832">
        <v>527</v>
      </c>
      <c r="E2832" s="208"/>
      <c r="G2832" t="s">
        <v>9749</v>
      </c>
    </row>
    <row r="2833" spans="1:7">
      <c r="A2833" t="s">
        <v>10431</v>
      </c>
      <c r="B2833" t="s">
        <v>10432</v>
      </c>
      <c r="C2833" t="s">
        <v>4803</v>
      </c>
      <c r="D2833">
        <v>412</v>
      </c>
      <c r="E2833" s="208"/>
      <c r="G2833" t="s">
        <v>9749</v>
      </c>
    </row>
    <row r="2834" spans="1:7">
      <c r="A2834" t="s">
        <v>10433</v>
      </c>
      <c r="B2834" t="s">
        <v>10434</v>
      </c>
      <c r="C2834" t="s">
        <v>9849</v>
      </c>
      <c r="D2834">
        <v>214</v>
      </c>
      <c r="E2834" s="208"/>
      <c r="G2834" t="s">
        <v>9749</v>
      </c>
    </row>
    <row r="2835" spans="1:7">
      <c r="A2835" t="s">
        <v>10435</v>
      </c>
      <c r="B2835" t="s">
        <v>10436</v>
      </c>
      <c r="C2835" t="s">
        <v>10163</v>
      </c>
      <c r="D2835">
        <v>1770</v>
      </c>
      <c r="E2835" s="208"/>
      <c r="G2835" t="s">
        <v>9749</v>
      </c>
    </row>
    <row r="2836" spans="1:7">
      <c r="A2836" t="s">
        <v>10437</v>
      </c>
      <c r="B2836" t="s">
        <v>10438</v>
      </c>
      <c r="C2836" t="s">
        <v>9849</v>
      </c>
      <c r="D2836">
        <v>230</v>
      </c>
      <c r="E2836" s="208"/>
      <c r="G2836" t="s">
        <v>9749</v>
      </c>
    </row>
    <row r="2837" spans="1:7">
      <c r="A2837" t="s">
        <v>10439</v>
      </c>
      <c r="B2837" t="s">
        <v>10440</v>
      </c>
      <c r="C2837" t="s">
        <v>10209</v>
      </c>
      <c r="D2837">
        <v>1799</v>
      </c>
      <c r="E2837" s="208"/>
      <c r="G2837" t="s">
        <v>9749</v>
      </c>
    </row>
    <row r="2838" spans="1:7">
      <c r="A2838" t="s">
        <v>10441</v>
      </c>
      <c r="B2838" t="s">
        <v>10442</v>
      </c>
      <c r="C2838" t="s">
        <v>10443</v>
      </c>
      <c r="D2838">
        <v>1908</v>
      </c>
      <c r="E2838" s="208"/>
      <c r="G2838" t="s">
        <v>9749</v>
      </c>
    </row>
    <row r="2839" spans="1:7">
      <c r="A2839" t="s">
        <v>10444</v>
      </c>
      <c r="B2839" t="s">
        <v>10445</v>
      </c>
      <c r="C2839" t="s">
        <v>9849</v>
      </c>
      <c r="D2839">
        <v>448</v>
      </c>
      <c r="E2839" s="208"/>
      <c r="G2839" t="s">
        <v>9749</v>
      </c>
    </row>
    <row r="2840" spans="1:7">
      <c r="A2840" t="s">
        <v>10446</v>
      </c>
      <c r="B2840" t="s">
        <v>10447</v>
      </c>
      <c r="C2840" t="s">
        <v>10448</v>
      </c>
      <c r="D2840">
        <v>4592</v>
      </c>
      <c r="E2840" s="208"/>
      <c r="G2840" t="s">
        <v>9749</v>
      </c>
    </row>
    <row r="2841" spans="1:7">
      <c r="A2841" t="s">
        <v>10449</v>
      </c>
      <c r="B2841" t="s">
        <v>10450</v>
      </c>
      <c r="C2841" t="s">
        <v>10451</v>
      </c>
      <c r="D2841">
        <v>4512</v>
      </c>
      <c r="E2841" s="208"/>
      <c r="G2841" t="s">
        <v>9749</v>
      </c>
    </row>
    <row r="2842" spans="1:7">
      <c r="A2842" t="s">
        <v>10452</v>
      </c>
      <c r="B2842" t="s">
        <v>10453</v>
      </c>
      <c r="C2842" t="s">
        <v>9849</v>
      </c>
      <c r="D2842">
        <v>540</v>
      </c>
      <c r="E2842" s="208"/>
      <c r="G2842" t="s">
        <v>9749</v>
      </c>
    </row>
    <row r="2843" spans="1:7">
      <c r="A2843" t="s">
        <v>10454</v>
      </c>
      <c r="B2843" t="s">
        <v>10455</v>
      </c>
      <c r="C2843" t="s">
        <v>9860</v>
      </c>
      <c r="D2843">
        <v>5664</v>
      </c>
      <c r="E2843" s="208"/>
      <c r="G2843" t="s">
        <v>9749</v>
      </c>
    </row>
    <row r="2844" spans="1:7">
      <c r="A2844" t="s">
        <v>10456</v>
      </c>
      <c r="B2844" t="s">
        <v>10457</v>
      </c>
      <c r="C2844" t="s">
        <v>9849</v>
      </c>
      <c r="D2844">
        <v>140</v>
      </c>
      <c r="E2844" s="208"/>
      <c r="G2844" t="s">
        <v>9749</v>
      </c>
    </row>
    <row r="2845" spans="1:7">
      <c r="A2845" t="s">
        <v>10458</v>
      </c>
      <c r="B2845" t="s">
        <v>10459</v>
      </c>
      <c r="C2845" t="s">
        <v>10209</v>
      </c>
      <c r="D2845">
        <v>1126</v>
      </c>
      <c r="E2845" s="208"/>
      <c r="G2845" t="s">
        <v>9749</v>
      </c>
    </row>
    <row r="2846" spans="1:7">
      <c r="A2846" t="s">
        <v>10460</v>
      </c>
      <c r="B2846" t="s">
        <v>10461</v>
      </c>
      <c r="C2846" t="s">
        <v>10443</v>
      </c>
      <c r="D2846">
        <v>1227</v>
      </c>
      <c r="E2846" s="208"/>
      <c r="G2846" t="s">
        <v>9749</v>
      </c>
    </row>
    <row r="2847" spans="1:7">
      <c r="A2847" t="s">
        <v>10462</v>
      </c>
      <c r="B2847" t="s">
        <v>10463</v>
      </c>
      <c r="C2847" t="s">
        <v>9849</v>
      </c>
      <c r="D2847">
        <v>231</v>
      </c>
      <c r="E2847" s="208"/>
      <c r="G2847" t="s">
        <v>9749</v>
      </c>
    </row>
    <row r="2848" spans="1:7">
      <c r="A2848" t="s">
        <v>10464</v>
      </c>
      <c r="B2848" t="s">
        <v>10465</v>
      </c>
      <c r="C2848" t="s">
        <v>9860</v>
      </c>
      <c r="D2848">
        <v>2136</v>
      </c>
      <c r="E2848" s="208"/>
      <c r="G2848" t="s">
        <v>9749</v>
      </c>
    </row>
    <row r="2849" spans="1:7">
      <c r="A2849" t="s">
        <v>10466</v>
      </c>
      <c r="B2849" t="s">
        <v>10467</v>
      </c>
      <c r="C2849" t="s">
        <v>10163</v>
      </c>
      <c r="D2849">
        <v>2028</v>
      </c>
      <c r="E2849" s="208"/>
      <c r="G2849" t="s">
        <v>9749</v>
      </c>
    </row>
    <row r="2850" spans="1:7">
      <c r="A2850" t="s">
        <v>10468</v>
      </c>
      <c r="B2850" t="s">
        <v>10469</v>
      </c>
      <c r="C2850" t="s">
        <v>10470</v>
      </c>
      <c r="D2850">
        <v>208</v>
      </c>
      <c r="E2850" s="208"/>
      <c r="G2850" t="s">
        <v>9749</v>
      </c>
    </row>
    <row r="2851" spans="1:7">
      <c r="A2851" t="s">
        <v>10471</v>
      </c>
      <c r="B2851" t="s">
        <v>10472</v>
      </c>
      <c r="C2851" t="s">
        <v>10163</v>
      </c>
      <c r="D2851">
        <v>2313</v>
      </c>
      <c r="E2851" s="208"/>
      <c r="G2851" t="s">
        <v>9749</v>
      </c>
    </row>
    <row r="2852" spans="1:7">
      <c r="A2852" t="s">
        <v>10473</v>
      </c>
      <c r="B2852" t="s">
        <v>10474</v>
      </c>
      <c r="C2852" t="s">
        <v>10301</v>
      </c>
      <c r="D2852">
        <v>346</v>
      </c>
      <c r="E2852" s="208"/>
      <c r="G2852" t="s">
        <v>9749</v>
      </c>
    </row>
    <row r="2853" spans="1:7">
      <c r="A2853" t="s">
        <v>10475</v>
      </c>
      <c r="B2853" t="s">
        <v>10476</v>
      </c>
      <c r="C2853" t="s">
        <v>10477</v>
      </c>
      <c r="D2853">
        <v>346</v>
      </c>
      <c r="E2853" s="208"/>
      <c r="G2853" t="s">
        <v>9749</v>
      </c>
    </row>
    <row r="2854" spans="1:7">
      <c r="A2854" t="s">
        <v>10478</v>
      </c>
      <c r="B2854" t="s">
        <v>10479</v>
      </c>
      <c r="C2854" t="s">
        <v>9849</v>
      </c>
      <c r="D2854">
        <v>414</v>
      </c>
      <c r="E2854" s="208"/>
      <c r="G2854" t="s">
        <v>9749</v>
      </c>
    </row>
    <row r="2855" spans="1:7">
      <c r="A2855" t="s">
        <v>10480</v>
      </c>
      <c r="B2855" t="s">
        <v>10481</v>
      </c>
      <c r="C2855" t="s">
        <v>9849</v>
      </c>
      <c r="D2855">
        <v>414</v>
      </c>
      <c r="E2855" s="208"/>
      <c r="G2855" t="s">
        <v>9749</v>
      </c>
    </row>
    <row r="2856" spans="1:7">
      <c r="A2856" t="s">
        <v>10482</v>
      </c>
      <c r="B2856" t="s">
        <v>10483</v>
      </c>
      <c r="C2856" t="s">
        <v>9849</v>
      </c>
      <c r="D2856">
        <v>213</v>
      </c>
      <c r="E2856" s="208"/>
      <c r="G2856" t="s">
        <v>9749</v>
      </c>
    </row>
    <row r="2857" spans="1:7">
      <c r="A2857" t="s">
        <v>10484</v>
      </c>
      <c r="B2857" t="s">
        <v>10485</v>
      </c>
      <c r="C2857" t="s">
        <v>9860</v>
      </c>
      <c r="D2857">
        <v>2166</v>
      </c>
      <c r="E2857" s="208"/>
      <c r="G2857" t="s">
        <v>9749</v>
      </c>
    </row>
    <row r="2858" spans="1:7">
      <c r="A2858" t="s">
        <v>10486</v>
      </c>
      <c r="B2858" t="s">
        <v>10487</v>
      </c>
      <c r="C2858" t="s">
        <v>10163</v>
      </c>
      <c r="D2858">
        <v>2086</v>
      </c>
      <c r="E2858" s="208"/>
      <c r="G2858" t="s">
        <v>9749</v>
      </c>
    </row>
    <row r="2859" spans="1:7">
      <c r="A2859" t="s">
        <v>10488</v>
      </c>
      <c r="B2859" t="s">
        <v>10489</v>
      </c>
      <c r="C2859" t="s">
        <v>10490</v>
      </c>
      <c r="D2859">
        <v>1579</v>
      </c>
      <c r="E2859" s="208"/>
      <c r="G2859" t="s">
        <v>9749</v>
      </c>
    </row>
    <row r="2860" spans="1:7">
      <c r="A2860" t="s">
        <v>10491</v>
      </c>
      <c r="B2860" t="s">
        <v>10492</v>
      </c>
      <c r="C2860" t="s">
        <v>10490</v>
      </c>
      <c r="D2860">
        <v>3219</v>
      </c>
      <c r="E2860" s="208"/>
      <c r="G2860" t="s">
        <v>9749</v>
      </c>
    </row>
    <row r="2861" spans="1:7">
      <c r="A2861" t="s">
        <v>10493</v>
      </c>
      <c r="B2861" t="s">
        <v>10494</v>
      </c>
      <c r="C2861" t="s">
        <v>10490</v>
      </c>
      <c r="D2861">
        <v>3662</v>
      </c>
      <c r="E2861" s="208"/>
      <c r="G2861" t="s">
        <v>9749</v>
      </c>
    </row>
    <row r="2862" spans="1:7">
      <c r="A2862" t="s">
        <v>10495</v>
      </c>
      <c r="B2862" t="s">
        <v>10496</v>
      </c>
      <c r="C2862" t="s">
        <v>4803</v>
      </c>
      <c r="D2862">
        <v>204</v>
      </c>
      <c r="E2862" s="208"/>
      <c r="G2862" t="s">
        <v>9749</v>
      </c>
    </row>
    <row r="2863" spans="1:7">
      <c r="A2863" t="s">
        <v>10497</v>
      </c>
      <c r="B2863" t="s">
        <v>10498</v>
      </c>
      <c r="C2863" t="s">
        <v>4803</v>
      </c>
      <c r="D2863">
        <v>397</v>
      </c>
      <c r="E2863" s="208"/>
      <c r="G2863" t="s">
        <v>9749</v>
      </c>
    </row>
    <row r="2864" spans="1:7">
      <c r="A2864" t="s">
        <v>10499</v>
      </c>
      <c r="B2864" t="s">
        <v>10500</v>
      </c>
      <c r="C2864" t="s">
        <v>4803</v>
      </c>
      <c r="D2864">
        <v>1145</v>
      </c>
      <c r="E2864" s="208"/>
      <c r="G2864" t="s">
        <v>9749</v>
      </c>
    </row>
    <row r="2865" spans="1:7">
      <c r="A2865" t="s">
        <v>10501</v>
      </c>
      <c r="B2865" t="s">
        <v>10502</v>
      </c>
      <c r="C2865" t="s">
        <v>4803</v>
      </c>
      <c r="D2865">
        <v>2394</v>
      </c>
      <c r="E2865" s="208"/>
      <c r="G2865" t="s">
        <v>9749</v>
      </c>
    </row>
    <row r="2866" spans="1:7">
      <c r="A2866" t="s">
        <v>10503</v>
      </c>
      <c r="B2866" t="s">
        <v>10504</v>
      </c>
      <c r="C2866" t="s">
        <v>4803</v>
      </c>
      <c r="D2866">
        <v>3205</v>
      </c>
      <c r="E2866" s="208"/>
      <c r="G2866" t="s">
        <v>9749</v>
      </c>
    </row>
    <row r="2867" spans="1:7">
      <c r="A2867" t="s">
        <v>10505</v>
      </c>
      <c r="B2867" t="s">
        <v>10506</v>
      </c>
      <c r="C2867" t="s">
        <v>4803</v>
      </c>
      <c r="D2867">
        <v>3205</v>
      </c>
      <c r="E2867" s="208"/>
      <c r="G2867" t="s">
        <v>9749</v>
      </c>
    </row>
    <row r="2868" spans="1:7">
      <c r="A2868" t="s">
        <v>10507</v>
      </c>
      <c r="B2868" t="s">
        <v>10508</v>
      </c>
      <c r="C2868" t="s">
        <v>4803</v>
      </c>
      <c r="D2868">
        <v>3205</v>
      </c>
      <c r="E2868" s="208"/>
      <c r="G2868" t="s">
        <v>9749</v>
      </c>
    </row>
    <row r="2869" spans="1:7">
      <c r="A2869" t="s">
        <v>10509</v>
      </c>
      <c r="B2869" t="s">
        <v>10510</v>
      </c>
      <c r="C2869" t="s">
        <v>4803</v>
      </c>
      <c r="D2869">
        <v>2394</v>
      </c>
      <c r="E2869" s="208"/>
      <c r="G2869" t="s">
        <v>9749</v>
      </c>
    </row>
    <row r="2870" spans="1:7">
      <c r="A2870" t="s">
        <v>10511</v>
      </c>
      <c r="B2870" t="s">
        <v>10512</v>
      </c>
      <c r="C2870" t="s">
        <v>4803</v>
      </c>
      <c r="D2870">
        <v>2394</v>
      </c>
      <c r="E2870" s="208"/>
      <c r="G2870" t="s">
        <v>9749</v>
      </c>
    </row>
    <row r="2871" spans="1:7">
      <c r="A2871" t="s">
        <v>10513</v>
      </c>
      <c r="B2871" t="s">
        <v>10514</v>
      </c>
      <c r="C2871" t="s">
        <v>4803</v>
      </c>
      <c r="D2871">
        <v>3456</v>
      </c>
      <c r="E2871" s="208"/>
      <c r="G2871" t="s">
        <v>9749</v>
      </c>
    </row>
    <row r="2872" spans="1:7">
      <c r="A2872" t="s">
        <v>10515</v>
      </c>
      <c r="B2872" t="s">
        <v>10516</v>
      </c>
      <c r="C2872" t="s">
        <v>4803</v>
      </c>
      <c r="D2872">
        <v>5733</v>
      </c>
      <c r="E2872" s="208"/>
      <c r="G2872" t="s">
        <v>9749</v>
      </c>
    </row>
    <row r="2873" spans="1:7">
      <c r="A2873" t="s">
        <v>10517</v>
      </c>
      <c r="B2873" t="s">
        <v>10518</v>
      </c>
      <c r="C2873" t="s">
        <v>4803</v>
      </c>
      <c r="D2873">
        <v>3003</v>
      </c>
      <c r="E2873" s="208"/>
      <c r="G2873" t="s">
        <v>9749</v>
      </c>
    </row>
    <row r="2874" spans="1:7">
      <c r="A2874" t="s">
        <v>10519</v>
      </c>
      <c r="B2874" t="s">
        <v>10520</v>
      </c>
      <c r="C2874" t="s">
        <v>4803</v>
      </c>
      <c r="D2874">
        <v>3839</v>
      </c>
      <c r="E2874" s="208"/>
      <c r="G2874" t="s">
        <v>9749</v>
      </c>
    </row>
    <row r="2875" spans="1:7">
      <c r="A2875" t="s">
        <v>10521</v>
      </c>
      <c r="B2875" t="s">
        <v>10522</v>
      </c>
      <c r="C2875" t="s">
        <v>4803</v>
      </c>
      <c r="D2875">
        <v>3839</v>
      </c>
      <c r="E2875" s="208"/>
      <c r="G2875" t="s">
        <v>9749</v>
      </c>
    </row>
    <row r="2876" spans="1:7">
      <c r="A2876" t="s">
        <v>10523</v>
      </c>
      <c r="B2876" t="s">
        <v>10524</v>
      </c>
      <c r="C2876" t="s">
        <v>4803</v>
      </c>
      <c r="D2876">
        <v>3839</v>
      </c>
      <c r="E2876" s="208"/>
      <c r="G2876" t="s">
        <v>9749</v>
      </c>
    </row>
    <row r="2877" spans="1:7">
      <c r="A2877" t="s">
        <v>10525</v>
      </c>
      <c r="B2877" t="s">
        <v>10526</v>
      </c>
      <c r="C2877" t="s">
        <v>4803</v>
      </c>
      <c r="D2877">
        <v>3003</v>
      </c>
      <c r="E2877" s="208"/>
      <c r="G2877" t="s">
        <v>9749</v>
      </c>
    </row>
    <row r="2878" spans="1:7">
      <c r="A2878" t="s">
        <v>10527</v>
      </c>
      <c r="B2878" t="s">
        <v>10528</v>
      </c>
      <c r="C2878" t="s">
        <v>4803</v>
      </c>
      <c r="D2878">
        <v>4976</v>
      </c>
      <c r="E2878" s="208"/>
      <c r="G2878" t="s">
        <v>9749</v>
      </c>
    </row>
    <row r="2879" spans="1:7">
      <c r="A2879" t="s">
        <v>10529</v>
      </c>
      <c r="B2879" t="s">
        <v>10530</v>
      </c>
      <c r="C2879" t="s">
        <v>4803</v>
      </c>
      <c r="D2879">
        <v>7047</v>
      </c>
      <c r="E2879" s="208"/>
      <c r="G2879" t="s">
        <v>9749</v>
      </c>
    </row>
    <row r="2880" spans="1:7">
      <c r="A2880" t="s">
        <v>10531</v>
      </c>
      <c r="B2880" t="s">
        <v>10532</v>
      </c>
      <c r="C2880" t="s">
        <v>4803</v>
      </c>
      <c r="D2880">
        <v>3003</v>
      </c>
      <c r="E2880" s="208"/>
      <c r="G2880" t="s">
        <v>9749</v>
      </c>
    </row>
    <row r="2881" spans="1:7">
      <c r="A2881" t="s">
        <v>10533</v>
      </c>
      <c r="B2881" t="s">
        <v>10534</v>
      </c>
      <c r="C2881" t="s">
        <v>4803</v>
      </c>
      <c r="D2881">
        <v>5630</v>
      </c>
      <c r="E2881" s="208"/>
      <c r="G2881" t="s">
        <v>9749</v>
      </c>
    </row>
    <row r="2882" spans="1:7">
      <c r="A2882" t="s">
        <v>10535</v>
      </c>
      <c r="B2882" t="s">
        <v>10536</v>
      </c>
      <c r="C2882" t="s">
        <v>4803</v>
      </c>
      <c r="D2882">
        <v>3836</v>
      </c>
      <c r="E2882" s="208"/>
      <c r="G2882" t="s">
        <v>9749</v>
      </c>
    </row>
    <row r="2883" spans="1:7">
      <c r="A2883" t="s">
        <v>10537</v>
      </c>
      <c r="B2883" t="s">
        <v>10538</v>
      </c>
      <c r="C2883" t="s">
        <v>4803</v>
      </c>
      <c r="D2883">
        <v>5152</v>
      </c>
      <c r="E2883" s="208"/>
      <c r="G2883" t="s">
        <v>9749</v>
      </c>
    </row>
    <row r="2884" spans="1:7">
      <c r="A2884" t="s">
        <v>10539</v>
      </c>
      <c r="B2884" t="s">
        <v>10540</v>
      </c>
      <c r="C2884" t="s">
        <v>4803</v>
      </c>
      <c r="D2884">
        <v>2943</v>
      </c>
      <c r="E2884" s="208"/>
      <c r="G2884" t="s">
        <v>9749</v>
      </c>
    </row>
    <row r="2885" spans="1:7">
      <c r="A2885" t="s">
        <v>10541</v>
      </c>
      <c r="B2885" t="s">
        <v>10542</v>
      </c>
      <c r="C2885" t="s">
        <v>4803</v>
      </c>
      <c r="D2885">
        <v>2943</v>
      </c>
      <c r="E2885" s="208"/>
      <c r="G2885" t="s">
        <v>9749</v>
      </c>
    </row>
    <row r="2886" spans="1:7">
      <c r="A2886" t="s">
        <v>10543</v>
      </c>
      <c r="B2886" t="s">
        <v>10544</v>
      </c>
      <c r="C2886" t="s">
        <v>4803</v>
      </c>
      <c r="D2886">
        <v>2943</v>
      </c>
      <c r="E2886" s="208"/>
      <c r="G2886" t="s">
        <v>9749</v>
      </c>
    </row>
    <row r="2887" spans="1:7">
      <c r="A2887" t="s">
        <v>10545</v>
      </c>
      <c r="B2887" t="s">
        <v>10546</v>
      </c>
      <c r="C2887" t="s">
        <v>4803</v>
      </c>
      <c r="D2887">
        <v>5152</v>
      </c>
      <c r="E2887" s="208"/>
      <c r="G2887" t="s">
        <v>9749</v>
      </c>
    </row>
    <row r="2888" spans="1:7">
      <c r="A2888" t="s">
        <v>10547</v>
      </c>
      <c r="B2888" t="s">
        <v>10548</v>
      </c>
      <c r="C2888" t="s">
        <v>4803</v>
      </c>
      <c r="D2888">
        <v>7805</v>
      </c>
      <c r="E2888" s="208"/>
      <c r="G2888" t="s">
        <v>9749</v>
      </c>
    </row>
    <row r="2889" spans="1:7">
      <c r="A2889" t="s">
        <v>10549</v>
      </c>
      <c r="B2889" t="s">
        <v>10550</v>
      </c>
      <c r="C2889" t="s">
        <v>4803</v>
      </c>
      <c r="D2889">
        <v>4770</v>
      </c>
      <c r="E2889" s="208"/>
      <c r="G2889" t="s">
        <v>9749</v>
      </c>
    </row>
    <row r="2890" spans="1:7">
      <c r="A2890" t="s">
        <v>10551</v>
      </c>
      <c r="B2890" t="s">
        <v>10552</v>
      </c>
      <c r="C2890" t="s">
        <v>4803</v>
      </c>
      <c r="D2890">
        <v>5152</v>
      </c>
      <c r="E2890" s="208"/>
      <c r="G2890" t="s">
        <v>9749</v>
      </c>
    </row>
    <row r="2891" spans="1:7">
      <c r="A2891" t="s">
        <v>10553</v>
      </c>
      <c r="B2891" t="s">
        <v>10554</v>
      </c>
      <c r="C2891" t="s">
        <v>6508</v>
      </c>
      <c r="D2891">
        <v>2940</v>
      </c>
      <c r="E2891" s="208"/>
      <c r="G2891" t="s">
        <v>9749</v>
      </c>
    </row>
    <row r="2892" spans="1:7">
      <c r="A2892" t="s">
        <v>10555</v>
      </c>
      <c r="B2892" t="s">
        <v>10556</v>
      </c>
      <c r="C2892" t="s">
        <v>6508</v>
      </c>
      <c r="D2892">
        <v>2577</v>
      </c>
      <c r="E2892" s="208"/>
      <c r="G2892" t="s">
        <v>9749</v>
      </c>
    </row>
    <row r="2893" spans="1:7">
      <c r="A2893" t="s">
        <v>10557</v>
      </c>
      <c r="B2893" t="s">
        <v>10558</v>
      </c>
      <c r="C2893" t="s">
        <v>6508</v>
      </c>
      <c r="D2893">
        <v>2577</v>
      </c>
      <c r="E2893" s="208"/>
      <c r="G2893" t="s">
        <v>9749</v>
      </c>
    </row>
    <row r="2894" spans="1:7">
      <c r="A2894" t="s">
        <v>10559</v>
      </c>
      <c r="B2894" t="s">
        <v>10560</v>
      </c>
      <c r="C2894" t="s">
        <v>6508</v>
      </c>
      <c r="D2894">
        <v>2577</v>
      </c>
      <c r="E2894" s="208"/>
      <c r="G2894" t="s">
        <v>9749</v>
      </c>
    </row>
    <row r="2895" spans="1:7">
      <c r="A2895" t="s">
        <v>10561</v>
      </c>
      <c r="B2895" t="s">
        <v>10562</v>
      </c>
      <c r="C2895" t="s">
        <v>6508</v>
      </c>
      <c r="D2895">
        <v>318</v>
      </c>
      <c r="E2895" s="208"/>
      <c r="G2895" t="s">
        <v>9749</v>
      </c>
    </row>
    <row r="2896" spans="1:7">
      <c r="A2896" t="s">
        <v>10563</v>
      </c>
      <c r="B2896" t="s">
        <v>10564</v>
      </c>
      <c r="C2896" t="s">
        <v>6508</v>
      </c>
      <c r="D2896">
        <v>318</v>
      </c>
      <c r="E2896" s="208"/>
      <c r="G2896" t="s">
        <v>9749</v>
      </c>
    </row>
    <row r="2897" spans="1:7">
      <c r="A2897" t="s">
        <v>10565</v>
      </c>
      <c r="B2897" t="s">
        <v>10566</v>
      </c>
      <c r="C2897" t="s">
        <v>6508</v>
      </c>
      <c r="D2897">
        <v>318</v>
      </c>
      <c r="E2897" s="208"/>
      <c r="G2897" t="s">
        <v>9749</v>
      </c>
    </row>
    <row r="2898" spans="1:7">
      <c r="A2898" t="s">
        <v>10567</v>
      </c>
      <c r="B2898" t="s">
        <v>10568</v>
      </c>
      <c r="C2898" t="s">
        <v>4803</v>
      </c>
      <c r="D2898">
        <v>937</v>
      </c>
      <c r="E2898" s="208"/>
      <c r="G2898" t="s">
        <v>9749</v>
      </c>
    </row>
    <row r="2899" spans="1:7">
      <c r="A2899" t="s">
        <v>10569</v>
      </c>
      <c r="B2899" t="s">
        <v>10570</v>
      </c>
      <c r="C2899" t="s">
        <v>4803</v>
      </c>
      <c r="D2899">
        <v>997</v>
      </c>
      <c r="E2899" s="208"/>
      <c r="G2899" t="s">
        <v>9749</v>
      </c>
    </row>
    <row r="2900" spans="1:7">
      <c r="A2900" t="s">
        <v>10571</v>
      </c>
      <c r="B2900" t="s">
        <v>10572</v>
      </c>
      <c r="C2900" t="s">
        <v>4803</v>
      </c>
      <c r="D2900">
        <v>2283</v>
      </c>
      <c r="E2900" s="208"/>
      <c r="G2900" t="s">
        <v>9749</v>
      </c>
    </row>
    <row r="2901" spans="1:7">
      <c r="A2901" t="s">
        <v>10573</v>
      </c>
      <c r="B2901" t="s">
        <v>10574</v>
      </c>
      <c r="C2901" t="s">
        <v>4803</v>
      </c>
      <c r="D2901">
        <v>997</v>
      </c>
      <c r="E2901" s="208"/>
      <c r="G2901" t="s">
        <v>9749</v>
      </c>
    </row>
    <row r="2902" spans="1:7">
      <c r="A2902" t="s">
        <v>10575</v>
      </c>
      <c r="B2902" t="s">
        <v>10576</v>
      </c>
      <c r="C2902" t="s">
        <v>6508</v>
      </c>
      <c r="D2902">
        <v>336</v>
      </c>
      <c r="E2902" s="208"/>
      <c r="G2902" t="s">
        <v>9749</v>
      </c>
    </row>
    <row r="2903" spans="1:7">
      <c r="A2903" t="s">
        <v>10577</v>
      </c>
      <c r="B2903" t="s">
        <v>10578</v>
      </c>
      <c r="C2903" t="s">
        <v>6508</v>
      </c>
      <c r="D2903">
        <v>336</v>
      </c>
      <c r="E2903" s="208"/>
      <c r="G2903" t="s">
        <v>9749</v>
      </c>
    </row>
    <row r="2904" spans="1:7">
      <c r="A2904" t="s">
        <v>10579</v>
      </c>
      <c r="B2904" t="s">
        <v>10580</v>
      </c>
      <c r="C2904" t="s">
        <v>6508</v>
      </c>
      <c r="D2904">
        <v>336</v>
      </c>
      <c r="E2904" s="208"/>
      <c r="G2904" t="s">
        <v>9749</v>
      </c>
    </row>
    <row r="2905" spans="1:7">
      <c r="A2905" t="s">
        <v>10581</v>
      </c>
      <c r="B2905" t="s">
        <v>10582</v>
      </c>
      <c r="C2905" t="s">
        <v>6508</v>
      </c>
      <c r="D2905">
        <v>706</v>
      </c>
      <c r="E2905" s="208"/>
      <c r="G2905" t="s">
        <v>9749</v>
      </c>
    </row>
    <row r="2906" spans="1:7">
      <c r="A2906" t="s">
        <v>10583</v>
      </c>
      <c r="B2906" t="s">
        <v>10584</v>
      </c>
      <c r="C2906" t="s">
        <v>6508</v>
      </c>
      <c r="D2906">
        <v>730</v>
      </c>
      <c r="E2906" s="208"/>
      <c r="G2906" t="s">
        <v>9749</v>
      </c>
    </row>
    <row r="2907" spans="1:7">
      <c r="A2907" t="s">
        <v>10585</v>
      </c>
      <c r="B2907" t="s">
        <v>10586</v>
      </c>
      <c r="C2907" t="s">
        <v>6508</v>
      </c>
      <c r="D2907">
        <v>520</v>
      </c>
      <c r="E2907" s="208"/>
      <c r="G2907" t="s">
        <v>9749</v>
      </c>
    </row>
    <row r="2908" spans="1:7">
      <c r="A2908" t="s">
        <v>10587</v>
      </c>
      <c r="B2908" t="s">
        <v>10588</v>
      </c>
      <c r="C2908" t="s">
        <v>6508</v>
      </c>
      <c r="D2908">
        <v>767</v>
      </c>
      <c r="E2908" s="208"/>
      <c r="G2908" t="s">
        <v>9749</v>
      </c>
    </row>
    <row r="2909" spans="1:7">
      <c r="A2909" t="s">
        <v>10589</v>
      </c>
      <c r="B2909" t="s">
        <v>10590</v>
      </c>
      <c r="C2909" t="s">
        <v>6508</v>
      </c>
      <c r="D2909">
        <v>601</v>
      </c>
      <c r="E2909" s="208"/>
      <c r="G2909" t="s">
        <v>9749</v>
      </c>
    </row>
    <row r="2910" spans="1:7">
      <c r="A2910" t="s">
        <v>10591</v>
      </c>
      <c r="B2910" t="s">
        <v>10592</v>
      </c>
      <c r="C2910" t="s">
        <v>6508</v>
      </c>
      <c r="D2910">
        <v>601</v>
      </c>
      <c r="E2910" s="208"/>
      <c r="G2910" t="s">
        <v>9749</v>
      </c>
    </row>
    <row r="2911" spans="1:7">
      <c r="A2911" t="s">
        <v>10593</v>
      </c>
      <c r="B2911" t="s">
        <v>10594</v>
      </c>
      <c r="C2911" t="s">
        <v>6508</v>
      </c>
      <c r="D2911">
        <v>601</v>
      </c>
      <c r="E2911" s="208"/>
      <c r="G2911" t="s">
        <v>9749</v>
      </c>
    </row>
    <row r="2912" spans="1:7">
      <c r="A2912" t="s">
        <v>10595</v>
      </c>
      <c r="B2912" t="s">
        <v>10596</v>
      </c>
      <c r="C2912" t="s">
        <v>6508</v>
      </c>
      <c r="D2912">
        <v>838</v>
      </c>
      <c r="E2912" s="208"/>
      <c r="G2912" t="s">
        <v>9749</v>
      </c>
    </row>
    <row r="2913" spans="1:7">
      <c r="A2913" t="s">
        <v>10597</v>
      </c>
      <c r="B2913" t="s">
        <v>10598</v>
      </c>
      <c r="C2913" t="s">
        <v>6508</v>
      </c>
      <c r="D2913">
        <v>1043</v>
      </c>
      <c r="E2913" s="208"/>
      <c r="G2913" t="s">
        <v>9749</v>
      </c>
    </row>
    <row r="2914" spans="1:7">
      <c r="A2914" t="s">
        <v>10599</v>
      </c>
      <c r="B2914" t="s">
        <v>10600</v>
      </c>
      <c r="C2914" t="s">
        <v>4803</v>
      </c>
      <c r="D2914">
        <v>690</v>
      </c>
      <c r="E2914" s="208"/>
      <c r="G2914" t="s">
        <v>9749</v>
      </c>
    </row>
    <row r="2915" spans="1:7">
      <c r="A2915" t="s">
        <v>10601</v>
      </c>
      <c r="B2915" t="s">
        <v>10602</v>
      </c>
      <c r="C2915" t="s">
        <v>4803</v>
      </c>
      <c r="D2915">
        <v>690</v>
      </c>
      <c r="E2915" s="208"/>
      <c r="G2915" t="s">
        <v>9749</v>
      </c>
    </row>
    <row r="2916" spans="1:7">
      <c r="A2916" t="s">
        <v>10603</v>
      </c>
      <c r="B2916" t="s">
        <v>10604</v>
      </c>
      <c r="C2916" t="s">
        <v>4803</v>
      </c>
      <c r="D2916">
        <v>690</v>
      </c>
      <c r="E2916" s="208"/>
      <c r="G2916" t="s">
        <v>9749</v>
      </c>
    </row>
    <row r="2917" spans="1:7">
      <c r="A2917" t="s">
        <v>10605</v>
      </c>
      <c r="B2917" t="s">
        <v>10606</v>
      </c>
      <c r="C2917" t="s">
        <v>6508</v>
      </c>
      <c r="D2917">
        <v>711</v>
      </c>
      <c r="E2917" s="208"/>
      <c r="G2917" t="s">
        <v>9749</v>
      </c>
    </row>
    <row r="2918" spans="1:7">
      <c r="A2918" t="s">
        <v>10607</v>
      </c>
      <c r="B2918" t="s">
        <v>10608</v>
      </c>
      <c r="C2918" t="s">
        <v>6508</v>
      </c>
      <c r="D2918">
        <v>711</v>
      </c>
      <c r="E2918" s="208"/>
      <c r="G2918" t="s">
        <v>9749</v>
      </c>
    </row>
    <row r="2919" spans="1:7">
      <c r="A2919" t="s">
        <v>10609</v>
      </c>
      <c r="B2919" t="s">
        <v>10610</v>
      </c>
      <c r="C2919" t="s">
        <v>6508</v>
      </c>
      <c r="D2919">
        <v>711</v>
      </c>
      <c r="E2919" s="208"/>
      <c r="G2919" t="s">
        <v>9749</v>
      </c>
    </row>
    <row r="2920" spans="1:7">
      <c r="A2920" t="s">
        <v>10611</v>
      </c>
      <c r="B2920" t="s">
        <v>10612</v>
      </c>
      <c r="C2920" t="s">
        <v>9849</v>
      </c>
      <c r="D2920">
        <v>876</v>
      </c>
      <c r="E2920" s="208"/>
      <c r="G2920" t="s">
        <v>9749</v>
      </c>
    </row>
    <row r="2921" spans="1:7">
      <c r="A2921" t="s">
        <v>10613</v>
      </c>
      <c r="B2921" t="s">
        <v>10614</v>
      </c>
      <c r="C2921" t="s">
        <v>9849</v>
      </c>
      <c r="D2921">
        <v>721</v>
      </c>
      <c r="E2921" s="208"/>
      <c r="G2921" t="s">
        <v>9749</v>
      </c>
    </row>
    <row r="2922" spans="1:7">
      <c r="A2922" t="s">
        <v>10615</v>
      </c>
      <c r="B2922" t="s">
        <v>10616</v>
      </c>
      <c r="C2922" t="s">
        <v>9849</v>
      </c>
      <c r="D2922">
        <v>721</v>
      </c>
      <c r="E2922" s="208"/>
      <c r="G2922" t="s">
        <v>9749</v>
      </c>
    </row>
    <row r="2923" spans="1:7">
      <c r="A2923" t="s">
        <v>10617</v>
      </c>
      <c r="B2923" t="s">
        <v>10618</v>
      </c>
      <c r="C2923" t="s">
        <v>4845</v>
      </c>
      <c r="D2923">
        <v>637</v>
      </c>
      <c r="E2923" s="208"/>
      <c r="G2923" t="s">
        <v>9749</v>
      </c>
    </row>
    <row r="2924" spans="1:7">
      <c r="A2924" t="s">
        <v>10619</v>
      </c>
      <c r="B2924" t="s">
        <v>10620</v>
      </c>
      <c r="C2924" t="s">
        <v>6508</v>
      </c>
      <c r="D2924">
        <v>2699</v>
      </c>
      <c r="E2924" s="208"/>
      <c r="G2924" t="s">
        <v>9749</v>
      </c>
    </row>
    <row r="2925" spans="1:7">
      <c r="A2925" t="s">
        <v>10621</v>
      </c>
      <c r="B2925" t="s">
        <v>10622</v>
      </c>
      <c r="C2925" t="s">
        <v>4803</v>
      </c>
      <c r="D2925">
        <v>1774</v>
      </c>
      <c r="E2925" s="208"/>
      <c r="G2925" t="s">
        <v>9749</v>
      </c>
    </row>
    <row r="2926" spans="1:7">
      <c r="A2926" t="s">
        <v>10623</v>
      </c>
      <c r="B2926" t="s">
        <v>10624</v>
      </c>
      <c r="C2926" t="s">
        <v>4803</v>
      </c>
      <c r="D2926">
        <v>1747</v>
      </c>
      <c r="E2926" s="208"/>
      <c r="G2926" t="s">
        <v>9749</v>
      </c>
    </row>
    <row r="2927" spans="1:7">
      <c r="A2927" t="s">
        <v>10625</v>
      </c>
      <c r="B2927" t="s">
        <v>10626</v>
      </c>
      <c r="C2927" t="s">
        <v>9849</v>
      </c>
      <c r="D2927">
        <v>771</v>
      </c>
      <c r="E2927" s="208"/>
      <c r="G2927" t="s">
        <v>9749</v>
      </c>
    </row>
    <row r="2928" spans="1:7">
      <c r="A2928" t="s">
        <v>10627</v>
      </c>
      <c r="B2928" t="s">
        <v>10628</v>
      </c>
      <c r="C2928" t="s">
        <v>4803</v>
      </c>
      <c r="D2928">
        <v>1202</v>
      </c>
      <c r="E2928" s="208"/>
      <c r="G2928" t="s">
        <v>9749</v>
      </c>
    </row>
    <row r="2929" spans="1:7">
      <c r="A2929" t="s">
        <v>10629</v>
      </c>
      <c r="B2929" t="s">
        <v>10630</v>
      </c>
      <c r="C2929" t="s">
        <v>4803</v>
      </c>
      <c r="D2929">
        <v>1608</v>
      </c>
      <c r="E2929" s="208"/>
      <c r="G2929" t="s">
        <v>9749</v>
      </c>
    </row>
    <row r="2930" spans="1:7">
      <c r="A2930" t="s">
        <v>10631</v>
      </c>
      <c r="B2930" t="s">
        <v>10632</v>
      </c>
      <c r="C2930" t="s">
        <v>4803</v>
      </c>
      <c r="D2930">
        <v>1608</v>
      </c>
      <c r="E2930" s="208"/>
      <c r="G2930" t="s">
        <v>9749</v>
      </c>
    </row>
    <row r="2931" spans="1:7">
      <c r="A2931" t="s">
        <v>10633</v>
      </c>
      <c r="B2931" t="s">
        <v>10634</v>
      </c>
      <c r="C2931" t="s">
        <v>4803</v>
      </c>
      <c r="D2931">
        <v>1608</v>
      </c>
      <c r="E2931" s="208"/>
      <c r="G2931" t="s">
        <v>9749</v>
      </c>
    </row>
    <row r="2932" spans="1:7">
      <c r="A2932" t="s">
        <v>10635</v>
      </c>
      <c r="B2932" t="s">
        <v>10636</v>
      </c>
      <c r="C2932" t="s">
        <v>4803</v>
      </c>
      <c r="D2932">
        <v>1202</v>
      </c>
      <c r="E2932" s="208"/>
      <c r="G2932" t="s">
        <v>9749</v>
      </c>
    </row>
    <row r="2933" spans="1:7">
      <c r="A2933" t="s">
        <v>10637</v>
      </c>
      <c r="B2933" t="s">
        <v>10638</v>
      </c>
      <c r="C2933" t="s">
        <v>4803</v>
      </c>
      <c r="D2933">
        <v>1202</v>
      </c>
      <c r="E2933" s="208"/>
      <c r="G2933" t="s">
        <v>9749</v>
      </c>
    </row>
    <row r="2934" spans="1:7">
      <c r="A2934" t="s">
        <v>10639</v>
      </c>
      <c r="B2934" t="s">
        <v>10640</v>
      </c>
      <c r="C2934" t="s">
        <v>4803</v>
      </c>
      <c r="D2934">
        <v>1734</v>
      </c>
      <c r="E2934" s="208"/>
      <c r="G2934" t="s">
        <v>9749</v>
      </c>
    </row>
    <row r="2935" spans="1:7">
      <c r="A2935" t="s">
        <v>10641</v>
      </c>
      <c r="B2935" t="s">
        <v>10642</v>
      </c>
      <c r="C2935" t="s">
        <v>4803</v>
      </c>
      <c r="D2935">
        <v>2868</v>
      </c>
      <c r="E2935" s="208"/>
      <c r="G2935" t="s">
        <v>9749</v>
      </c>
    </row>
    <row r="2936" spans="1:7">
      <c r="A2936" t="s">
        <v>10643</v>
      </c>
      <c r="B2936" t="s">
        <v>10644</v>
      </c>
      <c r="C2936" t="s">
        <v>4803</v>
      </c>
      <c r="D2936">
        <v>1504</v>
      </c>
      <c r="E2936" s="208"/>
      <c r="G2936" t="s">
        <v>9749</v>
      </c>
    </row>
    <row r="2937" spans="1:7">
      <c r="A2937" t="s">
        <v>10645</v>
      </c>
      <c r="B2937" t="s">
        <v>10646</v>
      </c>
      <c r="C2937" t="s">
        <v>4803</v>
      </c>
      <c r="D2937">
        <v>1922</v>
      </c>
      <c r="E2937" s="208"/>
      <c r="G2937" t="s">
        <v>9749</v>
      </c>
    </row>
    <row r="2938" spans="1:7">
      <c r="A2938" t="s">
        <v>10647</v>
      </c>
      <c r="B2938" t="s">
        <v>10648</v>
      </c>
      <c r="C2938" t="s">
        <v>4803</v>
      </c>
      <c r="D2938">
        <v>1922</v>
      </c>
      <c r="E2938" s="208"/>
      <c r="G2938" t="s">
        <v>9749</v>
      </c>
    </row>
    <row r="2939" spans="1:7">
      <c r="A2939" t="s">
        <v>10649</v>
      </c>
      <c r="B2939" t="s">
        <v>10650</v>
      </c>
      <c r="C2939" t="s">
        <v>4803</v>
      </c>
      <c r="D2939">
        <v>1922</v>
      </c>
      <c r="E2939" s="208"/>
      <c r="G2939" t="s">
        <v>9749</v>
      </c>
    </row>
    <row r="2940" spans="1:7">
      <c r="A2940" t="s">
        <v>10651</v>
      </c>
      <c r="B2940" t="s">
        <v>10652</v>
      </c>
      <c r="C2940" t="s">
        <v>4803</v>
      </c>
      <c r="D2940">
        <v>1504</v>
      </c>
      <c r="E2940" s="208"/>
      <c r="G2940" t="s">
        <v>9749</v>
      </c>
    </row>
    <row r="2941" spans="1:7">
      <c r="A2941" t="s">
        <v>10653</v>
      </c>
      <c r="B2941" t="s">
        <v>10654</v>
      </c>
      <c r="C2941" t="s">
        <v>4803</v>
      </c>
      <c r="D2941">
        <v>2490</v>
      </c>
      <c r="E2941" s="208"/>
      <c r="G2941" t="s">
        <v>9749</v>
      </c>
    </row>
    <row r="2942" spans="1:7">
      <c r="A2942" t="s">
        <v>10655</v>
      </c>
      <c r="B2942" t="s">
        <v>10656</v>
      </c>
      <c r="C2942" t="s">
        <v>4803</v>
      </c>
      <c r="D2942">
        <v>3526</v>
      </c>
      <c r="E2942" s="208"/>
      <c r="G2942" t="s">
        <v>9749</v>
      </c>
    </row>
    <row r="2943" spans="1:7">
      <c r="A2943" t="s">
        <v>10657</v>
      </c>
      <c r="B2943" t="s">
        <v>10658</v>
      </c>
      <c r="C2943" t="s">
        <v>4803</v>
      </c>
      <c r="D2943">
        <v>1504</v>
      </c>
      <c r="E2943" s="208"/>
      <c r="G2943" t="s">
        <v>9749</v>
      </c>
    </row>
    <row r="2944" spans="1:7">
      <c r="A2944" t="s">
        <v>10659</v>
      </c>
      <c r="B2944" t="s">
        <v>10660</v>
      </c>
      <c r="C2944" t="s">
        <v>4803</v>
      </c>
      <c r="D2944">
        <v>2819</v>
      </c>
      <c r="E2944" s="208"/>
      <c r="G2944" t="s">
        <v>9749</v>
      </c>
    </row>
    <row r="2945" spans="1:7">
      <c r="A2945" t="s">
        <v>10661</v>
      </c>
      <c r="B2945" t="s">
        <v>10662</v>
      </c>
      <c r="C2945" t="s">
        <v>4803</v>
      </c>
      <c r="D2945">
        <v>1921</v>
      </c>
      <c r="E2945" s="208"/>
      <c r="G2945" t="s">
        <v>9749</v>
      </c>
    </row>
    <row r="2946" spans="1:7">
      <c r="A2946" t="s">
        <v>10663</v>
      </c>
      <c r="B2946" t="s">
        <v>10664</v>
      </c>
      <c r="C2946" t="s">
        <v>4803</v>
      </c>
      <c r="D2946">
        <v>2578</v>
      </c>
      <c r="E2946" s="208"/>
      <c r="G2946" t="s">
        <v>9749</v>
      </c>
    </row>
    <row r="2947" spans="1:7">
      <c r="A2947" t="s">
        <v>10665</v>
      </c>
      <c r="B2947" t="s">
        <v>10666</v>
      </c>
      <c r="C2947" t="s">
        <v>4803</v>
      </c>
      <c r="D2947">
        <v>1472</v>
      </c>
      <c r="E2947" s="208"/>
      <c r="G2947" t="s">
        <v>9749</v>
      </c>
    </row>
    <row r="2948" spans="1:7">
      <c r="A2948" t="s">
        <v>10667</v>
      </c>
      <c r="B2948" t="s">
        <v>10668</v>
      </c>
      <c r="C2948" t="s">
        <v>4803</v>
      </c>
      <c r="D2948">
        <v>1472</v>
      </c>
      <c r="E2948" s="208"/>
      <c r="G2948" t="s">
        <v>9749</v>
      </c>
    </row>
    <row r="2949" spans="1:7">
      <c r="A2949" t="s">
        <v>10669</v>
      </c>
      <c r="B2949" t="s">
        <v>10670</v>
      </c>
      <c r="C2949" t="s">
        <v>4803</v>
      </c>
      <c r="D2949">
        <v>1472</v>
      </c>
      <c r="E2949" s="208"/>
      <c r="G2949" t="s">
        <v>9749</v>
      </c>
    </row>
    <row r="2950" spans="1:7">
      <c r="A2950" t="s">
        <v>10671</v>
      </c>
      <c r="B2950" t="s">
        <v>10672</v>
      </c>
      <c r="C2950" t="s">
        <v>4803</v>
      </c>
      <c r="D2950">
        <v>2578</v>
      </c>
      <c r="E2950" s="208"/>
      <c r="G2950" t="s">
        <v>9749</v>
      </c>
    </row>
    <row r="2951" spans="1:7">
      <c r="A2951" t="s">
        <v>10673</v>
      </c>
      <c r="B2951" t="s">
        <v>10674</v>
      </c>
      <c r="C2951" t="s">
        <v>4803</v>
      </c>
      <c r="D2951">
        <v>3907</v>
      </c>
      <c r="E2951" s="208"/>
      <c r="G2951" t="s">
        <v>9749</v>
      </c>
    </row>
    <row r="2952" spans="1:7">
      <c r="A2952" t="s">
        <v>10675</v>
      </c>
      <c r="B2952" t="s">
        <v>10676</v>
      </c>
      <c r="C2952" t="s">
        <v>4803</v>
      </c>
      <c r="D2952">
        <v>2387</v>
      </c>
      <c r="E2952" s="208"/>
      <c r="G2952" t="s">
        <v>9749</v>
      </c>
    </row>
    <row r="2953" spans="1:7">
      <c r="A2953" t="s">
        <v>10677</v>
      </c>
      <c r="B2953" t="s">
        <v>10678</v>
      </c>
      <c r="C2953" t="s">
        <v>4803</v>
      </c>
      <c r="D2953">
        <v>2578</v>
      </c>
      <c r="E2953" s="208"/>
      <c r="G2953" t="s">
        <v>9749</v>
      </c>
    </row>
    <row r="2954" spans="1:7">
      <c r="A2954" t="s">
        <v>10679</v>
      </c>
      <c r="B2954" t="s">
        <v>10680</v>
      </c>
      <c r="C2954" t="s">
        <v>9849</v>
      </c>
      <c r="D2954">
        <v>425</v>
      </c>
      <c r="E2954" s="208"/>
      <c r="G2954" t="s">
        <v>9749</v>
      </c>
    </row>
    <row r="2955" spans="1:7">
      <c r="A2955" t="s">
        <v>10681</v>
      </c>
      <c r="B2955" t="s">
        <v>10682</v>
      </c>
      <c r="C2955" t="s">
        <v>6508</v>
      </c>
      <c r="D2955">
        <v>958</v>
      </c>
      <c r="E2955" s="208"/>
      <c r="G2955" t="s">
        <v>9749</v>
      </c>
    </row>
    <row r="2956" spans="1:7">
      <c r="A2956" t="s">
        <v>10683</v>
      </c>
      <c r="B2956" t="s">
        <v>10684</v>
      </c>
      <c r="C2956" t="s">
        <v>4803</v>
      </c>
      <c r="D2956">
        <v>333</v>
      </c>
      <c r="E2956" s="208"/>
      <c r="G2956" t="s">
        <v>9749</v>
      </c>
    </row>
    <row r="2957" spans="1:7">
      <c r="A2957" t="s">
        <v>10685</v>
      </c>
      <c r="B2957" t="s">
        <v>10686</v>
      </c>
      <c r="C2957" t="s">
        <v>4803</v>
      </c>
      <c r="D2957">
        <v>503</v>
      </c>
      <c r="E2957" s="208"/>
      <c r="G2957" t="s">
        <v>9749</v>
      </c>
    </row>
    <row r="2958" spans="1:7">
      <c r="A2958" t="s">
        <v>10687</v>
      </c>
      <c r="B2958" t="s">
        <v>10688</v>
      </c>
      <c r="C2958" t="s">
        <v>4803</v>
      </c>
      <c r="D2958">
        <v>500</v>
      </c>
      <c r="E2958" s="208"/>
      <c r="G2958" t="s">
        <v>9749</v>
      </c>
    </row>
    <row r="2959" spans="1:7">
      <c r="A2959" t="s">
        <v>10689</v>
      </c>
      <c r="B2959" t="s">
        <v>10690</v>
      </c>
      <c r="C2959" t="s">
        <v>4803</v>
      </c>
      <c r="D2959">
        <v>666</v>
      </c>
      <c r="E2959" s="208"/>
      <c r="G2959" t="s">
        <v>9749</v>
      </c>
    </row>
    <row r="2960" spans="1:7">
      <c r="A2960" t="s">
        <v>10691</v>
      </c>
      <c r="B2960" t="s">
        <v>10692</v>
      </c>
      <c r="C2960" t="s">
        <v>4803</v>
      </c>
      <c r="D2960">
        <v>750</v>
      </c>
      <c r="E2960" s="208"/>
      <c r="G2960" t="s">
        <v>9749</v>
      </c>
    </row>
    <row r="2961" spans="1:7">
      <c r="A2961" t="s">
        <v>10693</v>
      </c>
      <c r="B2961" t="s">
        <v>10694</v>
      </c>
      <c r="C2961" t="s">
        <v>4803</v>
      </c>
      <c r="D2961">
        <v>993</v>
      </c>
      <c r="E2961" s="208"/>
      <c r="G2961" t="s">
        <v>9749</v>
      </c>
    </row>
    <row r="2962" spans="1:7">
      <c r="A2962" t="s">
        <v>10695</v>
      </c>
      <c r="B2962" t="s">
        <v>10696</v>
      </c>
      <c r="C2962" t="s">
        <v>4803</v>
      </c>
      <c r="D2962">
        <v>2597</v>
      </c>
      <c r="E2962" s="208"/>
      <c r="G2962" t="s">
        <v>9749</v>
      </c>
    </row>
    <row r="2963" spans="1:7">
      <c r="A2963" t="s">
        <v>10697</v>
      </c>
      <c r="B2963" t="s">
        <v>10698</v>
      </c>
      <c r="C2963" t="s">
        <v>4845</v>
      </c>
      <c r="D2963">
        <v>2150</v>
      </c>
      <c r="E2963" s="208"/>
      <c r="G2963" t="s">
        <v>9749</v>
      </c>
    </row>
    <row r="2964" spans="1:7">
      <c r="A2964" t="s">
        <v>10699</v>
      </c>
      <c r="B2964" t="s">
        <v>10700</v>
      </c>
      <c r="C2964" t="s">
        <v>4845</v>
      </c>
      <c r="D2964">
        <v>3900</v>
      </c>
      <c r="E2964" s="208"/>
      <c r="G2964" t="s">
        <v>9749</v>
      </c>
    </row>
    <row r="2965" spans="1:7">
      <c r="A2965" t="s">
        <v>10701</v>
      </c>
      <c r="B2965" t="s">
        <v>10702</v>
      </c>
      <c r="C2965" t="s">
        <v>4845</v>
      </c>
      <c r="D2965">
        <v>5500</v>
      </c>
      <c r="E2965" s="208"/>
      <c r="G2965" t="s">
        <v>9749</v>
      </c>
    </row>
    <row r="2966" spans="1:7">
      <c r="A2966" t="s">
        <v>10703</v>
      </c>
      <c r="B2966" t="s">
        <v>10704</v>
      </c>
      <c r="C2966" t="s">
        <v>4845</v>
      </c>
      <c r="D2966">
        <v>600</v>
      </c>
      <c r="E2966" s="208"/>
      <c r="G2966" t="s">
        <v>9749</v>
      </c>
    </row>
    <row r="2967" spans="1:7">
      <c r="A2967" t="s">
        <v>10705</v>
      </c>
      <c r="B2967" t="s">
        <v>10706</v>
      </c>
      <c r="C2967" t="s">
        <v>10707</v>
      </c>
      <c r="D2967">
        <v>3000</v>
      </c>
      <c r="E2967" s="208"/>
      <c r="G2967" t="s">
        <v>9749</v>
      </c>
    </row>
    <row r="2968" spans="1:7">
      <c r="A2968" t="s">
        <v>10708</v>
      </c>
      <c r="B2968" t="s">
        <v>10709</v>
      </c>
      <c r="C2968" t="s">
        <v>4845</v>
      </c>
      <c r="D2968">
        <v>500</v>
      </c>
      <c r="E2968" s="208"/>
      <c r="G2968" t="s">
        <v>9749</v>
      </c>
    </row>
    <row r="2969" spans="1:7">
      <c r="A2969" t="s">
        <v>10710</v>
      </c>
      <c r="B2969" t="s">
        <v>10711</v>
      </c>
      <c r="C2969" t="s">
        <v>4845</v>
      </c>
      <c r="D2969">
        <v>165</v>
      </c>
      <c r="E2969" s="208"/>
      <c r="G2969" t="s">
        <v>9749</v>
      </c>
    </row>
    <row r="2970" spans="1:7">
      <c r="A2970" t="s">
        <v>10712</v>
      </c>
      <c r="B2970" t="s">
        <v>10713</v>
      </c>
      <c r="C2970" t="s">
        <v>9849</v>
      </c>
      <c r="D2970">
        <v>1031</v>
      </c>
      <c r="E2970" s="208"/>
      <c r="G2970" t="s">
        <v>9749</v>
      </c>
    </row>
    <row r="2971" spans="1:7">
      <c r="A2971" t="s">
        <v>10714</v>
      </c>
      <c r="B2971" t="s">
        <v>10715</v>
      </c>
      <c r="C2971" t="s">
        <v>9849</v>
      </c>
      <c r="D2971">
        <v>1031</v>
      </c>
      <c r="E2971" s="208"/>
      <c r="G2971" t="s">
        <v>9749</v>
      </c>
    </row>
    <row r="2972" spans="1:7">
      <c r="A2972" t="s">
        <v>10716</v>
      </c>
      <c r="B2972" t="s">
        <v>10717</v>
      </c>
      <c r="C2972" t="s">
        <v>9849</v>
      </c>
      <c r="D2972">
        <v>1031</v>
      </c>
      <c r="E2972" s="208"/>
      <c r="G2972" t="s">
        <v>9749</v>
      </c>
    </row>
    <row r="2973" spans="1:7">
      <c r="A2973" t="s">
        <v>10718</v>
      </c>
      <c r="B2973" t="s">
        <v>10719</v>
      </c>
      <c r="C2973" t="s">
        <v>9849</v>
      </c>
      <c r="D2973">
        <v>1031</v>
      </c>
      <c r="E2973" s="208"/>
      <c r="G2973" t="s">
        <v>9749</v>
      </c>
    </row>
    <row r="2974" spans="1:7">
      <c r="A2974" t="s">
        <v>10720</v>
      </c>
      <c r="B2974" t="s">
        <v>10721</v>
      </c>
      <c r="C2974" t="s">
        <v>10032</v>
      </c>
      <c r="D2974">
        <v>406</v>
      </c>
      <c r="E2974" s="208"/>
      <c r="G2974" t="s">
        <v>9749</v>
      </c>
    </row>
    <row r="2975" spans="1:7">
      <c r="A2975" t="s">
        <v>10722</v>
      </c>
      <c r="B2975" t="s">
        <v>10723</v>
      </c>
      <c r="C2975" t="s">
        <v>9849</v>
      </c>
      <c r="D2975">
        <v>1001</v>
      </c>
      <c r="E2975" s="208"/>
      <c r="G2975" t="s">
        <v>9749</v>
      </c>
    </row>
    <row r="2976" spans="1:7">
      <c r="A2976" t="s">
        <v>10724</v>
      </c>
      <c r="B2976" t="s">
        <v>10725</v>
      </c>
      <c r="C2976" t="s">
        <v>10032</v>
      </c>
      <c r="D2976">
        <v>269</v>
      </c>
      <c r="E2976" s="208"/>
      <c r="G2976" t="s">
        <v>9749</v>
      </c>
    </row>
    <row r="2977" spans="1:7">
      <c r="A2977" t="s">
        <v>10726</v>
      </c>
      <c r="B2977" t="s">
        <v>10727</v>
      </c>
      <c r="C2977" t="s">
        <v>9849</v>
      </c>
      <c r="D2977">
        <v>646</v>
      </c>
      <c r="E2977" s="208"/>
      <c r="G2977" t="s">
        <v>9749</v>
      </c>
    </row>
    <row r="2978" spans="1:7">
      <c r="A2978" t="s">
        <v>10728</v>
      </c>
      <c r="B2978" t="s">
        <v>10729</v>
      </c>
      <c r="C2978" t="s">
        <v>10032</v>
      </c>
      <c r="D2978">
        <v>428</v>
      </c>
      <c r="E2978" s="208"/>
      <c r="G2978" t="s">
        <v>9749</v>
      </c>
    </row>
    <row r="2979" spans="1:7">
      <c r="A2979" t="s">
        <v>10730</v>
      </c>
      <c r="B2979" t="s">
        <v>10731</v>
      </c>
      <c r="C2979" t="s">
        <v>9849</v>
      </c>
      <c r="D2979">
        <v>1056</v>
      </c>
      <c r="E2979" s="208"/>
      <c r="G2979" t="s">
        <v>9749</v>
      </c>
    </row>
    <row r="2980" spans="1:7">
      <c r="A2980" t="s">
        <v>10732</v>
      </c>
      <c r="B2980" t="s">
        <v>10733</v>
      </c>
      <c r="C2980" t="s">
        <v>6508</v>
      </c>
      <c r="D2980">
        <v>641</v>
      </c>
      <c r="E2980" s="208"/>
      <c r="G2980" t="s">
        <v>9749</v>
      </c>
    </row>
    <row r="2981" spans="1:7">
      <c r="A2981" t="s">
        <v>10734</v>
      </c>
      <c r="B2981" t="s">
        <v>10735</v>
      </c>
      <c r="C2981" t="s">
        <v>9846</v>
      </c>
      <c r="D2981">
        <v>185</v>
      </c>
      <c r="E2981" s="208"/>
      <c r="G2981" t="s">
        <v>9749</v>
      </c>
    </row>
    <row r="2982" spans="1:7">
      <c r="A2982" t="s">
        <v>10736</v>
      </c>
      <c r="B2982" t="s">
        <v>10737</v>
      </c>
      <c r="C2982" t="s">
        <v>9849</v>
      </c>
      <c r="D2982">
        <v>819</v>
      </c>
      <c r="E2982" s="208"/>
      <c r="G2982" t="s">
        <v>9749</v>
      </c>
    </row>
    <row r="2983" spans="1:7">
      <c r="A2983" t="s">
        <v>10738</v>
      </c>
      <c r="B2983" t="s">
        <v>10739</v>
      </c>
      <c r="C2983" t="s">
        <v>6508</v>
      </c>
      <c r="D2983">
        <v>1218</v>
      </c>
      <c r="E2983" s="208"/>
      <c r="G2983" t="s">
        <v>9749</v>
      </c>
    </row>
    <row r="2984" spans="1:7">
      <c r="A2984" t="s">
        <v>10740</v>
      </c>
      <c r="B2984" t="s">
        <v>10741</v>
      </c>
      <c r="C2984" t="s">
        <v>6508</v>
      </c>
      <c r="D2984">
        <v>1218</v>
      </c>
      <c r="E2984" s="208"/>
      <c r="G2984" t="s">
        <v>9749</v>
      </c>
    </row>
    <row r="2985" spans="1:7">
      <c r="A2985" t="s">
        <v>10742</v>
      </c>
      <c r="B2985" t="s">
        <v>10743</v>
      </c>
      <c r="C2985" t="s">
        <v>6508</v>
      </c>
      <c r="D2985">
        <v>1389</v>
      </c>
      <c r="E2985" s="208"/>
      <c r="G2985" t="s">
        <v>9749</v>
      </c>
    </row>
    <row r="2986" spans="1:7">
      <c r="A2986" t="s">
        <v>10744</v>
      </c>
      <c r="B2986" t="s">
        <v>10745</v>
      </c>
      <c r="C2986" t="s">
        <v>6508</v>
      </c>
      <c r="D2986">
        <v>1389</v>
      </c>
      <c r="E2986" s="208"/>
      <c r="G2986" t="s">
        <v>9749</v>
      </c>
    </row>
    <row r="2987" spans="1:7">
      <c r="A2987" t="s">
        <v>10746</v>
      </c>
      <c r="B2987" t="s">
        <v>10747</v>
      </c>
      <c r="C2987" t="s">
        <v>6508</v>
      </c>
      <c r="D2987">
        <v>584</v>
      </c>
      <c r="E2987" s="208"/>
      <c r="G2987" t="s">
        <v>9749</v>
      </c>
    </row>
    <row r="2988" spans="1:7">
      <c r="A2988" t="s">
        <v>10748</v>
      </c>
      <c r="B2988" t="s">
        <v>10749</v>
      </c>
      <c r="C2988" t="s">
        <v>6508</v>
      </c>
      <c r="D2988">
        <v>584</v>
      </c>
      <c r="E2988" s="208"/>
      <c r="G2988" t="s">
        <v>9749</v>
      </c>
    </row>
    <row r="2989" spans="1:7">
      <c r="A2989" t="s">
        <v>10750</v>
      </c>
      <c r="B2989" t="s">
        <v>10751</v>
      </c>
      <c r="C2989" t="s">
        <v>4845</v>
      </c>
      <c r="D2989">
        <v>741</v>
      </c>
      <c r="E2989" s="208"/>
      <c r="G2989" t="s">
        <v>9749</v>
      </c>
    </row>
    <row r="2990" spans="1:7">
      <c r="A2990" t="s">
        <v>10752</v>
      </c>
      <c r="B2990" t="s">
        <v>10753</v>
      </c>
      <c r="C2990" t="s">
        <v>4803</v>
      </c>
      <c r="D2990">
        <v>422</v>
      </c>
      <c r="E2990" s="208"/>
      <c r="G2990" t="s">
        <v>9749</v>
      </c>
    </row>
    <row r="2991" spans="1:7">
      <c r="A2991" t="s">
        <v>10754</v>
      </c>
      <c r="B2991" t="s">
        <v>10755</v>
      </c>
      <c r="C2991" t="s">
        <v>4803</v>
      </c>
      <c r="D2991">
        <v>1696</v>
      </c>
      <c r="E2991" s="208"/>
      <c r="G2991" t="s">
        <v>9749</v>
      </c>
    </row>
    <row r="2992" spans="1:7">
      <c r="A2992" t="s">
        <v>10756</v>
      </c>
      <c r="B2992" t="s">
        <v>10757</v>
      </c>
      <c r="C2992" t="s">
        <v>4803</v>
      </c>
      <c r="D2992">
        <v>1696</v>
      </c>
      <c r="E2992" s="208"/>
      <c r="G2992" t="s">
        <v>9749</v>
      </c>
    </row>
    <row r="2993" spans="1:7">
      <c r="A2993" t="s">
        <v>10758</v>
      </c>
      <c r="B2993" t="s">
        <v>10759</v>
      </c>
      <c r="C2993" t="s">
        <v>4803</v>
      </c>
      <c r="D2993">
        <v>1696</v>
      </c>
      <c r="E2993" s="208"/>
      <c r="G2993" t="s">
        <v>9749</v>
      </c>
    </row>
    <row r="2994" spans="1:7">
      <c r="A2994" t="s">
        <v>10760</v>
      </c>
      <c r="B2994" t="s">
        <v>10761</v>
      </c>
      <c r="C2994" t="s">
        <v>4803</v>
      </c>
      <c r="D2994">
        <v>950</v>
      </c>
      <c r="E2994" s="208"/>
      <c r="G2994" t="s">
        <v>9749</v>
      </c>
    </row>
    <row r="2995" spans="1:7">
      <c r="A2995" t="s">
        <v>10762</v>
      </c>
      <c r="B2995" t="s">
        <v>10763</v>
      </c>
      <c r="C2995" t="s">
        <v>4803</v>
      </c>
      <c r="D2995">
        <v>950</v>
      </c>
      <c r="E2995" s="208"/>
      <c r="G2995" t="s">
        <v>9749</v>
      </c>
    </row>
    <row r="2996" spans="1:7">
      <c r="A2996" t="s">
        <v>10764</v>
      </c>
      <c r="B2996" t="s">
        <v>10765</v>
      </c>
      <c r="C2996" t="s">
        <v>4803</v>
      </c>
      <c r="D2996">
        <v>950</v>
      </c>
      <c r="E2996" s="208"/>
      <c r="G2996" t="s">
        <v>9749</v>
      </c>
    </row>
    <row r="2997" spans="1:7">
      <c r="A2997" t="s">
        <v>10766</v>
      </c>
      <c r="B2997" t="s">
        <v>10767</v>
      </c>
      <c r="C2997" t="s">
        <v>4803</v>
      </c>
      <c r="D2997">
        <v>2062</v>
      </c>
      <c r="E2997" s="208"/>
      <c r="G2997" t="s">
        <v>9749</v>
      </c>
    </row>
    <row r="2998" spans="1:7">
      <c r="A2998" t="s">
        <v>10768</v>
      </c>
      <c r="B2998" t="s">
        <v>10769</v>
      </c>
      <c r="C2998" t="s">
        <v>4803</v>
      </c>
      <c r="D2998">
        <v>2062</v>
      </c>
      <c r="E2998" s="208"/>
      <c r="G2998" t="s">
        <v>9749</v>
      </c>
    </row>
    <row r="2999" spans="1:7">
      <c r="A2999" t="s">
        <v>10770</v>
      </c>
      <c r="B2999" t="s">
        <v>10771</v>
      </c>
      <c r="C2999" t="s">
        <v>4803</v>
      </c>
      <c r="D2999">
        <v>2062</v>
      </c>
      <c r="E2999" s="208"/>
      <c r="G2999" t="s">
        <v>9749</v>
      </c>
    </row>
    <row r="3000" spans="1:7">
      <c r="A3000" t="s">
        <v>10772</v>
      </c>
      <c r="B3000" t="s">
        <v>10773</v>
      </c>
      <c r="C3000" t="s">
        <v>4803</v>
      </c>
      <c r="D3000">
        <v>2132</v>
      </c>
      <c r="E3000" s="208"/>
      <c r="G3000" t="s">
        <v>9749</v>
      </c>
    </row>
    <row r="3001" spans="1:7">
      <c r="A3001" t="s">
        <v>10774</v>
      </c>
      <c r="B3001" t="s">
        <v>10775</v>
      </c>
      <c r="C3001" t="s">
        <v>4803</v>
      </c>
      <c r="D3001">
        <v>4816</v>
      </c>
      <c r="E3001" s="208"/>
      <c r="G3001" t="s">
        <v>9749</v>
      </c>
    </row>
    <row r="3002" spans="1:7">
      <c r="A3002" t="s">
        <v>10776</v>
      </c>
      <c r="B3002" t="s">
        <v>10777</v>
      </c>
      <c r="C3002" t="s">
        <v>4803</v>
      </c>
      <c r="D3002">
        <v>4816</v>
      </c>
      <c r="E3002" s="208"/>
      <c r="G3002" t="s">
        <v>9749</v>
      </c>
    </row>
    <row r="3003" spans="1:7">
      <c r="A3003" t="s">
        <v>10778</v>
      </c>
      <c r="B3003" t="s">
        <v>10779</v>
      </c>
      <c r="C3003" t="s">
        <v>4803</v>
      </c>
      <c r="D3003">
        <v>4816</v>
      </c>
      <c r="E3003" s="208"/>
      <c r="G3003" t="s">
        <v>9749</v>
      </c>
    </row>
    <row r="3004" spans="1:7">
      <c r="A3004" t="s">
        <v>10780</v>
      </c>
      <c r="B3004" t="s">
        <v>10781</v>
      </c>
      <c r="C3004" t="s">
        <v>4803</v>
      </c>
      <c r="D3004">
        <v>345</v>
      </c>
      <c r="E3004" s="208"/>
      <c r="G3004" t="s">
        <v>9749</v>
      </c>
    </row>
    <row r="3005" spans="1:7">
      <c r="A3005" t="s">
        <v>10782</v>
      </c>
      <c r="B3005" t="s">
        <v>10783</v>
      </c>
      <c r="C3005" t="s">
        <v>4803</v>
      </c>
      <c r="D3005">
        <v>684</v>
      </c>
      <c r="E3005" s="208"/>
      <c r="G3005" t="s">
        <v>9749</v>
      </c>
    </row>
    <row r="3006" spans="1:7">
      <c r="A3006" t="s">
        <v>10784</v>
      </c>
      <c r="B3006" t="s">
        <v>10785</v>
      </c>
      <c r="C3006" t="s">
        <v>4803</v>
      </c>
      <c r="D3006">
        <v>684</v>
      </c>
      <c r="E3006" s="208"/>
      <c r="G3006" t="s">
        <v>9749</v>
      </c>
    </row>
    <row r="3007" spans="1:7">
      <c r="A3007" t="s">
        <v>10786</v>
      </c>
      <c r="B3007" t="s">
        <v>10787</v>
      </c>
      <c r="C3007" t="s">
        <v>4803</v>
      </c>
      <c r="D3007">
        <v>684</v>
      </c>
      <c r="E3007" s="208"/>
      <c r="G3007" t="s">
        <v>9749</v>
      </c>
    </row>
    <row r="3008" spans="1:7">
      <c r="A3008" t="s">
        <v>10788</v>
      </c>
      <c r="B3008" t="s">
        <v>10789</v>
      </c>
      <c r="C3008" t="s">
        <v>4803</v>
      </c>
      <c r="D3008">
        <v>855</v>
      </c>
      <c r="E3008" s="208"/>
      <c r="G3008" t="s">
        <v>9749</v>
      </c>
    </row>
    <row r="3009" spans="1:7">
      <c r="A3009" t="s">
        <v>10790</v>
      </c>
      <c r="B3009" t="s">
        <v>10791</v>
      </c>
      <c r="C3009" t="s">
        <v>4803</v>
      </c>
      <c r="D3009">
        <v>3388</v>
      </c>
      <c r="E3009" s="208"/>
      <c r="G3009" t="s">
        <v>9749</v>
      </c>
    </row>
    <row r="3010" spans="1:7">
      <c r="A3010" t="s">
        <v>10792</v>
      </c>
      <c r="B3010" t="s">
        <v>10793</v>
      </c>
      <c r="C3010" t="s">
        <v>4803</v>
      </c>
      <c r="D3010">
        <v>3388</v>
      </c>
      <c r="E3010" s="208"/>
      <c r="G3010" t="s">
        <v>9749</v>
      </c>
    </row>
    <row r="3011" spans="1:7">
      <c r="A3011" t="s">
        <v>10794</v>
      </c>
      <c r="B3011" t="s">
        <v>10795</v>
      </c>
      <c r="C3011" t="s">
        <v>4803</v>
      </c>
      <c r="D3011">
        <v>3388</v>
      </c>
      <c r="E3011" s="208"/>
      <c r="G3011" t="s">
        <v>9749</v>
      </c>
    </row>
    <row r="3012" spans="1:7">
      <c r="A3012" t="s">
        <v>10796</v>
      </c>
      <c r="B3012" t="s">
        <v>10797</v>
      </c>
      <c r="C3012" t="s">
        <v>4803</v>
      </c>
      <c r="D3012">
        <v>4109</v>
      </c>
      <c r="E3012" s="208"/>
      <c r="G3012" t="s">
        <v>9749</v>
      </c>
    </row>
    <row r="3013" spans="1:7">
      <c r="A3013" t="s">
        <v>10798</v>
      </c>
      <c r="B3013" t="s">
        <v>10799</v>
      </c>
      <c r="C3013" t="s">
        <v>4803</v>
      </c>
      <c r="D3013">
        <v>4109</v>
      </c>
      <c r="E3013" s="208"/>
      <c r="G3013" t="s">
        <v>9749</v>
      </c>
    </row>
    <row r="3014" spans="1:7">
      <c r="A3014" t="s">
        <v>10800</v>
      </c>
      <c r="B3014" t="s">
        <v>10801</v>
      </c>
      <c r="C3014" t="s">
        <v>4803</v>
      </c>
      <c r="D3014">
        <v>4109</v>
      </c>
      <c r="E3014" s="208"/>
      <c r="G3014" t="s">
        <v>9749</v>
      </c>
    </row>
    <row r="3015" spans="1:7">
      <c r="A3015" t="s">
        <v>10802</v>
      </c>
      <c r="B3015" t="s">
        <v>10803</v>
      </c>
      <c r="C3015" t="s">
        <v>4803</v>
      </c>
      <c r="D3015">
        <v>4257</v>
      </c>
      <c r="E3015" s="208"/>
      <c r="G3015" t="s">
        <v>9749</v>
      </c>
    </row>
    <row r="3016" spans="1:7">
      <c r="A3016" t="s">
        <v>10804</v>
      </c>
      <c r="B3016" t="s">
        <v>10805</v>
      </c>
      <c r="C3016" t="s">
        <v>9849</v>
      </c>
      <c r="D3016">
        <v>823</v>
      </c>
      <c r="E3016" s="208"/>
      <c r="G3016" t="s">
        <v>9749</v>
      </c>
    </row>
    <row r="3017" spans="1:7">
      <c r="A3017" t="s">
        <v>10806</v>
      </c>
      <c r="B3017" t="s">
        <v>10807</v>
      </c>
      <c r="C3017" t="s">
        <v>9849</v>
      </c>
      <c r="D3017">
        <v>844</v>
      </c>
      <c r="E3017" s="208"/>
      <c r="G3017" t="s">
        <v>9749</v>
      </c>
    </row>
    <row r="3018" spans="1:7">
      <c r="A3018" t="s">
        <v>10808</v>
      </c>
      <c r="B3018" t="s">
        <v>10809</v>
      </c>
      <c r="C3018" t="s">
        <v>4803</v>
      </c>
      <c r="D3018">
        <v>1691</v>
      </c>
      <c r="E3018" s="208"/>
      <c r="G3018" t="s">
        <v>9749</v>
      </c>
    </row>
    <row r="3019" spans="1:7">
      <c r="A3019" t="s">
        <v>10810</v>
      </c>
      <c r="B3019" t="s">
        <v>10811</v>
      </c>
      <c r="C3019" t="s">
        <v>4803</v>
      </c>
      <c r="D3019">
        <v>2345</v>
      </c>
      <c r="E3019" s="208"/>
      <c r="G3019" t="s">
        <v>9749</v>
      </c>
    </row>
    <row r="3020" spans="1:7">
      <c r="A3020" t="s">
        <v>10812</v>
      </c>
      <c r="B3020" t="s">
        <v>10813</v>
      </c>
      <c r="C3020" t="s">
        <v>9849</v>
      </c>
      <c r="D3020">
        <v>823</v>
      </c>
      <c r="E3020" s="208"/>
      <c r="G3020" t="s">
        <v>9749</v>
      </c>
    </row>
    <row r="3021" spans="1:7">
      <c r="A3021" t="s">
        <v>10814</v>
      </c>
      <c r="B3021" t="s">
        <v>10815</v>
      </c>
      <c r="C3021" t="s">
        <v>4803</v>
      </c>
      <c r="D3021">
        <v>3509</v>
      </c>
      <c r="E3021" s="208"/>
      <c r="G3021" t="s">
        <v>9749</v>
      </c>
    </row>
    <row r="3022" spans="1:7">
      <c r="A3022" t="s">
        <v>10816</v>
      </c>
      <c r="B3022" t="s">
        <v>10817</v>
      </c>
      <c r="C3022" t="s">
        <v>4803</v>
      </c>
      <c r="D3022">
        <v>3509</v>
      </c>
      <c r="E3022" s="208"/>
      <c r="G3022" t="s">
        <v>9749</v>
      </c>
    </row>
    <row r="3023" spans="1:7">
      <c r="A3023" t="s">
        <v>10818</v>
      </c>
      <c r="B3023" t="s">
        <v>10819</v>
      </c>
      <c r="C3023" t="s">
        <v>4803</v>
      </c>
      <c r="D3023">
        <v>3509</v>
      </c>
      <c r="E3023" s="208"/>
      <c r="G3023" t="s">
        <v>9749</v>
      </c>
    </row>
    <row r="3024" spans="1:7">
      <c r="A3024" t="s">
        <v>10820</v>
      </c>
      <c r="B3024" t="s">
        <v>10821</v>
      </c>
      <c r="C3024" t="s">
        <v>4803</v>
      </c>
      <c r="D3024">
        <v>4198</v>
      </c>
      <c r="E3024" s="208"/>
      <c r="G3024" t="s">
        <v>9749</v>
      </c>
    </row>
    <row r="3025" spans="1:7">
      <c r="A3025" t="s">
        <v>10822</v>
      </c>
      <c r="B3025" t="s">
        <v>10823</v>
      </c>
      <c r="C3025" t="s">
        <v>4803</v>
      </c>
      <c r="D3025">
        <v>4198</v>
      </c>
      <c r="E3025" s="208"/>
      <c r="G3025" t="s">
        <v>9749</v>
      </c>
    </row>
    <row r="3026" spans="1:7">
      <c r="A3026" t="s">
        <v>10824</v>
      </c>
      <c r="B3026" t="s">
        <v>10825</v>
      </c>
      <c r="C3026" t="s">
        <v>4803</v>
      </c>
      <c r="D3026">
        <v>4198</v>
      </c>
      <c r="E3026" s="208"/>
      <c r="G3026" t="s">
        <v>9749</v>
      </c>
    </row>
    <row r="3027" spans="1:7">
      <c r="A3027" t="s">
        <v>10826</v>
      </c>
      <c r="B3027" t="s">
        <v>10827</v>
      </c>
      <c r="C3027" t="s">
        <v>4803</v>
      </c>
      <c r="D3027">
        <v>4807</v>
      </c>
      <c r="E3027" s="208"/>
      <c r="G3027" t="s">
        <v>9749</v>
      </c>
    </row>
    <row r="3028" spans="1:7">
      <c r="A3028" t="s">
        <v>10828</v>
      </c>
      <c r="B3028" t="s">
        <v>10829</v>
      </c>
      <c r="C3028" t="s">
        <v>4803</v>
      </c>
      <c r="D3028">
        <v>7022</v>
      </c>
      <c r="E3028" s="208"/>
      <c r="G3028" t="s">
        <v>9749</v>
      </c>
    </row>
    <row r="3029" spans="1:7">
      <c r="A3029" t="s">
        <v>10830</v>
      </c>
      <c r="B3029" t="s">
        <v>10831</v>
      </c>
      <c r="C3029" t="s">
        <v>4803</v>
      </c>
      <c r="D3029">
        <v>7022</v>
      </c>
      <c r="E3029" s="208"/>
      <c r="G3029" t="s">
        <v>9749</v>
      </c>
    </row>
    <row r="3030" spans="1:7">
      <c r="A3030" t="s">
        <v>10832</v>
      </c>
      <c r="B3030" t="s">
        <v>10833</v>
      </c>
      <c r="C3030" t="s">
        <v>4803</v>
      </c>
      <c r="D3030">
        <v>7022</v>
      </c>
      <c r="E3030" s="208"/>
      <c r="G3030" t="s">
        <v>9749</v>
      </c>
    </row>
    <row r="3031" spans="1:7">
      <c r="A3031" t="s">
        <v>10834</v>
      </c>
      <c r="B3031" t="s">
        <v>10835</v>
      </c>
      <c r="C3031" t="s">
        <v>4803</v>
      </c>
      <c r="D3031">
        <v>6542</v>
      </c>
      <c r="E3031" s="208"/>
      <c r="G3031" t="s">
        <v>9749</v>
      </c>
    </row>
    <row r="3032" spans="1:7">
      <c r="A3032" t="s">
        <v>10836</v>
      </c>
      <c r="B3032" t="s">
        <v>10837</v>
      </c>
      <c r="C3032" t="s">
        <v>4803</v>
      </c>
      <c r="D3032">
        <v>1061</v>
      </c>
      <c r="E3032" s="208"/>
      <c r="G3032" t="s">
        <v>9749</v>
      </c>
    </row>
    <row r="3033" spans="1:7">
      <c r="A3033" t="s">
        <v>10838</v>
      </c>
      <c r="B3033" t="s">
        <v>10839</v>
      </c>
      <c r="C3033" t="s">
        <v>4803</v>
      </c>
      <c r="D3033">
        <v>1081</v>
      </c>
      <c r="E3033" s="208"/>
      <c r="G3033" t="s">
        <v>9749</v>
      </c>
    </row>
    <row r="3034" spans="1:7">
      <c r="A3034" t="s">
        <v>10840</v>
      </c>
      <c r="B3034" t="s">
        <v>10841</v>
      </c>
      <c r="C3034" t="s">
        <v>6508</v>
      </c>
      <c r="D3034">
        <v>192</v>
      </c>
      <c r="E3034" s="208"/>
      <c r="G3034" t="s">
        <v>9749</v>
      </c>
    </row>
    <row r="3035" spans="1:7">
      <c r="A3035" t="s">
        <v>10842</v>
      </c>
      <c r="B3035" t="s">
        <v>10843</v>
      </c>
      <c r="C3035" t="s">
        <v>6508</v>
      </c>
      <c r="D3035">
        <v>192</v>
      </c>
      <c r="E3035" s="208"/>
      <c r="G3035" t="s">
        <v>9749</v>
      </c>
    </row>
    <row r="3036" spans="1:7">
      <c r="A3036" t="s">
        <v>10844</v>
      </c>
      <c r="B3036" t="s">
        <v>10845</v>
      </c>
      <c r="C3036" t="s">
        <v>6508</v>
      </c>
      <c r="D3036">
        <v>192</v>
      </c>
      <c r="E3036" s="208"/>
      <c r="G3036" t="s">
        <v>9749</v>
      </c>
    </row>
    <row r="3037" spans="1:7">
      <c r="A3037" t="s">
        <v>10846</v>
      </c>
      <c r="B3037" t="s">
        <v>10847</v>
      </c>
      <c r="C3037" t="s">
        <v>6508</v>
      </c>
      <c r="D3037">
        <v>147</v>
      </c>
      <c r="E3037" s="208"/>
      <c r="G3037" t="s">
        <v>9749</v>
      </c>
    </row>
    <row r="3038" spans="1:7">
      <c r="A3038" t="s">
        <v>10848</v>
      </c>
      <c r="B3038" t="s">
        <v>10849</v>
      </c>
      <c r="C3038" t="s">
        <v>6508</v>
      </c>
      <c r="D3038">
        <v>329</v>
      </c>
      <c r="E3038" s="208"/>
      <c r="G3038" t="s">
        <v>9749</v>
      </c>
    </row>
    <row r="3039" spans="1:7">
      <c r="A3039" t="s">
        <v>10850</v>
      </c>
      <c r="B3039" t="s">
        <v>10851</v>
      </c>
      <c r="C3039" t="s">
        <v>9846</v>
      </c>
      <c r="D3039">
        <v>173</v>
      </c>
      <c r="E3039" s="208"/>
      <c r="G3039" t="s">
        <v>9749</v>
      </c>
    </row>
    <row r="3040" spans="1:7">
      <c r="A3040" t="s">
        <v>10852</v>
      </c>
      <c r="B3040" t="s">
        <v>10853</v>
      </c>
      <c r="C3040" t="s">
        <v>4803</v>
      </c>
      <c r="D3040">
        <v>144</v>
      </c>
      <c r="E3040" s="208"/>
      <c r="G3040" t="s">
        <v>9749</v>
      </c>
    </row>
    <row r="3041" spans="1:7">
      <c r="A3041" t="s">
        <v>10854</v>
      </c>
      <c r="B3041" t="s">
        <v>10855</v>
      </c>
      <c r="C3041" t="s">
        <v>6508</v>
      </c>
      <c r="D3041">
        <v>785</v>
      </c>
      <c r="E3041" s="208"/>
      <c r="G3041" t="s">
        <v>9749</v>
      </c>
    </row>
    <row r="3042" spans="1:7">
      <c r="A3042" t="s">
        <v>10856</v>
      </c>
      <c r="B3042" t="s">
        <v>10857</v>
      </c>
      <c r="C3042" t="s">
        <v>6508</v>
      </c>
      <c r="D3042">
        <v>785</v>
      </c>
      <c r="E3042" s="208"/>
      <c r="G3042" t="s">
        <v>9749</v>
      </c>
    </row>
    <row r="3043" spans="1:7">
      <c r="A3043" t="s">
        <v>10858</v>
      </c>
      <c r="B3043" t="s">
        <v>10859</v>
      </c>
      <c r="C3043" t="s">
        <v>6508</v>
      </c>
      <c r="D3043">
        <v>785</v>
      </c>
      <c r="E3043" s="208"/>
      <c r="G3043" t="s">
        <v>9749</v>
      </c>
    </row>
    <row r="3044" spans="1:7">
      <c r="A3044" t="s">
        <v>10860</v>
      </c>
      <c r="B3044" t="s">
        <v>10861</v>
      </c>
      <c r="C3044" t="s">
        <v>6508</v>
      </c>
      <c r="D3044">
        <v>554</v>
      </c>
      <c r="E3044" s="208"/>
      <c r="G3044" t="s">
        <v>9749</v>
      </c>
    </row>
    <row r="3045" spans="1:7">
      <c r="A3045" t="s">
        <v>10862</v>
      </c>
      <c r="B3045" t="s">
        <v>10863</v>
      </c>
      <c r="C3045" t="s">
        <v>6508</v>
      </c>
      <c r="D3045">
        <v>554</v>
      </c>
      <c r="E3045" s="208"/>
      <c r="G3045" t="s">
        <v>9749</v>
      </c>
    </row>
    <row r="3046" spans="1:7">
      <c r="A3046" t="s">
        <v>10864</v>
      </c>
      <c r="B3046" t="s">
        <v>10865</v>
      </c>
      <c r="C3046" t="s">
        <v>6508</v>
      </c>
      <c r="D3046">
        <v>554</v>
      </c>
      <c r="E3046" s="208"/>
      <c r="G3046" t="s">
        <v>9749</v>
      </c>
    </row>
    <row r="3047" spans="1:7">
      <c r="A3047" t="s">
        <v>10866</v>
      </c>
      <c r="B3047" t="s">
        <v>10867</v>
      </c>
      <c r="C3047" t="s">
        <v>4803</v>
      </c>
      <c r="D3047">
        <v>2764</v>
      </c>
      <c r="E3047" s="208"/>
      <c r="G3047" t="s">
        <v>9749</v>
      </c>
    </row>
    <row r="3048" spans="1:7">
      <c r="A3048" t="s">
        <v>10868</v>
      </c>
      <c r="B3048" t="s">
        <v>10869</v>
      </c>
      <c r="C3048" t="s">
        <v>4803</v>
      </c>
      <c r="D3048">
        <v>2764</v>
      </c>
      <c r="E3048" s="208"/>
      <c r="G3048" t="s">
        <v>9749</v>
      </c>
    </row>
    <row r="3049" spans="1:7">
      <c r="A3049" t="s">
        <v>10870</v>
      </c>
      <c r="B3049" t="s">
        <v>10871</v>
      </c>
      <c r="C3049" t="s">
        <v>4803</v>
      </c>
      <c r="D3049">
        <v>1708</v>
      </c>
      <c r="E3049" s="208"/>
      <c r="G3049" t="s">
        <v>9749</v>
      </c>
    </row>
    <row r="3050" spans="1:7">
      <c r="A3050" t="s">
        <v>10872</v>
      </c>
      <c r="B3050" t="s">
        <v>10873</v>
      </c>
      <c r="C3050" t="s">
        <v>4803</v>
      </c>
      <c r="D3050">
        <v>1652</v>
      </c>
      <c r="E3050" s="208"/>
      <c r="G3050" t="s">
        <v>9749</v>
      </c>
    </row>
    <row r="3051" spans="1:7">
      <c r="A3051" t="s">
        <v>10874</v>
      </c>
      <c r="B3051" t="s">
        <v>10875</v>
      </c>
      <c r="C3051" t="s">
        <v>4803</v>
      </c>
      <c r="D3051">
        <v>1652</v>
      </c>
      <c r="E3051" s="208"/>
      <c r="G3051" t="s">
        <v>9749</v>
      </c>
    </row>
    <row r="3052" spans="1:7">
      <c r="A3052" t="s">
        <v>10876</v>
      </c>
      <c r="B3052" t="s">
        <v>10877</v>
      </c>
      <c r="C3052" t="s">
        <v>4803</v>
      </c>
      <c r="D3052">
        <v>1652</v>
      </c>
      <c r="E3052" s="208"/>
      <c r="G3052" t="s">
        <v>9749</v>
      </c>
    </row>
    <row r="3053" spans="1:7">
      <c r="A3053" t="s">
        <v>10878</v>
      </c>
      <c r="B3053" t="s">
        <v>10879</v>
      </c>
      <c r="C3053" t="s">
        <v>6508</v>
      </c>
      <c r="D3053">
        <v>410</v>
      </c>
      <c r="E3053" s="208"/>
      <c r="G3053" t="s">
        <v>9749</v>
      </c>
    </row>
    <row r="3054" spans="1:7">
      <c r="A3054" t="s">
        <v>10880</v>
      </c>
      <c r="B3054" t="s">
        <v>10881</v>
      </c>
      <c r="C3054" t="s">
        <v>6508</v>
      </c>
      <c r="D3054">
        <v>410</v>
      </c>
      <c r="E3054" s="208"/>
      <c r="G3054" t="s">
        <v>9749</v>
      </c>
    </row>
    <row r="3055" spans="1:7">
      <c r="A3055" t="s">
        <v>10882</v>
      </c>
      <c r="B3055" t="s">
        <v>10883</v>
      </c>
      <c r="C3055" t="s">
        <v>6508</v>
      </c>
      <c r="D3055">
        <v>410</v>
      </c>
      <c r="E3055" s="208"/>
      <c r="G3055" t="s">
        <v>9749</v>
      </c>
    </row>
    <row r="3056" spans="1:7">
      <c r="A3056" t="s">
        <v>10884</v>
      </c>
      <c r="B3056" t="s">
        <v>10885</v>
      </c>
      <c r="C3056" t="s">
        <v>4803</v>
      </c>
      <c r="D3056">
        <v>493</v>
      </c>
      <c r="E3056" s="208"/>
      <c r="G3056" t="s">
        <v>9749</v>
      </c>
    </row>
    <row r="3057" spans="1:7">
      <c r="A3057" t="s">
        <v>10886</v>
      </c>
      <c r="B3057" t="s">
        <v>10887</v>
      </c>
      <c r="C3057" t="s">
        <v>4803</v>
      </c>
      <c r="D3057">
        <v>493</v>
      </c>
      <c r="E3057" s="208"/>
      <c r="G3057" t="s">
        <v>9749</v>
      </c>
    </row>
    <row r="3058" spans="1:7">
      <c r="A3058" t="s">
        <v>10888</v>
      </c>
      <c r="B3058" t="s">
        <v>10889</v>
      </c>
      <c r="C3058" t="s">
        <v>4803</v>
      </c>
      <c r="D3058">
        <v>493</v>
      </c>
      <c r="E3058" s="208"/>
      <c r="G3058" t="s">
        <v>9749</v>
      </c>
    </row>
    <row r="3059" spans="1:7">
      <c r="A3059" t="s">
        <v>10890</v>
      </c>
      <c r="B3059" t="s">
        <v>10891</v>
      </c>
      <c r="C3059" t="s">
        <v>4845</v>
      </c>
      <c r="D3059">
        <v>770</v>
      </c>
      <c r="E3059" s="208"/>
      <c r="G3059" t="s">
        <v>9749</v>
      </c>
    </row>
    <row r="3060" spans="1:7">
      <c r="A3060" t="s">
        <v>10892</v>
      </c>
      <c r="B3060" t="s">
        <v>10893</v>
      </c>
      <c r="C3060" t="s">
        <v>4845</v>
      </c>
      <c r="D3060">
        <v>726</v>
      </c>
      <c r="E3060" s="208"/>
      <c r="G3060" t="s">
        <v>9749</v>
      </c>
    </row>
    <row r="3061" spans="1:7">
      <c r="A3061" t="s">
        <v>10894</v>
      </c>
      <c r="B3061" t="s">
        <v>10895</v>
      </c>
      <c r="C3061" t="s">
        <v>4845</v>
      </c>
      <c r="D3061">
        <v>804</v>
      </c>
      <c r="E3061" s="208"/>
      <c r="G3061" t="s">
        <v>9749</v>
      </c>
    </row>
    <row r="3062" spans="1:7">
      <c r="A3062" t="s">
        <v>10896</v>
      </c>
      <c r="B3062" t="s">
        <v>10897</v>
      </c>
      <c r="C3062" t="s">
        <v>4803</v>
      </c>
      <c r="D3062">
        <v>1586</v>
      </c>
      <c r="E3062" s="208"/>
      <c r="G3062" t="s">
        <v>9749</v>
      </c>
    </row>
    <row r="3063" spans="1:7">
      <c r="A3063" t="s">
        <v>10898</v>
      </c>
      <c r="B3063" t="s">
        <v>10899</v>
      </c>
      <c r="C3063" t="s">
        <v>4803</v>
      </c>
      <c r="D3063">
        <v>1586</v>
      </c>
      <c r="E3063" s="208"/>
      <c r="G3063" t="s">
        <v>9749</v>
      </c>
    </row>
    <row r="3064" spans="1:7">
      <c r="A3064" t="s">
        <v>10900</v>
      </c>
      <c r="B3064" t="s">
        <v>10901</v>
      </c>
      <c r="C3064" t="s">
        <v>4803</v>
      </c>
      <c r="D3064">
        <v>1586</v>
      </c>
      <c r="E3064" s="208"/>
      <c r="G3064" t="s">
        <v>9749</v>
      </c>
    </row>
    <row r="3065" spans="1:7">
      <c r="A3065" t="s">
        <v>10902</v>
      </c>
      <c r="B3065" t="s">
        <v>10903</v>
      </c>
      <c r="C3065" t="s">
        <v>4803</v>
      </c>
      <c r="D3065">
        <v>1852</v>
      </c>
      <c r="E3065" s="208"/>
      <c r="G3065" t="s">
        <v>9749</v>
      </c>
    </row>
    <row r="3066" spans="1:7">
      <c r="A3066" t="s">
        <v>10904</v>
      </c>
      <c r="B3066" t="s">
        <v>10905</v>
      </c>
      <c r="C3066" t="s">
        <v>4803</v>
      </c>
      <c r="D3066">
        <v>1852</v>
      </c>
      <c r="E3066" s="208"/>
      <c r="G3066" t="s">
        <v>9749</v>
      </c>
    </row>
    <row r="3067" spans="1:7">
      <c r="A3067" t="s">
        <v>10906</v>
      </c>
      <c r="B3067" t="s">
        <v>10907</v>
      </c>
      <c r="C3067" t="s">
        <v>4803</v>
      </c>
      <c r="D3067">
        <v>1852</v>
      </c>
      <c r="E3067" s="208"/>
      <c r="G3067" t="s">
        <v>9749</v>
      </c>
    </row>
    <row r="3068" spans="1:7">
      <c r="A3068" t="s">
        <v>10908</v>
      </c>
      <c r="B3068" t="s">
        <v>10909</v>
      </c>
      <c r="C3068" t="s">
        <v>4803</v>
      </c>
      <c r="D3068">
        <v>2204</v>
      </c>
      <c r="E3068" s="208"/>
      <c r="G3068" t="s">
        <v>9749</v>
      </c>
    </row>
    <row r="3069" spans="1:7">
      <c r="A3069" t="s">
        <v>10910</v>
      </c>
      <c r="B3069" t="s">
        <v>10911</v>
      </c>
      <c r="C3069" t="s">
        <v>4803</v>
      </c>
      <c r="D3069">
        <v>2204</v>
      </c>
      <c r="E3069" s="208"/>
      <c r="G3069" t="s">
        <v>9749</v>
      </c>
    </row>
    <row r="3070" spans="1:7">
      <c r="A3070" t="s">
        <v>10912</v>
      </c>
      <c r="B3070" t="s">
        <v>10913</v>
      </c>
      <c r="C3070" t="s">
        <v>4803</v>
      </c>
      <c r="D3070">
        <v>3169</v>
      </c>
      <c r="E3070" s="208"/>
      <c r="G3070" t="s">
        <v>9749</v>
      </c>
    </row>
    <row r="3071" spans="1:7">
      <c r="A3071" t="s">
        <v>10914</v>
      </c>
      <c r="B3071" t="s">
        <v>10915</v>
      </c>
      <c r="C3071" t="s">
        <v>4803</v>
      </c>
      <c r="D3071">
        <v>3035</v>
      </c>
      <c r="E3071" s="208"/>
      <c r="G3071" t="s">
        <v>9749</v>
      </c>
    </row>
    <row r="3072" spans="1:7">
      <c r="A3072" t="s">
        <v>10916</v>
      </c>
      <c r="B3072" t="s">
        <v>10917</v>
      </c>
      <c r="C3072" t="s">
        <v>4803</v>
      </c>
      <c r="D3072">
        <v>3035</v>
      </c>
      <c r="E3072" s="208"/>
      <c r="G3072" t="s">
        <v>9749</v>
      </c>
    </row>
    <row r="3073" spans="1:7">
      <c r="A3073" t="s">
        <v>10918</v>
      </c>
      <c r="B3073" t="s">
        <v>10919</v>
      </c>
      <c r="C3073" t="s">
        <v>4803</v>
      </c>
      <c r="D3073">
        <v>3035</v>
      </c>
      <c r="E3073" s="208"/>
      <c r="G3073" t="s">
        <v>9749</v>
      </c>
    </row>
    <row r="3074" spans="1:7">
      <c r="A3074" t="s">
        <v>10920</v>
      </c>
      <c r="B3074" t="s">
        <v>10921</v>
      </c>
      <c r="C3074" t="s">
        <v>4803</v>
      </c>
      <c r="D3074">
        <v>3169</v>
      </c>
      <c r="E3074" s="208"/>
      <c r="G3074" t="s">
        <v>9749</v>
      </c>
    </row>
    <row r="3075" spans="1:7">
      <c r="A3075" t="s">
        <v>10922</v>
      </c>
      <c r="B3075" t="s">
        <v>10923</v>
      </c>
      <c r="C3075" t="s">
        <v>4803</v>
      </c>
      <c r="D3075">
        <v>3169</v>
      </c>
      <c r="E3075" s="208"/>
      <c r="G3075" t="s">
        <v>9749</v>
      </c>
    </row>
    <row r="3076" spans="1:7">
      <c r="A3076" t="s">
        <v>10924</v>
      </c>
      <c r="B3076" t="s">
        <v>10925</v>
      </c>
      <c r="C3076" t="s">
        <v>4803</v>
      </c>
      <c r="D3076">
        <v>3692</v>
      </c>
      <c r="E3076" s="208"/>
      <c r="G3076" t="s">
        <v>9749</v>
      </c>
    </row>
    <row r="3077" spans="1:7">
      <c r="A3077" t="s">
        <v>10926</v>
      </c>
      <c r="B3077" t="s">
        <v>10927</v>
      </c>
      <c r="C3077" t="s">
        <v>4803</v>
      </c>
      <c r="D3077">
        <v>3635</v>
      </c>
      <c r="E3077" s="208"/>
      <c r="G3077" t="s">
        <v>9749</v>
      </c>
    </row>
    <row r="3078" spans="1:7">
      <c r="A3078" t="s">
        <v>10928</v>
      </c>
      <c r="B3078" t="s">
        <v>10929</v>
      </c>
      <c r="C3078" t="s">
        <v>4803</v>
      </c>
      <c r="D3078">
        <v>3635</v>
      </c>
      <c r="E3078" s="208"/>
      <c r="G3078" t="s">
        <v>9749</v>
      </c>
    </row>
    <row r="3079" spans="1:7">
      <c r="A3079" t="s">
        <v>10930</v>
      </c>
      <c r="B3079" t="s">
        <v>10931</v>
      </c>
      <c r="C3079" t="s">
        <v>4803</v>
      </c>
      <c r="D3079">
        <v>3635</v>
      </c>
      <c r="E3079" s="208"/>
      <c r="G3079" t="s">
        <v>9749</v>
      </c>
    </row>
    <row r="3080" spans="1:7">
      <c r="A3080" t="s">
        <v>10932</v>
      </c>
      <c r="B3080" t="s">
        <v>10933</v>
      </c>
      <c r="C3080" t="s">
        <v>4803</v>
      </c>
      <c r="D3080">
        <v>3692</v>
      </c>
      <c r="E3080" s="208"/>
      <c r="G3080" t="s">
        <v>9749</v>
      </c>
    </row>
    <row r="3081" spans="1:7">
      <c r="A3081" t="s">
        <v>10934</v>
      </c>
      <c r="B3081" t="s">
        <v>10935</v>
      </c>
      <c r="C3081" t="s">
        <v>4803</v>
      </c>
      <c r="D3081">
        <v>3692</v>
      </c>
      <c r="E3081" s="208"/>
      <c r="G3081" t="s">
        <v>9749</v>
      </c>
    </row>
    <row r="3082" spans="1:7">
      <c r="A3082" t="s">
        <v>10936</v>
      </c>
      <c r="B3082" t="s">
        <v>10937</v>
      </c>
      <c r="C3082" t="s">
        <v>4803</v>
      </c>
      <c r="D3082">
        <v>4205</v>
      </c>
      <c r="E3082" s="208"/>
      <c r="G3082" t="s">
        <v>9749</v>
      </c>
    </row>
    <row r="3083" spans="1:7">
      <c r="A3083" t="s">
        <v>10938</v>
      </c>
      <c r="B3083" t="s">
        <v>10939</v>
      </c>
      <c r="C3083" t="s">
        <v>4803</v>
      </c>
      <c r="D3083">
        <v>4205</v>
      </c>
      <c r="E3083" s="208"/>
      <c r="G3083" t="s">
        <v>9749</v>
      </c>
    </row>
    <row r="3084" spans="1:7">
      <c r="A3084" t="s">
        <v>10940</v>
      </c>
      <c r="B3084" t="s">
        <v>10941</v>
      </c>
      <c r="C3084" t="s">
        <v>6508</v>
      </c>
      <c r="D3084">
        <v>538</v>
      </c>
      <c r="E3084" s="208"/>
      <c r="G3084" t="s">
        <v>9749</v>
      </c>
    </row>
    <row r="3085" spans="1:7">
      <c r="A3085" t="s">
        <v>10942</v>
      </c>
      <c r="B3085" t="s">
        <v>10941</v>
      </c>
      <c r="C3085" t="s">
        <v>6508</v>
      </c>
      <c r="D3085">
        <v>538</v>
      </c>
      <c r="E3085" s="208"/>
      <c r="G3085" t="s">
        <v>9749</v>
      </c>
    </row>
    <row r="3086" spans="1:7">
      <c r="A3086" t="s">
        <v>10943</v>
      </c>
      <c r="B3086" t="s">
        <v>10944</v>
      </c>
      <c r="C3086" t="s">
        <v>6508</v>
      </c>
      <c r="D3086">
        <v>538</v>
      </c>
      <c r="E3086" s="208"/>
      <c r="G3086" t="s">
        <v>9749</v>
      </c>
    </row>
    <row r="3087" spans="1:7">
      <c r="A3087" t="s">
        <v>10945</v>
      </c>
      <c r="B3087" t="s">
        <v>10944</v>
      </c>
      <c r="C3087" t="s">
        <v>6508</v>
      </c>
      <c r="D3087">
        <v>538</v>
      </c>
      <c r="E3087" s="208"/>
      <c r="G3087" t="s">
        <v>9749</v>
      </c>
    </row>
    <row r="3088" spans="1:7">
      <c r="A3088" t="s">
        <v>10946</v>
      </c>
      <c r="B3088" t="s">
        <v>10947</v>
      </c>
      <c r="C3088" t="s">
        <v>6508</v>
      </c>
      <c r="D3088">
        <v>538</v>
      </c>
      <c r="E3088" s="208"/>
      <c r="G3088" t="s">
        <v>9749</v>
      </c>
    </row>
    <row r="3089" spans="1:7">
      <c r="A3089" t="s">
        <v>10948</v>
      </c>
      <c r="B3089" t="s">
        <v>10947</v>
      </c>
      <c r="C3089" t="s">
        <v>6508</v>
      </c>
      <c r="D3089">
        <v>538</v>
      </c>
      <c r="E3089" s="208"/>
      <c r="G3089" t="s">
        <v>9749</v>
      </c>
    </row>
    <row r="3090" spans="1:7">
      <c r="A3090" t="s">
        <v>10949</v>
      </c>
      <c r="B3090" t="s">
        <v>10950</v>
      </c>
      <c r="C3090" t="s">
        <v>6508</v>
      </c>
      <c r="D3090">
        <v>724</v>
      </c>
      <c r="E3090" s="208"/>
      <c r="G3090" t="s">
        <v>9749</v>
      </c>
    </row>
    <row r="3091" spans="1:7">
      <c r="A3091" t="s">
        <v>10951</v>
      </c>
      <c r="B3091" t="s">
        <v>10952</v>
      </c>
      <c r="C3091" t="s">
        <v>6508</v>
      </c>
      <c r="D3091">
        <v>1043</v>
      </c>
      <c r="E3091" s="208"/>
      <c r="G3091" t="s">
        <v>9749</v>
      </c>
    </row>
    <row r="3092" spans="1:7">
      <c r="A3092" t="s">
        <v>10953</v>
      </c>
      <c r="B3092" t="s">
        <v>10954</v>
      </c>
      <c r="C3092" t="s">
        <v>6508</v>
      </c>
      <c r="D3092">
        <v>947</v>
      </c>
      <c r="E3092" s="208"/>
      <c r="G3092" t="s">
        <v>9749</v>
      </c>
    </row>
    <row r="3093" spans="1:7">
      <c r="A3093" t="s">
        <v>10955</v>
      </c>
      <c r="B3093" t="s">
        <v>10956</v>
      </c>
      <c r="C3093" t="s">
        <v>6508</v>
      </c>
      <c r="D3093">
        <v>402</v>
      </c>
      <c r="E3093" s="208"/>
      <c r="G3093" t="s">
        <v>9749</v>
      </c>
    </row>
    <row r="3094" spans="1:7">
      <c r="A3094" t="s">
        <v>10957</v>
      </c>
      <c r="B3094" t="s">
        <v>10958</v>
      </c>
      <c r="C3094" t="s">
        <v>10959</v>
      </c>
      <c r="D3094">
        <v>531</v>
      </c>
      <c r="E3094" s="208"/>
      <c r="G3094" t="s">
        <v>9749</v>
      </c>
    </row>
    <row r="3095" spans="1:7">
      <c r="A3095" t="s">
        <v>10960</v>
      </c>
      <c r="B3095" t="s">
        <v>10961</v>
      </c>
      <c r="C3095" t="s">
        <v>6508</v>
      </c>
      <c r="D3095">
        <v>308</v>
      </c>
      <c r="E3095" s="208"/>
      <c r="G3095" t="s">
        <v>9749</v>
      </c>
    </row>
    <row r="3096" spans="1:7">
      <c r="A3096" t="s">
        <v>10962</v>
      </c>
      <c r="B3096" t="s">
        <v>10963</v>
      </c>
      <c r="C3096" t="s">
        <v>6508</v>
      </c>
      <c r="D3096">
        <v>297</v>
      </c>
      <c r="E3096" s="208"/>
      <c r="G3096" t="s">
        <v>9749</v>
      </c>
    </row>
    <row r="3097" spans="1:7">
      <c r="A3097" t="s">
        <v>10964</v>
      </c>
      <c r="B3097" t="s">
        <v>10965</v>
      </c>
      <c r="C3097" t="s">
        <v>6508</v>
      </c>
      <c r="D3097">
        <v>308</v>
      </c>
      <c r="E3097" s="208"/>
      <c r="G3097" t="s">
        <v>9749</v>
      </c>
    </row>
    <row r="3098" spans="1:7">
      <c r="A3098" t="s">
        <v>10966</v>
      </c>
      <c r="B3098" t="s">
        <v>10967</v>
      </c>
      <c r="C3098" t="s">
        <v>6508</v>
      </c>
      <c r="D3098">
        <v>297</v>
      </c>
      <c r="E3098" s="208"/>
      <c r="G3098" t="s">
        <v>9749</v>
      </c>
    </row>
    <row r="3099" spans="1:7">
      <c r="A3099" t="s">
        <v>10968</v>
      </c>
      <c r="B3099" t="s">
        <v>10969</v>
      </c>
      <c r="C3099" t="s">
        <v>6508</v>
      </c>
      <c r="D3099">
        <v>308</v>
      </c>
      <c r="E3099" s="208"/>
      <c r="G3099" t="s">
        <v>9749</v>
      </c>
    </row>
    <row r="3100" spans="1:7">
      <c r="A3100" t="s">
        <v>10970</v>
      </c>
      <c r="B3100" t="s">
        <v>10971</v>
      </c>
      <c r="C3100" t="s">
        <v>6508</v>
      </c>
      <c r="D3100">
        <v>297</v>
      </c>
      <c r="E3100" s="208"/>
      <c r="G3100" t="s">
        <v>9749</v>
      </c>
    </row>
    <row r="3101" spans="1:7">
      <c r="A3101" t="s">
        <v>10972</v>
      </c>
      <c r="B3101" t="s">
        <v>10973</v>
      </c>
      <c r="C3101" t="s">
        <v>6508</v>
      </c>
      <c r="D3101">
        <v>308</v>
      </c>
      <c r="E3101" s="208"/>
      <c r="G3101" t="s">
        <v>9749</v>
      </c>
    </row>
    <row r="3102" spans="1:7">
      <c r="A3102" t="s">
        <v>10974</v>
      </c>
      <c r="B3102" t="s">
        <v>10975</v>
      </c>
      <c r="C3102" t="s">
        <v>6508</v>
      </c>
      <c r="D3102">
        <v>308</v>
      </c>
      <c r="E3102" s="208"/>
      <c r="G3102" t="s">
        <v>9749</v>
      </c>
    </row>
    <row r="3103" spans="1:7">
      <c r="A3103" t="s">
        <v>10976</v>
      </c>
      <c r="B3103" t="s">
        <v>10977</v>
      </c>
      <c r="C3103" t="s">
        <v>6508</v>
      </c>
      <c r="D3103">
        <v>297</v>
      </c>
      <c r="E3103" s="208"/>
      <c r="G3103" t="s">
        <v>9749</v>
      </c>
    </row>
    <row r="3104" spans="1:7">
      <c r="A3104" t="s">
        <v>10978</v>
      </c>
      <c r="B3104" t="s">
        <v>10979</v>
      </c>
      <c r="C3104" t="s">
        <v>4845</v>
      </c>
      <c r="D3104">
        <v>120</v>
      </c>
      <c r="E3104" s="208"/>
      <c r="G3104" t="s">
        <v>9749</v>
      </c>
    </row>
    <row r="3105" spans="1:7">
      <c r="A3105" t="s">
        <v>10980</v>
      </c>
      <c r="B3105" t="s">
        <v>10981</v>
      </c>
      <c r="C3105" t="s">
        <v>9846</v>
      </c>
      <c r="D3105">
        <v>890</v>
      </c>
      <c r="E3105" s="208"/>
      <c r="G3105" t="s">
        <v>9749</v>
      </c>
    </row>
    <row r="3106" spans="1:7">
      <c r="A3106" t="s">
        <v>10982</v>
      </c>
      <c r="B3106" t="s">
        <v>10983</v>
      </c>
      <c r="C3106" t="s">
        <v>9849</v>
      </c>
      <c r="D3106">
        <v>4205</v>
      </c>
      <c r="E3106" s="208"/>
      <c r="G3106" t="s">
        <v>9749</v>
      </c>
    </row>
    <row r="3107" spans="1:7">
      <c r="A3107" t="s">
        <v>10984</v>
      </c>
      <c r="B3107" t="s">
        <v>10985</v>
      </c>
      <c r="C3107" t="s">
        <v>9846</v>
      </c>
      <c r="D3107">
        <v>153</v>
      </c>
      <c r="E3107" s="208"/>
      <c r="G3107" t="s">
        <v>9749</v>
      </c>
    </row>
    <row r="3108" spans="1:7">
      <c r="A3108" t="s">
        <v>10986</v>
      </c>
      <c r="B3108" t="s">
        <v>10987</v>
      </c>
      <c r="C3108" t="s">
        <v>6508</v>
      </c>
      <c r="D3108">
        <v>847</v>
      </c>
      <c r="E3108" s="208"/>
      <c r="G3108" t="s">
        <v>9749</v>
      </c>
    </row>
    <row r="3109" spans="1:7">
      <c r="A3109" t="s">
        <v>10988</v>
      </c>
      <c r="B3109" t="s">
        <v>10989</v>
      </c>
      <c r="C3109" t="s">
        <v>4845</v>
      </c>
      <c r="D3109">
        <v>1025</v>
      </c>
      <c r="E3109" s="208"/>
      <c r="G3109" t="s">
        <v>9749</v>
      </c>
    </row>
    <row r="3110" spans="1:7">
      <c r="A3110" t="s">
        <v>10990</v>
      </c>
      <c r="B3110" t="s">
        <v>10991</v>
      </c>
      <c r="C3110" t="s">
        <v>4845</v>
      </c>
      <c r="D3110">
        <v>1750</v>
      </c>
      <c r="E3110" s="208"/>
      <c r="G3110" t="s">
        <v>9749</v>
      </c>
    </row>
    <row r="3111" spans="1:7">
      <c r="A3111" t="s">
        <v>10992</v>
      </c>
      <c r="B3111" t="s">
        <v>10993</v>
      </c>
      <c r="C3111" t="s">
        <v>4845</v>
      </c>
      <c r="D3111">
        <v>97</v>
      </c>
      <c r="E3111" s="208"/>
      <c r="G3111" t="s">
        <v>9749</v>
      </c>
    </row>
    <row r="3112" spans="1:7">
      <c r="A3112" t="s">
        <v>10994</v>
      </c>
      <c r="B3112" t="s">
        <v>10995</v>
      </c>
      <c r="C3112" t="s">
        <v>4845</v>
      </c>
      <c r="D3112">
        <v>2445</v>
      </c>
      <c r="E3112" s="208"/>
      <c r="G3112" t="s">
        <v>9749</v>
      </c>
    </row>
    <row r="3113" spans="1:7">
      <c r="A3113" t="s">
        <v>10996</v>
      </c>
      <c r="B3113" t="s">
        <v>10997</v>
      </c>
      <c r="C3113" t="s">
        <v>4845</v>
      </c>
      <c r="D3113">
        <v>3360</v>
      </c>
      <c r="E3113" s="208"/>
      <c r="G3113" t="s">
        <v>9749</v>
      </c>
    </row>
    <row r="3114" spans="1:7">
      <c r="A3114" t="s">
        <v>10998</v>
      </c>
      <c r="B3114" t="s">
        <v>10999</v>
      </c>
      <c r="C3114" t="s">
        <v>4845</v>
      </c>
      <c r="D3114">
        <v>4281</v>
      </c>
      <c r="E3114" s="208"/>
      <c r="G3114" t="s">
        <v>9749</v>
      </c>
    </row>
    <row r="3115" spans="1:7">
      <c r="A3115" t="s">
        <v>11000</v>
      </c>
      <c r="B3115" t="s">
        <v>11001</v>
      </c>
      <c r="C3115" t="s">
        <v>4845</v>
      </c>
      <c r="D3115">
        <v>4856</v>
      </c>
      <c r="E3115" s="208"/>
      <c r="G3115" t="s">
        <v>9749</v>
      </c>
    </row>
    <row r="3116" spans="1:7">
      <c r="A3116" t="s">
        <v>11002</v>
      </c>
      <c r="B3116" t="s">
        <v>11003</v>
      </c>
      <c r="C3116" t="s">
        <v>4845</v>
      </c>
      <c r="D3116">
        <v>489</v>
      </c>
      <c r="E3116" s="208"/>
      <c r="G3116" t="s">
        <v>9749</v>
      </c>
    </row>
    <row r="3117" spans="1:7">
      <c r="A3117" t="s">
        <v>11004</v>
      </c>
      <c r="B3117" t="s">
        <v>11005</v>
      </c>
      <c r="C3117" t="s">
        <v>4845</v>
      </c>
      <c r="D3117">
        <v>594</v>
      </c>
      <c r="E3117" s="208"/>
      <c r="G3117" t="s">
        <v>9749</v>
      </c>
    </row>
    <row r="3118" spans="1:7">
      <c r="A3118" t="s">
        <v>11006</v>
      </c>
      <c r="B3118" t="s">
        <v>11007</v>
      </c>
      <c r="C3118" t="s">
        <v>4845</v>
      </c>
      <c r="D3118">
        <v>492</v>
      </c>
      <c r="E3118" s="208"/>
      <c r="G3118" t="s">
        <v>9749</v>
      </c>
    </row>
    <row r="3119" spans="1:7">
      <c r="A3119" t="s">
        <v>11008</v>
      </c>
      <c r="B3119" t="s">
        <v>11009</v>
      </c>
      <c r="C3119" t="s">
        <v>4845</v>
      </c>
      <c r="D3119">
        <v>613</v>
      </c>
      <c r="E3119" s="208"/>
      <c r="G3119" t="s">
        <v>9749</v>
      </c>
    </row>
    <row r="3120" spans="1:7">
      <c r="A3120" t="s">
        <v>11010</v>
      </c>
      <c r="B3120" t="s">
        <v>11011</v>
      </c>
      <c r="C3120" t="s">
        <v>4845</v>
      </c>
      <c r="D3120">
        <v>495</v>
      </c>
      <c r="E3120" s="208"/>
      <c r="G3120" t="s">
        <v>9749</v>
      </c>
    </row>
    <row r="3121" spans="1:7">
      <c r="A3121" t="s">
        <v>11012</v>
      </c>
      <c r="B3121" t="s">
        <v>11013</v>
      </c>
      <c r="C3121" t="s">
        <v>4845</v>
      </c>
      <c r="D3121">
        <v>632</v>
      </c>
      <c r="E3121" s="208"/>
      <c r="G3121" t="s">
        <v>9749</v>
      </c>
    </row>
    <row r="3122" spans="1:7">
      <c r="A3122" t="s">
        <v>11014</v>
      </c>
      <c r="B3122" t="s">
        <v>11015</v>
      </c>
      <c r="C3122" t="s">
        <v>4845</v>
      </c>
      <c r="D3122">
        <v>481</v>
      </c>
      <c r="E3122" s="208"/>
      <c r="G3122" t="s">
        <v>9749</v>
      </c>
    </row>
    <row r="3123" spans="1:7">
      <c r="A3123" t="s">
        <v>11016</v>
      </c>
      <c r="B3123" t="s">
        <v>11017</v>
      </c>
      <c r="C3123" t="s">
        <v>4845</v>
      </c>
      <c r="D3123">
        <v>559</v>
      </c>
      <c r="E3123" s="208"/>
      <c r="G3123" t="s">
        <v>9749</v>
      </c>
    </row>
    <row r="3124" spans="1:7">
      <c r="A3124" t="s">
        <v>11018</v>
      </c>
      <c r="B3124" t="s">
        <v>11019</v>
      </c>
      <c r="C3124" t="s">
        <v>4845</v>
      </c>
      <c r="D3124">
        <v>488</v>
      </c>
      <c r="E3124" s="208"/>
      <c r="G3124" t="s">
        <v>9749</v>
      </c>
    </row>
    <row r="3125" spans="1:7">
      <c r="A3125" t="s">
        <v>11020</v>
      </c>
      <c r="B3125" t="s">
        <v>11021</v>
      </c>
      <c r="C3125" t="s">
        <v>4845</v>
      </c>
      <c r="D3125">
        <v>578</v>
      </c>
      <c r="E3125" s="208"/>
      <c r="G3125" t="s">
        <v>9749</v>
      </c>
    </row>
    <row r="3126" spans="1:7">
      <c r="A3126" t="s">
        <v>11022</v>
      </c>
      <c r="B3126" t="s">
        <v>11023</v>
      </c>
      <c r="C3126" t="s">
        <v>4845</v>
      </c>
      <c r="D3126">
        <v>1096</v>
      </c>
      <c r="E3126" s="208"/>
      <c r="G3126" t="s">
        <v>9749</v>
      </c>
    </row>
    <row r="3127" spans="1:7">
      <c r="A3127" t="s">
        <v>11024</v>
      </c>
      <c r="B3127" t="s">
        <v>11025</v>
      </c>
      <c r="C3127" t="s">
        <v>4845</v>
      </c>
      <c r="D3127">
        <v>1070</v>
      </c>
      <c r="E3127" s="208"/>
      <c r="G3127" t="s">
        <v>9749</v>
      </c>
    </row>
    <row r="3128" spans="1:7">
      <c r="A3128" t="s">
        <v>11026</v>
      </c>
      <c r="B3128" t="s">
        <v>11027</v>
      </c>
      <c r="C3128" t="s">
        <v>4845</v>
      </c>
      <c r="D3128">
        <v>951</v>
      </c>
      <c r="E3128" s="208"/>
      <c r="G3128" t="s">
        <v>9749</v>
      </c>
    </row>
    <row r="3129" spans="1:7">
      <c r="A3129" t="s">
        <v>11028</v>
      </c>
      <c r="B3129" t="s">
        <v>11029</v>
      </c>
      <c r="C3129" t="s">
        <v>4845</v>
      </c>
      <c r="D3129">
        <v>937</v>
      </c>
      <c r="E3129" s="208"/>
      <c r="G3129" t="s">
        <v>9749</v>
      </c>
    </row>
    <row r="3130" spans="1:7">
      <c r="A3130" t="s">
        <v>11030</v>
      </c>
      <c r="B3130" t="s">
        <v>11031</v>
      </c>
      <c r="C3130" t="s">
        <v>4845</v>
      </c>
      <c r="D3130">
        <v>1239</v>
      </c>
      <c r="E3130" s="208"/>
      <c r="G3130" t="s">
        <v>9749</v>
      </c>
    </row>
    <row r="3131" spans="1:7">
      <c r="A3131" t="s">
        <v>11032</v>
      </c>
      <c r="B3131" t="s">
        <v>11033</v>
      </c>
      <c r="C3131" t="s">
        <v>4845</v>
      </c>
      <c r="D3131">
        <v>1208</v>
      </c>
      <c r="E3131" s="208"/>
      <c r="G3131" t="s">
        <v>9749</v>
      </c>
    </row>
    <row r="3132" spans="1:7">
      <c r="A3132" t="s">
        <v>11034</v>
      </c>
      <c r="B3132" t="s">
        <v>11035</v>
      </c>
      <c r="C3132" t="s">
        <v>4845</v>
      </c>
      <c r="D3132">
        <v>891</v>
      </c>
      <c r="E3132" s="208"/>
      <c r="G3132" t="s">
        <v>9749</v>
      </c>
    </row>
    <row r="3133" spans="1:7">
      <c r="A3133" t="s">
        <v>11036</v>
      </c>
      <c r="B3133" t="s">
        <v>11037</v>
      </c>
      <c r="C3133" t="s">
        <v>4845</v>
      </c>
      <c r="D3133">
        <v>872</v>
      </c>
      <c r="E3133" s="208"/>
      <c r="G3133" t="s">
        <v>9749</v>
      </c>
    </row>
    <row r="3134" spans="1:7">
      <c r="A3134" t="s">
        <v>11038</v>
      </c>
      <c r="B3134" t="s">
        <v>11039</v>
      </c>
      <c r="C3134" t="s">
        <v>4845</v>
      </c>
      <c r="D3134">
        <v>2064</v>
      </c>
      <c r="E3134" s="208"/>
      <c r="G3134" t="s">
        <v>9749</v>
      </c>
    </row>
    <row r="3135" spans="1:7">
      <c r="A3135" t="s">
        <v>11040</v>
      </c>
      <c r="B3135" t="s">
        <v>11041</v>
      </c>
      <c r="C3135" t="s">
        <v>4845</v>
      </c>
      <c r="D3135">
        <v>2013</v>
      </c>
      <c r="E3135" s="208"/>
      <c r="G3135" t="s">
        <v>9749</v>
      </c>
    </row>
    <row r="3136" spans="1:7">
      <c r="A3136" t="s">
        <v>11042</v>
      </c>
      <c r="B3136" t="s">
        <v>11043</v>
      </c>
      <c r="C3136" t="s">
        <v>4845</v>
      </c>
      <c r="D3136">
        <v>1782</v>
      </c>
      <c r="E3136" s="208"/>
      <c r="G3136" t="s">
        <v>9749</v>
      </c>
    </row>
    <row r="3137" spans="1:7">
      <c r="A3137" t="s">
        <v>11044</v>
      </c>
      <c r="B3137" t="s">
        <v>11045</v>
      </c>
      <c r="C3137" t="s">
        <v>4845</v>
      </c>
      <c r="D3137">
        <v>1734</v>
      </c>
      <c r="E3137" s="208"/>
      <c r="G3137" t="s">
        <v>9749</v>
      </c>
    </row>
    <row r="3138" spans="1:7">
      <c r="A3138" t="s">
        <v>11046</v>
      </c>
      <c r="B3138" t="s">
        <v>11047</v>
      </c>
      <c r="C3138" t="s">
        <v>4845</v>
      </c>
      <c r="D3138">
        <v>1344</v>
      </c>
      <c r="E3138" s="208"/>
      <c r="G3138" t="s">
        <v>9749</v>
      </c>
    </row>
    <row r="3139" spans="1:7">
      <c r="A3139" t="s">
        <v>11048</v>
      </c>
      <c r="B3139" t="s">
        <v>11049</v>
      </c>
      <c r="C3139" t="s">
        <v>4845</v>
      </c>
      <c r="D3139">
        <v>1313</v>
      </c>
      <c r="E3139" s="208"/>
      <c r="G3139" t="s">
        <v>9749</v>
      </c>
    </row>
    <row r="3140" spans="1:7">
      <c r="A3140" t="s">
        <v>11050</v>
      </c>
      <c r="B3140" t="s">
        <v>11051</v>
      </c>
      <c r="C3140" t="s">
        <v>4845</v>
      </c>
      <c r="D3140">
        <v>719</v>
      </c>
      <c r="E3140" s="208"/>
      <c r="G3140" t="s">
        <v>9749</v>
      </c>
    </row>
    <row r="3141" spans="1:7">
      <c r="A3141" t="s">
        <v>11052</v>
      </c>
      <c r="B3141" t="s">
        <v>11053</v>
      </c>
      <c r="C3141" t="s">
        <v>4845</v>
      </c>
      <c r="D3141">
        <v>704</v>
      </c>
      <c r="E3141" s="208"/>
      <c r="G3141" t="s">
        <v>9749</v>
      </c>
    </row>
    <row r="3142" spans="1:7">
      <c r="A3142" t="s">
        <v>11054</v>
      </c>
      <c r="B3142" t="s">
        <v>11055</v>
      </c>
      <c r="C3142" t="s">
        <v>4845</v>
      </c>
      <c r="D3142">
        <v>882</v>
      </c>
      <c r="E3142" s="208"/>
      <c r="G3142" t="s">
        <v>9749</v>
      </c>
    </row>
    <row r="3143" spans="1:7">
      <c r="A3143" t="s">
        <v>11056</v>
      </c>
      <c r="B3143" t="s">
        <v>11057</v>
      </c>
      <c r="C3143" t="s">
        <v>4845</v>
      </c>
      <c r="D3143">
        <v>860</v>
      </c>
      <c r="E3143" s="208"/>
      <c r="G3143" t="s">
        <v>9749</v>
      </c>
    </row>
    <row r="3144" spans="1:7">
      <c r="A3144" t="s">
        <v>11058</v>
      </c>
      <c r="B3144" t="s">
        <v>11059</v>
      </c>
      <c r="C3144" t="s">
        <v>4845</v>
      </c>
      <c r="D3144">
        <v>1001</v>
      </c>
      <c r="E3144" s="208"/>
      <c r="G3144" t="s">
        <v>9749</v>
      </c>
    </row>
    <row r="3145" spans="1:7">
      <c r="A3145" t="s">
        <v>11060</v>
      </c>
      <c r="B3145" t="s">
        <v>11061</v>
      </c>
      <c r="C3145" t="s">
        <v>4845</v>
      </c>
      <c r="D3145">
        <v>1161</v>
      </c>
      <c r="E3145" s="208"/>
      <c r="G3145" t="s">
        <v>9749</v>
      </c>
    </row>
    <row r="3146" spans="1:7">
      <c r="A3146" t="s">
        <v>11062</v>
      </c>
      <c r="B3146" t="s">
        <v>11063</v>
      </c>
      <c r="C3146" t="s">
        <v>4845</v>
      </c>
      <c r="D3146">
        <v>1366</v>
      </c>
      <c r="E3146" s="208"/>
      <c r="G3146" t="s">
        <v>9749</v>
      </c>
    </row>
    <row r="3147" spans="1:7">
      <c r="A3147" t="s">
        <v>11064</v>
      </c>
      <c r="B3147" t="s">
        <v>11065</v>
      </c>
      <c r="C3147" t="s">
        <v>4845</v>
      </c>
      <c r="D3147">
        <v>1611</v>
      </c>
      <c r="E3147" s="208"/>
      <c r="G3147" t="s">
        <v>9749</v>
      </c>
    </row>
    <row r="3148" spans="1:7">
      <c r="A3148" t="s">
        <v>11066</v>
      </c>
      <c r="B3148" t="s">
        <v>11067</v>
      </c>
      <c r="C3148" t="s">
        <v>4845</v>
      </c>
      <c r="D3148">
        <v>1848</v>
      </c>
      <c r="E3148" s="208"/>
      <c r="G3148" t="s">
        <v>9749</v>
      </c>
    </row>
    <row r="3149" spans="1:7">
      <c r="A3149" t="s">
        <v>11068</v>
      </c>
      <c r="B3149" t="s">
        <v>11069</v>
      </c>
      <c r="C3149" t="s">
        <v>4845</v>
      </c>
      <c r="D3149">
        <v>2093</v>
      </c>
      <c r="E3149" s="208"/>
      <c r="G3149" t="s">
        <v>9749</v>
      </c>
    </row>
    <row r="3150" spans="1:7">
      <c r="A3150" t="s">
        <v>11070</v>
      </c>
      <c r="B3150" t="s">
        <v>11071</v>
      </c>
      <c r="C3150" t="s">
        <v>4845</v>
      </c>
      <c r="D3150">
        <v>2409</v>
      </c>
      <c r="E3150" s="208"/>
      <c r="G3150" t="s">
        <v>9749</v>
      </c>
    </row>
    <row r="3151" spans="1:7">
      <c r="A3151" t="s">
        <v>11072</v>
      </c>
      <c r="B3151" t="s">
        <v>11073</v>
      </c>
      <c r="C3151" t="s">
        <v>4845</v>
      </c>
      <c r="D3151">
        <v>2599</v>
      </c>
      <c r="E3151" s="208"/>
      <c r="G3151" t="s">
        <v>9749</v>
      </c>
    </row>
    <row r="3152" spans="1:7">
      <c r="A3152" t="s">
        <v>11074</v>
      </c>
      <c r="B3152" t="s">
        <v>11075</v>
      </c>
      <c r="C3152" t="s">
        <v>4845</v>
      </c>
      <c r="D3152">
        <v>1001</v>
      </c>
      <c r="E3152" s="208"/>
      <c r="G3152" t="s">
        <v>9749</v>
      </c>
    </row>
    <row r="3153" spans="1:7">
      <c r="A3153" t="s">
        <v>11076</v>
      </c>
      <c r="B3153" t="s">
        <v>11077</v>
      </c>
      <c r="C3153" t="s">
        <v>4845</v>
      </c>
      <c r="D3153">
        <v>1161</v>
      </c>
      <c r="E3153" s="208"/>
      <c r="G3153" t="s">
        <v>9749</v>
      </c>
    </row>
    <row r="3154" spans="1:7">
      <c r="A3154" t="s">
        <v>11078</v>
      </c>
      <c r="B3154" t="s">
        <v>11079</v>
      </c>
      <c r="C3154" t="s">
        <v>4845</v>
      </c>
      <c r="D3154">
        <v>1366</v>
      </c>
      <c r="E3154" s="208"/>
      <c r="G3154" t="s">
        <v>9749</v>
      </c>
    </row>
    <row r="3155" spans="1:7">
      <c r="A3155" t="s">
        <v>11080</v>
      </c>
      <c r="B3155" t="s">
        <v>11081</v>
      </c>
      <c r="C3155" t="s">
        <v>4845</v>
      </c>
      <c r="D3155">
        <v>1611</v>
      </c>
      <c r="E3155" s="208"/>
      <c r="G3155" t="s">
        <v>9749</v>
      </c>
    </row>
    <row r="3156" spans="1:7">
      <c r="A3156" t="s">
        <v>11082</v>
      </c>
      <c r="B3156" t="s">
        <v>11083</v>
      </c>
      <c r="C3156" t="s">
        <v>4845</v>
      </c>
      <c r="D3156">
        <v>1848</v>
      </c>
      <c r="E3156" s="208"/>
      <c r="G3156" t="s">
        <v>9749</v>
      </c>
    </row>
    <row r="3157" spans="1:7">
      <c r="A3157" t="s">
        <v>11084</v>
      </c>
      <c r="B3157" t="s">
        <v>11085</v>
      </c>
      <c r="C3157" t="s">
        <v>4845</v>
      </c>
      <c r="D3157">
        <v>2093</v>
      </c>
      <c r="E3157" s="208"/>
      <c r="G3157" t="s">
        <v>9749</v>
      </c>
    </row>
    <row r="3158" spans="1:7">
      <c r="A3158" t="s">
        <v>11086</v>
      </c>
      <c r="B3158" t="s">
        <v>11087</v>
      </c>
      <c r="C3158" t="s">
        <v>4845</v>
      </c>
      <c r="D3158">
        <v>2409</v>
      </c>
      <c r="E3158" s="208"/>
      <c r="G3158" t="s">
        <v>9749</v>
      </c>
    </row>
    <row r="3159" spans="1:7">
      <c r="A3159" t="s">
        <v>11088</v>
      </c>
      <c r="B3159" t="s">
        <v>11089</v>
      </c>
      <c r="C3159" t="s">
        <v>4845</v>
      </c>
      <c r="D3159">
        <v>2599</v>
      </c>
      <c r="E3159" s="208"/>
      <c r="G3159" t="s">
        <v>9749</v>
      </c>
    </row>
    <row r="3160" spans="1:7">
      <c r="A3160" t="s">
        <v>11090</v>
      </c>
      <c r="B3160" t="s">
        <v>11091</v>
      </c>
      <c r="C3160" t="s">
        <v>4845</v>
      </c>
      <c r="D3160">
        <v>1283</v>
      </c>
      <c r="E3160" s="208"/>
      <c r="G3160" t="s">
        <v>9749</v>
      </c>
    </row>
    <row r="3161" spans="1:7">
      <c r="A3161" t="s">
        <v>11092</v>
      </c>
      <c r="B3161" t="s">
        <v>11093</v>
      </c>
      <c r="C3161" t="s">
        <v>4845</v>
      </c>
      <c r="D3161">
        <v>1468</v>
      </c>
      <c r="E3161" s="208"/>
      <c r="G3161" t="s">
        <v>9749</v>
      </c>
    </row>
    <row r="3162" spans="1:7">
      <c r="A3162" t="s">
        <v>11094</v>
      </c>
      <c r="B3162" t="s">
        <v>11095</v>
      </c>
      <c r="C3162" t="s">
        <v>4845</v>
      </c>
      <c r="D3162">
        <v>1646</v>
      </c>
      <c r="E3162" s="208"/>
      <c r="G3162" t="s">
        <v>9749</v>
      </c>
    </row>
    <row r="3163" spans="1:7">
      <c r="A3163" t="s">
        <v>11096</v>
      </c>
      <c r="B3163" t="s">
        <v>11097</v>
      </c>
      <c r="C3163" t="s">
        <v>4845</v>
      </c>
      <c r="D3163">
        <v>1969</v>
      </c>
      <c r="E3163" s="208"/>
      <c r="G3163" t="s">
        <v>9749</v>
      </c>
    </row>
    <row r="3164" spans="1:7">
      <c r="A3164" t="s">
        <v>11098</v>
      </c>
      <c r="B3164" t="s">
        <v>11099</v>
      </c>
      <c r="C3164" t="s">
        <v>4845</v>
      </c>
      <c r="D3164">
        <v>2145</v>
      </c>
      <c r="E3164" s="208"/>
      <c r="G3164" t="s">
        <v>9749</v>
      </c>
    </row>
    <row r="3165" spans="1:7">
      <c r="A3165" t="s">
        <v>11100</v>
      </c>
      <c r="B3165" t="s">
        <v>11101</v>
      </c>
      <c r="C3165" t="s">
        <v>4845</v>
      </c>
      <c r="D3165">
        <v>2429</v>
      </c>
      <c r="E3165" s="208"/>
      <c r="G3165" t="s">
        <v>9749</v>
      </c>
    </row>
    <row r="3166" spans="1:7">
      <c r="A3166" t="s">
        <v>11102</v>
      </c>
      <c r="B3166" t="s">
        <v>11103</v>
      </c>
      <c r="C3166" t="s">
        <v>4845</v>
      </c>
      <c r="D3166">
        <v>2660</v>
      </c>
      <c r="E3166" s="208"/>
      <c r="G3166" t="s">
        <v>9749</v>
      </c>
    </row>
    <row r="3167" spans="1:7">
      <c r="A3167" t="s">
        <v>11104</v>
      </c>
      <c r="B3167" t="s">
        <v>11105</v>
      </c>
      <c r="C3167" t="s">
        <v>4845</v>
      </c>
      <c r="D3167">
        <v>3029</v>
      </c>
      <c r="E3167" s="208"/>
      <c r="G3167" t="s">
        <v>9749</v>
      </c>
    </row>
    <row r="3168" spans="1:7">
      <c r="A3168" t="s">
        <v>11106</v>
      </c>
      <c r="B3168" t="s">
        <v>11107</v>
      </c>
      <c r="C3168" t="s">
        <v>4845</v>
      </c>
      <c r="D3168">
        <v>1283</v>
      </c>
      <c r="E3168" s="208"/>
      <c r="G3168" t="s">
        <v>9749</v>
      </c>
    </row>
    <row r="3169" spans="1:7">
      <c r="A3169" t="s">
        <v>11108</v>
      </c>
      <c r="B3169" t="s">
        <v>11109</v>
      </c>
      <c r="C3169" t="s">
        <v>4845</v>
      </c>
      <c r="D3169">
        <v>1468</v>
      </c>
      <c r="E3169" s="208"/>
      <c r="G3169" t="s">
        <v>9749</v>
      </c>
    </row>
    <row r="3170" spans="1:7">
      <c r="A3170" t="s">
        <v>11110</v>
      </c>
      <c r="B3170" t="s">
        <v>11111</v>
      </c>
      <c r="C3170" t="s">
        <v>4845</v>
      </c>
      <c r="D3170">
        <v>1646</v>
      </c>
      <c r="E3170" s="208"/>
      <c r="G3170" t="s">
        <v>9749</v>
      </c>
    </row>
    <row r="3171" spans="1:7">
      <c r="A3171" t="s">
        <v>11112</v>
      </c>
      <c r="B3171" t="s">
        <v>11113</v>
      </c>
      <c r="C3171" t="s">
        <v>4845</v>
      </c>
      <c r="D3171">
        <v>1969</v>
      </c>
      <c r="E3171" s="208"/>
      <c r="G3171" t="s">
        <v>9749</v>
      </c>
    </row>
    <row r="3172" spans="1:7">
      <c r="A3172" t="s">
        <v>11114</v>
      </c>
      <c r="B3172" t="s">
        <v>11115</v>
      </c>
      <c r="C3172" t="s">
        <v>4845</v>
      </c>
      <c r="D3172">
        <v>2145</v>
      </c>
      <c r="E3172" s="208"/>
      <c r="G3172" t="s">
        <v>9749</v>
      </c>
    </row>
    <row r="3173" spans="1:7">
      <c r="A3173" t="s">
        <v>11116</v>
      </c>
      <c r="B3173" t="s">
        <v>11117</v>
      </c>
      <c r="C3173" t="s">
        <v>4845</v>
      </c>
      <c r="D3173">
        <v>2429</v>
      </c>
      <c r="E3173" s="208"/>
      <c r="G3173" t="s">
        <v>9749</v>
      </c>
    </row>
    <row r="3174" spans="1:7">
      <c r="A3174" t="s">
        <v>11118</v>
      </c>
      <c r="B3174" t="s">
        <v>11119</v>
      </c>
      <c r="C3174" t="s">
        <v>4845</v>
      </c>
      <c r="D3174">
        <v>2660</v>
      </c>
      <c r="E3174" s="208"/>
      <c r="G3174" t="s">
        <v>9749</v>
      </c>
    </row>
    <row r="3175" spans="1:7">
      <c r="A3175" t="s">
        <v>11120</v>
      </c>
      <c r="B3175" t="s">
        <v>11121</v>
      </c>
      <c r="C3175" t="s">
        <v>4845</v>
      </c>
      <c r="D3175">
        <v>3029</v>
      </c>
      <c r="E3175" s="208"/>
      <c r="G3175" t="s">
        <v>9749</v>
      </c>
    </row>
    <row r="3176" spans="1:7">
      <c r="A3176" t="s">
        <v>11122</v>
      </c>
      <c r="B3176" t="s">
        <v>11123</v>
      </c>
      <c r="C3176" t="s">
        <v>4845</v>
      </c>
      <c r="D3176">
        <v>262</v>
      </c>
      <c r="E3176" s="208"/>
      <c r="G3176" t="s">
        <v>9749</v>
      </c>
    </row>
    <row r="3177" spans="1:7">
      <c r="A3177" t="s">
        <v>11124</v>
      </c>
      <c r="B3177" t="s">
        <v>11125</v>
      </c>
      <c r="C3177" t="s">
        <v>4845</v>
      </c>
      <c r="D3177">
        <v>262</v>
      </c>
      <c r="E3177" s="208"/>
      <c r="G3177" t="s">
        <v>9749</v>
      </c>
    </row>
    <row r="3178" spans="1:7">
      <c r="A3178" t="s">
        <v>11126</v>
      </c>
      <c r="B3178" t="s">
        <v>11127</v>
      </c>
      <c r="C3178" t="s">
        <v>4845</v>
      </c>
      <c r="D3178">
        <v>161</v>
      </c>
      <c r="E3178" s="208"/>
      <c r="G3178" t="s">
        <v>9749</v>
      </c>
    </row>
    <row r="3179" spans="1:7">
      <c r="A3179" t="s">
        <v>11128</v>
      </c>
      <c r="B3179" t="s">
        <v>11129</v>
      </c>
      <c r="C3179" t="s">
        <v>4845</v>
      </c>
      <c r="D3179">
        <v>161</v>
      </c>
      <c r="E3179" s="208"/>
      <c r="G3179" t="s">
        <v>9749</v>
      </c>
    </row>
    <row r="3180" spans="1:7">
      <c r="A3180" t="s">
        <v>11130</v>
      </c>
      <c r="B3180" t="s">
        <v>11131</v>
      </c>
      <c r="C3180" t="s">
        <v>4845</v>
      </c>
      <c r="D3180">
        <v>84</v>
      </c>
      <c r="E3180" s="208"/>
      <c r="G3180" t="s">
        <v>9749</v>
      </c>
    </row>
    <row r="3181" spans="1:7">
      <c r="A3181" t="s">
        <v>11132</v>
      </c>
      <c r="B3181" t="s">
        <v>11133</v>
      </c>
      <c r="C3181" t="s">
        <v>4845</v>
      </c>
      <c r="D3181">
        <v>88</v>
      </c>
      <c r="E3181" s="208"/>
      <c r="G3181" t="s">
        <v>9749</v>
      </c>
    </row>
    <row r="3182" spans="1:7">
      <c r="A3182" t="s">
        <v>11134</v>
      </c>
      <c r="B3182" t="s">
        <v>11135</v>
      </c>
      <c r="C3182" t="s">
        <v>4845</v>
      </c>
      <c r="D3182">
        <v>88</v>
      </c>
      <c r="E3182" s="208"/>
      <c r="G3182" t="s">
        <v>9749</v>
      </c>
    </row>
    <row r="3183" spans="1:7">
      <c r="A3183" t="s">
        <v>11136</v>
      </c>
      <c r="B3183" t="s">
        <v>11137</v>
      </c>
      <c r="C3183" t="s">
        <v>4845</v>
      </c>
      <c r="D3183">
        <v>1335</v>
      </c>
      <c r="E3183" s="208"/>
      <c r="G3183" t="s">
        <v>9749</v>
      </c>
    </row>
    <row r="3184" spans="1:7">
      <c r="A3184" t="s">
        <v>11138</v>
      </c>
      <c r="B3184" t="s">
        <v>11139</v>
      </c>
      <c r="C3184" t="s">
        <v>4845</v>
      </c>
      <c r="D3184">
        <v>1335</v>
      </c>
      <c r="E3184" s="208"/>
      <c r="G3184" t="s">
        <v>9749</v>
      </c>
    </row>
    <row r="3185" spans="1:7">
      <c r="A3185" t="s">
        <v>11140</v>
      </c>
      <c r="B3185" t="s">
        <v>11141</v>
      </c>
      <c r="C3185" t="s">
        <v>4845</v>
      </c>
      <c r="D3185">
        <v>4076</v>
      </c>
      <c r="E3185" s="208"/>
      <c r="G3185" t="s">
        <v>9749</v>
      </c>
    </row>
    <row r="3186" spans="1:7">
      <c r="A3186" t="s">
        <v>11142</v>
      </c>
      <c r="B3186" t="s">
        <v>11143</v>
      </c>
      <c r="C3186" t="s">
        <v>4845</v>
      </c>
      <c r="D3186">
        <v>4076</v>
      </c>
      <c r="E3186" s="208"/>
      <c r="G3186" t="s">
        <v>9749</v>
      </c>
    </row>
    <row r="3187" spans="1:7">
      <c r="A3187" t="s">
        <v>11144</v>
      </c>
      <c r="B3187" t="s">
        <v>11145</v>
      </c>
      <c r="C3187" t="s">
        <v>4845</v>
      </c>
      <c r="D3187">
        <v>4825</v>
      </c>
      <c r="E3187" s="208"/>
      <c r="G3187" t="s">
        <v>9749</v>
      </c>
    </row>
    <row r="3188" spans="1:7">
      <c r="A3188" t="s">
        <v>11146</v>
      </c>
      <c r="B3188" t="s">
        <v>11147</v>
      </c>
      <c r="C3188" t="s">
        <v>4845</v>
      </c>
      <c r="D3188">
        <v>4825</v>
      </c>
      <c r="E3188" s="208"/>
      <c r="G3188" t="s">
        <v>9749</v>
      </c>
    </row>
    <row r="3189" spans="1:7">
      <c r="A3189" t="s">
        <v>11148</v>
      </c>
      <c r="B3189" t="s">
        <v>11149</v>
      </c>
      <c r="C3189" t="s">
        <v>4845</v>
      </c>
      <c r="D3189">
        <v>4744</v>
      </c>
      <c r="E3189" s="208"/>
      <c r="G3189" t="s">
        <v>9749</v>
      </c>
    </row>
    <row r="3190" spans="1:7">
      <c r="A3190" t="s">
        <v>11150</v>
      </c>
      <c r="B3190" t="s">
        <v>11151</v>
      </c>
      <c r="C3190" t="s">
        <v>4845</v>
      </c>
      <c r="D3190">
        <v>4744</v>
      </c>
      <c r="E3190" s="208"/>
      <c r="G3190" t="s">
        <v>9749</v>
      </c>
    </row>
    <row r="3191" spans="1:7">
      <c r="A3191" t="s">
        <v>11152</v>
      </c>
      <c r="B3191" t="s">
        <v>11153</v>
      </c>
      <c r="C3191" t="s">
        <v>4845</v>
      </c>
      <c r="D3191">
        <v>6646</v>
      </c>
      <c r="E3191" s="208"/>
      <c r="G3191" t="s">
        <v>9749</v>
      </c>
    </row>
    <row r="3192" spans="1:7">
      <c r="A3192" t="s">
        <v>11154</v>
      </c>
      <c r="B3192" t="s">
        <v>11155</v>
      </c>
      <c r="C3192" t="s">
        <v>4845</v>
      </c>
      <c r="D3192">
        <v>6646</v>
      </c>
      <c r="E3192" s="208"/>
      <c r="G3192" t="s">
        <v>9749</v>
      </c>
    </row>
    <row r="3193" spans="1:7">
      <c r="A3193" t="s">
        <v>11156</v>
      </c>
      <c r="B3193" t="s">
        <v>11157</v>
      </c>
      <c r="C3193" t="s">
        <v>4845</v>
      </c>
      <c r="D3193">
        <v>7485</v>
      </c>
      <c r="E3193" s="208"/>
      <c r="G3193" t="s">
        <v>9749</v>
      </c>
    </row>
    <row r="3194" spans="1:7">
      <c r="A3194" t="s">
        <v>11158</v>
      </c>
      <c r="B3194" t="s">
        <v>11159</v>
      </c>
      <c r="C3194" t="s">
        <v>4845</v>
      </c>
      <c r="D3194">
        <v>7485</v>
      </c>
      <c r="E3194" s="208"/>
      <c r="G3194" t="s">
        <v>9749</v>
      </c>
    </row>
    <row r="3195" spans="1:7">
      <c r="A3195" t="s">
        <v>11160</v>
      </c>
      <c r="B3195" t="s">
        <v>11161</v>
      </c>
      <c r="C3195" t="s">
        <v>4845</v>
      </c>
      <c r="D3195">
        <v>1548</v>
      </c>
      <c r="E3195" s="208"/>
      <c r="G3195" t="s">
        <v>9749</v>
      </c>
    </row>
    <row r="3196" spans="1:7">
      <c r="A3196" t="s">
        <v>11162</v>
      </c>
      <c r="B3196" t="s">
        <v>11163</v>
      </c>
      <c r="C3196" t="s">
        <v>4845</v>
      </c>
      <c r="D3196">
        <v>1548</v>
      </c>
      <c r="E3196" s="208"/>
      <c r="G3196" t="s">
        <v>9749</v>
      </c>
    </row>
    <row r="3197" spans="1:7">
      <c r="A3197" t="s">
        <v>11164</v>
      </c>
      <c r="B3197" t="s">
        <v>11165</v>
      </c>
      <c r="C3197" t="s">
        <v>4845</v>
      </c>
      <c r="D3197">
        <v>909</v>
      </c>
      <c r="E3197" s="208"/>
      <c r="G3197" t="s">
        <v>9749</v>
      </c>
    </row>
    <row r="3198" spans="1:7">
      <c r="A3198" t="s">
        <v>11166</v>
      </c>
      <c r="B3198" t="s">
        <v>11167</v>
      </c>
      <c r="C3198" t="s">
        <v>4845</v>
      </c>
      <c r="D3198">
        <v>909</v>
      </c>
      <c r="E3198" s="208"/>
      <c r="G3198" t="s">
        <v>9749</v>
      </c>
    </row>
    <row r="3199" spans="1:7">
      <c r="A3199" t="s">
        <v>11168</v>
      </c>
      <c r="B3199" t="s">
        <v>11169</v>
      </c>
      <c r="C3199" t="s">
        <v>4845</v>
      </c>
      <c r="D3199">
        <v>909</v>
      </c>
      <c r="E3199" s="208"/>
      <c r="G3199" t="s">
        <v>9749</v>
      </c>
    </row>
    <row r="3200" spans="1:7">
      <c r="A3200" t="s">
        <v>11170</v>
      </c>
      <c r="B3200" t="s">
        <v>11171</v>
      </c>
      <c r="C3200" t="s">
        <v>4845</v>
      </c>
      <c r="D3200">
        <v>909</v>
      </c>
      <c r="E3200" s="208"/>
      <c r="G3200" t="s">
        <v>9749</v>
      </c>
    </row>
    <row r="3201" spans="1:7">
      <c r="A3201" t="s">
        <v>11172</v>
      </c>
      <c r="B3201" t="s">
        <v>11173</v>
      </c>
      <c r="C3201" t="s">
        <v>4845</v>
      </c>
      <c r="D3201">
        <v>909</v>
      </c>
      <c r="E3201" s="208"/>
      <c r="G3201" t="s">
        <v>9749</v>
      </c>
    </row>
    <row r="3202" spans="1:7">
      <c r="A3202" t="s">
        <v>11174</v>
      </c>
      <c r="B3202" t="s">
        <v>11175</v>
      </c>
      <c r="C3202" t="s">
        <v>4845</v>
      </c>
      <c r="D3202">
        <v>909</v>
      </c>
      <c r="E3202" s="208"/>
      <c r="G3202" t="s">
        <v>9749</v>
      </c>
    </row>
    <row r="3203" spans="1:7">
      <c r="A3203" t="s">
        <v>11176</v>
      </c>
      <c r="B3203" t="s">
        <v>11177</v>
      </c>
      <c r="C3203" t="s">
        <v>4845</v>
      </c>
      <c r="D3203">
        <v>36.65</v>
      </c>
      <c r="E3203" s="208"/>
      <c r="G3203" t="s">
        <v>9749</v>
      </c>
    </row>
    <row r="3204" spans="1:7">
      <c r="A3204" t="s">
        <v>11178</v>
      </c>
      <c r="B3204" t="s">
        <v>11179</v>
      </c>
      <c r="C3204" t="s">
        <v>4845</v>
      </c>
      <c r="D3204">
        <v>24.5</v>
      </c>
      <c r="E3204" s="208"/>
      <c r="G3204" t="s">
        <v>9749</v>
      </c>
    </row>
    <row r="3205" spans="1:7">
      <c r="A3205" t="s">
        <v>11180</v>
      </c>
      <c r="B3205" t="s">
        <v>11181</v>
      </c>
      <c r="C3205" t="s">
        <v>4845</v>
      </c>
      <c r="D3205">
        <v>13.8</v>
      </c>
      <c r="E3205" s="208"/>
      <c r="G3205" t="s">
        <v>9749</v>
      </c>
    </row>
    <row r="3206" spans="1:7">
      <c r="A3206" t="s">
        <v>11182</v>
      </c>
      <c r="B3206" t="s">
        <v>11183</v>
      </c>
      <c r="C3206" t="s">
        <v>4845</v>
      </c>
      <c r="D3206">
        <v>9.5</v>
      </c>
      <c r="E3206" s="208"/>
      <c r="G3206" t="s">
        <v>9749</v>
      </c>
    </row>
    <row r="3207" spans="1:7">
      <c r="A3207" t="s">
        <v>11184</v>
      </c>
      <c r="B3207" t="s">
        <v>11185</v>
      </c>
      <c r="C3207" t="s">
        <v>4845</v>
      </c>
      <c r="D3207">
        <v>11.2</v>
      </c>
      <c r="E3207" s="208"/>
      <c r="G3207" t="s">
        <v>9749</v>
      </c>
    </row>
    <row r="3208" spans="1:7">
      <c r="A3208" t="s">
        <v>11186</v>
      </c>
      <c r="B3208" t="s">
        <v>11187</v>
      </c>
      <c r="C3208" t="s">
        <v>4845</v>
      </c>
      <c r="D3208">
        <v>13.65</v>
      </c>
      <c r="E3208" s="208"/>
      <c r="G3208" t="s">
        <v>9749</v>
      </c>
    </row>
    <row r="3209" spans="1:7">
      <c r="A3209" t="s">
        <v>11188</v>
      </c>
      <c r="B3209" t="s">
        <v>11189</v>
      </c>
      <c r="C3209" t="s">
        <v>4845</v>
      </c>
      <c r="D3209">
        <v>11881</v>
      </c>
      <c r="E3209" s="208"/>
      <c r="G3209" t="s">
        <v>9749</v>
      </c>
    </row>
    <row r="3210" spans="1:7">
      <c r="A3210" t="s">
        <v>11190</v>
      </c>
      <c r="B3210" t="s">
        <v>11191</v>
      </c>
      <c r="C3210" t="s">
        <v>4845</v>
      </c>
      <c r="D3210">
        <v>5353</v>
      </c>
      <c r="E3210" s="208"/>
      <c r="G3210" t="s">
        <v>9749</v>
      </c>
    </row>
    <row r="3211" spans="1:7">
      <c r="A3211" t="s">
        <v>11192</v>
      </c>
      <c r="B3211" t="s">
        <v>11193</v>
      </c>
      <c r="C3211" t="s">
        <v>4845</v>
      </c>
      <c r="D3211">
        <v>1555</v>
      </c>
      <c r="E3211" s="208"/>
      <c r="G3211" t="s">
        <v>9749</v>
      </c>
    </row>
    <row r="3212" spans="1:7">
      <c r="A3212" t="s">
        <v>11194</v>
      </c>
      <c r="B3212" t="s">
        <v>11195</v>
      </c>
      <c r="C3212" t="s">
        <v>4845</v>
      </c>
      <c r="D3212">
        <v>989</v>
      </c>
      <c r="E3212" s="208"/>
      <c r="G3212" t="s">
        <v>9749</v>
      </c>
    </row>
    <row r="3213" spans="1:7">
      <c r="A3213" t="s">
        <v>11196</v>
      </c>
      <c r="B3213" t="s">
        <v>11197</v>
      </c>
      <c r="C3213" t="s">
        <v>4845</v>
      </c>
      <c r="D3213">
        <v>5.55</v>
      </c>
      <c r="E3213" s="208"/>
      <c r="G3213" t="s">
        <v>9749</v>
      </c>
    </row>
    <row r="3214" spans="1:7">
      <c r="A3214" t="s">
        <v>11198</v>
      </c>
      <c r="B3214" t="s">
        <v>11199</v>
      </c>
      <c r="C3214" t="s">
        <v>4845</v>
      </c>
      <c r="D3214">
        <v>18.600000000000001</v>
      </c>
      <c r="E3214" s="208"/>
      <c r="G3214" t="s">
        <v>9749</v>
      </c>
    </row>
    <row r="3215" spans="1:7">
      <c r="A3215" t="s">
        <v>11200</v>
      </c>
      <c r="B3215" t="s">
        <v>11201</v>
      </c>
      <c r="C3215" t="s">
        <v>9846</v>
      </c>
      <c r="D3215">
        <v>137</v>
      </c>
      <c r="E3215" s="208"/>
      <c r="G3215" t="s">
        <v>9749</v>
      </c>
    </row>
    <row r="3216" spans="1:7">
      <c r="A3216" t="s">
        <v>11202</v>
      </c>
      <c r="B3216" t="s">
        <v>11203</v>
      </c>
      <c r="C3216" t="s">
        <v>9849</v>
      </c>
      <c r="D3216">
        <v>475</v>
      </c>
      <c r="E3216" s="208"/>
      <c r="G3216" t="s">
        <v>9749</v>
      </c>
    </row>
    <row r="3217" spans="1:7">
      <c r="A3217" t="s">
        <v>11204</v>
      </c>
      <c r="B3217" t="s">
        <v>11205</v>
      </c>
      <c r="C3217" t="s">
        <v>10182</v>
      </c>
      <c r="D3217">
        <v>4750</v>
      </c>
      <c r="E3217" s="208"/>
      <c r="G3217" t="s">
        <v>9749</v>
      </c>
    </row>
    <row r="3218" spans="1:7">
      <c r="A3218" t="s">
        <v>11206</v>
      </c>
      <c r="B3218" t="s">
        <v>11207</v>
      </c>
      <c r="C3218" t="s">
        <v>6508</v>
      </c>
      <c r="D3218">
        <v>114</v>
      </c>
      <c r="E3218" s="208"/>
      <c r="G3218" t="s">
        <v>9749</v>
      </c>
    </row>
    <row r="3219" spans="1:7">
      <c r="A3219" t="s">
        <v>11208</v>
      </c>
      <c r="B3219" t="s">
        <v>11209</v>
      </c>
      <c r="C3219" t="s">
        <v>9849</v>
      </c>
      <c r="D3219">
        <v>381</v>
      </c>
      <c r="E3219" s="208"/>
      <c r="G3219" t="s">
        <v>9749</v>
      </c>
    </row>
    <row r="3220" spans="1:7">
      <c r="A3220" t="s">
        <v>11210</v>
      </c>
      <c r="B3220" t="s">
        <v>11211</v>
      </c>
      <c r="C3220" t="s">
        <v>9849</v>
      </c>
      <c r="D3220">
        <v>225</v>
      </c>
      <c r="E3220" s="208"/>
      <c r="G3220" t="s">
        <v>9749</v>
      </c>
    </row>
    <row r="3221" spans="1:7">
      <c r="A3221" t="s">
        <v>4511</v>
      </c>
      <c r="B3221" t="s">
        <v>4510</v>
      </c>
      <c r="C3221" t="s">
        <v>5445</v>
      </c>
      <c r="D3221">
        <v>74.400000000000006</v>
      </c>
      <c r="E3221" s="208"/>
    </row>
    <row r="3222" spans="1:7">
      <c r="A3222" t="s">
        <v>4718</v>
      </c>
      <c r="B3222" t="s">
        <v>4717</v>
      </c>
      <c r="C3222" t="s">
        <v>5445</v>
      </c>
      <c r="D3222">
        <v>302</v>
      </c>
      <c r="E3222" s="208"/>
      <c r="G3222" t="s">
        <v>218</v>
      </c>
    </row>
    <row r="3223" spans="1:7">
      <c r="A3223" t="s">
        <v>11212</v>
      </c>
      <c r="B3223" t="s">
        <v>11213</v>
      </c>
      <c r="C3223" t="s">
        <v>5445</v>
      </c>
      <c r="D3223">
        <v>536</v>
      </c>
      <c r="E3223" s="208"/>
      <c r="G3223" t="s">
        <v>218</v>
      </c>
    </row>
    <row r="3224" spans="1:7">
      <c r="A3224" t="s">
        <v>4699</v>
      </c>
      <c r="B3224" t="s">
        <v>11214</v>
      </c>
      <c r="C3224" t="s">
        <v>5445</v>
      </c>
      <c r="D3224">
        <v>701</v>
      </c>
      <c r="E3224" s="208"/>
      <c r="G3224" t="s">
        <v>218</v>
      </c>
    </row>
    <row r="3225" spans="1:7">
      <c r="A3225" t="s">
        <v>11215</v>
      </c>
      <c r="B3225" t="s">
        <v>11216</v>
      </c>
      <c r="C3225" t="s">
        <v>4967</v>
      </c>
      <c r="D3225">
        <v>334</v>
      </c>
      <c r="E3225" s="208"/>
      <c r="G3225" t="s">
        <v>218</v>
      </c>
    </row>
    <row r="3226" spans="1:7">
      <c r="A3226" t="s">
        <v>11217</v>
      </c>
      <c r="B3226" t="s">
        <v>11218</v>
      </c>
      <c r="C3226" t="s">
        <v>4967</v>
      </c>
      <c r="D3226">
        <v>542</v>
      </c>
      <c r="E3226" s="208"/>
      <c r="G3226" t="s">
        <v>218</v>
      </c>
    </row>
    <row r="3227" spans="1:7">
      <c r="A3227" t="s">
        <v>11219</v>
      </c>
      <c r="B3227" t="s">
        <v>11220</v>
      </c>
      <c r="C3227" t="s">
        <v>4967</v>
      </c>
      <c r="D3227">
        <v>248</v>
      </c>
      <c r="E3227" s="208"/>
      <c r="G3227" t="s">
        <v>218</v>
      </c>
    </row>
    <row r="3228" spans="1:7">
      <c r="A3228" t="s">
        <v>4691</v>
      </c>
      <c r="B3228" t="s">
        <v>4690</v>
      </c>
      <c r="C3228" t="s">
        <v>5445</v>
      </c>
      <c r="D3228">
        <v>544</v>
      </c>
      <c r="E3228" s="208"/>
      <c r="G3228" t="s">
        <v>218</v>
      </c>
    </row>
    <row r="3229" spans="1:7">
      <c r="A3229" t="s">
        <v>11221</v>
      </c>
      <c r="B3229" t="s">
        <v>11222</v>
      </c>
      <c r="C3229" t="s">
        <v>4845</v>
      </c>
      <c r="D3229">
        <v>288</v>
      </c>
      <c r="E3229" s="208"/>
      <c r="G3229" t="s">
        <v>218</v>
      </c>
    </row>
    <row r="3230" spans="1:7">
      <c r="A3230" t="s">
        <v>11223</v>
      </c>
      <c r="B3230" t="s">
        <v>11224</v>
      </c>
      <c r="C3230" t="s">
        <v>10707</v>
      </c>
      <c r="D3230">
        <v>508</v>
      </c>
      <c r="E3230" s="208"/>
      <c r="G3230" t="s">
        <v>218</v>
      </c>
    </row>
    <row r="3231" spans="1:7">
      <c r="A3231" t="s">
        <v>11225</v>
      </c>
      <c r="B3231" t="s">
        <v>11226</v>
      </c>
      <c r="C3231" t="s">
        <v>11227</v>
      </c>
      <c r="D3231">
        <v>790</v>
      </c>
      <c r="E3231" s="208"/>
      <c r="G3231" t="s">
        <v>218</v>
      </c>
    </row>
    <row r="3232" spans="1:7">
      <c r="A3232" t="s">
        <v>11228</v>
      </c>
      <c r="B3232" t="s">
        <v>11229</v>
      </c>
      <c r="C3232" t="s">
        <v>11227</v>
      </c>
      <c r="D3232">
        <v>569</v>
      </c>
      <c r="E3232" s="208"/>
      <c r="G3232" t="s">
        <v>218</v>
      </c>
    </row>
    <row r="3233" spans="1:7">
      <c r="A3233" t="s">
        <v>11230</v>
      </c>
      <c r="B3233" t="s">
        <v>11231</v>
      </c>
      <c r="C3233" t="s">
        <v>11227</v>
      </c>
      <c r="D3233">
        <v>704</v>
      </c>
      <c r="E3233" s="208"/>
      <c r="G3233" t="s">
        <v>218</v>
      </c>
    </row>
    <row r="3234" spans="1:7">
      <c r="A3234" t="s">
        <v>4662</v>
      </c>
      <c r="B3234" t="s">
        <v>4661</v>
      </c>
      <c r="C3234" t="s">
        <v>4967</v>
      </c>
      <c r="D3234">
        <v>490</v>
      </c>
      <c r="E3234" s="208"/>
      <c r="G3234" t="s">
        <v>218</v>
      </c>
    </row>
    <row r="3235" spans="1:7">
      <c r="A3235" t="s">
        <v>4684</v>
      </c>
      <c r="B3235" t="s">
        <v>4683</v>
      </c>
      <c r="C3235" t="s">
        <v>5445</v>
      </c>
      <c r="D3235">
        <v>599</v>
      </c>
      <c r="E3235" s="208"/>
      <c r="G3235" t="s">
        <v>218</v>
      </c>
    </row>
    <row r="3236" spans="1:7">
      <c r="A3236" t="s">
        <v>4716</v>
      </c>
      <c r="B3236" t="s">
        <v>11232</v>
      </c>
      <c r="C3236" t="s">
        <v>5445</v>
      </c>
      <c r="D3236">
        <v>538</v>
      </c>
      <c r="E3236" s="208"/>
      <c r="G3236" t="s">
        <v>218</v>
      </c>
    </row>
    <row r="3237" spans="1:7">
      <c r="A3237" t="s">
        <v>11233</v>
      </c>
      <c r="B3237" t="s">
        <v>11234</v>
      </c>
      <c r="C3237" t="s">
        <v>5445</v>
      </c>
      <c r="D3237">
        <v>105</v>
      </c>
      <c r="E3237" s="208"/>
      <c r="G3237" t="s">
        <v>218</v>
      </c>
    </row>
    <row r="3238" spans="1:7">
      <c r="A3238" t="s">
        <v>4538</v>
      </c>
      <c r="B3238" t="s">
        <v>4537</v>
      </c>
      <c r="C3238" t="s">
        <v>5445</v>
      </c>
      <c r="D3238">
        <v>628</v>
      </c>
      <c r="E3238" s="208"/>
      <c r="G3238" t="s">
        <v>218</v>
      </c>
    </row>
    <row r="3239" spans="1:7">
      <c r="A3239" t="s">
        <v>4713</v>
      </c>
      <c r="B3239" t="s">
        <v>11235</v>
      </c>
      <c r="C3239" t="s">
        <v>5445</v>
      </c>
      <c r="D3239">
        <v>349</v>
      </c>
      <c r="E3239" s="208"/>
      <c r="G3239" t="s">
        <v>218</v>
      </c>
    </row>
    <row r="3240" spans="1:7">
      <c r="A3240" t="s">
        <v>4579</v>
      </c>
      <c r="B3240" t="s">
        <v>11236</v>
      </c>
      <c r="C3240" t="s">
        <v>4967</v>
      </c>
      <c r="D3240">
        <v>282</v>
      </c>
      <c r="E3240" s="208"/>
      <c r="G3240" t="s">
        <v>218</v>
      </c>
    </row>
    <row r="3241" spans="1:7">
      <c r="A3241" t="s">
        <v>4598</v>
      </c>
      <c r="B3241" t="s">
        <v>11236</v>
      </c>
      <c r="C3241" t="s">
        <v>11237</v>
      </c>
      <c r="D3241">
        <v>1860</v>
      </c>
      <c r="E3241" s="208"/>
      <c r="G3241" t="s">
        <v>218</v>
      </c>
    </row>
  </sheetData>
  <phoneticPr fontId="2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4E5E0-7201-432E-B9C0-A637B543F377}">
  <sheetPr codeName="Sheet10"/>
  <dimension ref="A1:H43"/>
  <sheetViews>
    <sheetView topLeftCell="A25" zoomScale="124" workbookViewId="0">
      <selection activeCell="H5" sqref="H5"/>
    </sheetView>
  </sheetViews>
  <sheetFormatPr defaultRowHeight="13.5"/>
  <cols>
    <col min="1" max="1" width="5.75" customWidth="1"/>
    <col min="2" max="2" width="19.625" customWidth="1"/>
    <col min="3" max="3" width="14" customWidth="1"/>
    <col min="4" max="4" width="12" customWidth="1"/>
  </cols>
  <sheetData>
    <row r="1" spans="1:8" ht="14.25">
      <c r="A1" s="318" t="s">
        <v>11238</v>
      </c>
      <c r="B1" s="318"/>
      <c r="C1" s="318"/>
      <c r="D1" s="318"/>
      <c r="E1" s="318" t="s">
        <v>11239</v>
      </c>
      <c r="F1" s="319"/>
      <c r="G1" s="319"/>
      <c r="H1" s="319"/>
    </row>
    <row r="2" spans="1:8" ht="14.25">
      <c r="A2" s="358" t="s">
        <v>11240</v>
      </c>
      <c r="B2" s="358" t="s">
        <v>11241</v>
      </c>
      <c r="C2" s="358" t="s">
        <v>11242</v>
      </c>
      <c r="D2" s="358" t="s">
        <v>11243</v>
      </c>
      <c r="E2" s="320"/>
      <c r="F2" s="216"/>
      <c r="G2" s="216"/>
      <c r="H2" s="216"/>
    </row>
    <row r="3" spans="1:8" ht="14.25">
      <c r="A3" s="337">
        <v>2</v>
      </c>
      <c r="B3" s="336">
        <f>81496.26+21559.72</f>
        <v>103055.98</v>
      </c>
      <c r="C3" s="337">
        <v>1766.37</v>
      </c>
      <c r="D3" s="336">
        <v>40</v>
      </c>
      <c r="E3" s="327"/>
      <c r="F3" s="216"/>
      <c r="G3" s="216"/>
      <c r="H3" s="216"/>
    </row>
    <row r="4" spans="1:8" ht="14.25">
      <c r="A4" s="337">
        <v>144</v>
      </c>
      <c r="B4" s="336">
        <f>53467.37+10664.5</f>
        <v>64131.87</v>
      </c>
      <c r="C4" s="337">
        <v>1392.88</v>
      </c>
      <c r="D4" s="336">
        <v>33</v>
      </c>
      <c r="E4" s="327"/>
      <c r="F4" s="216"/>
      <c r="G4" s="216"/>
      <c r="H4" s="216"/>
    </row>
    <row r="5" spans="1:8" ht="14.25">
      <c r="A5" s="337">
        <v>188</v>
      </c>
      <c r="B5" s="336">
        <f>93855.82+16345.57</f>
        <v>110201.39000000001</v>
      </c>
      <c r="C5" s="337">
        <v>1998.04</v>
      </c>
      <c r="D5" s="336">
        <v>41</v>
      </c>
      <c r="E5" s="327"/>
      <c r="F5" s="216"/>
      <c r="G5" s="216"/>
      <c r="H5" s="216"/>
    </row>
    <row r="6" spans="1:8" ht="14.25">
      <c r="A6" s="337">
        <v>204</v>
      </c>
      <c r="B6" s="336">
        <f>105329.58+15515.72</f>
        <v>120845.3</v>
      </c>
      <c r="C6" s="337">
        <v>1343.97</v>
      </c>
      <c r="D6" s="336">
        <v>47</v>
      </c>
      <c r="E6" s="327"/>
      <c r="F6" s="216"/>
      <c r="G6" s="216"/>
      <c r="H6" s="216"/>
    </row>
    <row r="7" spans="1:8" ht="14.25">
      <c r="A7" s="337">
        <v>273</v>
      </c>
      <c r="B7" s="336">
        <f>48351.83+9748.56</f>
        <v>58100.39</v>
      </c>
      <c r="C7" s="337">
        <v>1552.55</v>
      </c>
      <c r="D7" s="336">
        <v>27.5</v>
      </c>
      <c r="E7" s="327"/>
      <c r="F7" s="216"/>
      <c r="G7" s="216"/>
      <c r="H7" s="216"/>
    </row>
    <row r="8" spans="1:8" ht="14.25">
      <c r="A8" s="337">
        <v>273</v>
      </c>
      <c r="B8" s="336">
        <f>48351.83+9748.56</f>
        <v>58100.39</v>
      </c>
      <c r="C8" s="337">
        <v>1552.55</v>
      </c>
      <c r="D8" s="336">
        <v>27.5</v>
      </c>
      <c r="E8" s="327"/>
      <c r="F8" s="216"/>
      <c r="G8" s="216"/>
      <c r="H8" s="216"/>
    </row>
    <row r="9" spans="1:8" ht="14.25">
      <c r="A9" s="337"/>
      <c r="B9" s="336">
        <f>SUM(B3:B8)</f>
        <v>514435.32</v>
      </c>
      <c r="C9" s="337">
        <f>SUM(C3:C8)</f>
        <v>9606.36</v>
      </c>
      <c r="D9" s="336">
        <f>AVERAGE(D3:D8)</f>
        <v>36</v>
      </c>
      <c r="E9" s="216" t="s">
        <v>4379</v>
      </c>
      <c r="F9" s="216"/>
      <c r="G9" s="216"/>
      <c r="H9" s="216"/>
    </row>
    <row r="10" spans="1:8" ht="21">
      <c r="A10" s="327"/>
      <c r="B10" s="327"/>
      <c r="C10" s="327"/>
      <c r="D10" s="327"/>
      <c r="E10" s="359">
        <f>B9/C9</f>
        <v>53.551534608321987</v>
      </c>
      <c r="F10" s="216"/>
      <c r="G10" s="216"/>
      <c r="H10" s="216"/>
    </row>
    <row r="12" spans="1:8" ht="14.25">
      <c r="A12" s="318" t="s">
        <v>11238</v>
      </c>
      <c r="B12" s="318"/>
      <c r="C12" s="318"/>
      <c r="D12" s="318"/>
      <c r="E12" s="318" t="s">
        <v>11244</v>
      </c>
      <c r="F12" s="319"/>
      <c r="G12" s="319"/>
    </row>
    <row r="13" spans="1:8" ht="14.25">
      <c r="A13" s="358" t="s">
        <v>11240</v>
      </c>
      <c r="B13" s="600" t="s">
        <v>11245</v>
      </c>
      <c r="C13" s="358" t="s">
        <v>11242</v>
      </c>
      <c r="D13" s="358" t="s">
        <v>11243</v>
      </c>
      <c r="E13" s="320"/>
      <c r="F13" s="216"/>
    </row>
    <row r="14" spans="1:8" ht="14.25">
      <c r="A14" s="337">
        <v>2</v>
      </c>
      <c r="B14" s="336">
        <v>96093.3</v>
      </c>
      <c r="C14" s="337">
        <v>1661.75</v>
      </c>
      <c r="D14" s="336">
        <v>40</v>
      </c>
      <c r="E14" s="327"/>
      <c r="F14" s="216"/>
    </row>
    <row r="15" spans="1:8" ht="14.25">
      <c r="A15" s="337">
        <v>144</v>
      </c>
      <c r="B15" s="336">
        <v>62975.03</v>
      </c>
      <c r="C15" s="337">
        <v>1293.78</v>
      </c>
      <c r="D15" s="336">
        <v>33</v>
      </c>
      <c r="E15" s="327"/>
      <c r="F15" s="216"/>
    </row>
    <row r="16" spans="1:8" ht="14.25">
      <c r="A16" s="337">
        <v>188</v>
      </c>
      <c r="B16" s="336">
        <v>107260.81</v>
      </c>
      <c r="C16" s="337">
        <v>1827.87</v>
      </c>
      <c r="D16" s="336">
        <v>41</v>
      </c>
      <c r="E16" s="327"/>
      <c r="F16" s="216"/>
    </row>
    <row r="17" spans="1:7" ht="14.25">
      <c r="A17" s="337">
        <v>204</v>
      </c>
      <c r="B17" s="336">
        <v>122154.24000000001</v>
      </c>
      <c r="C17" s="337">
        <v>1889.3</v>
      </c>
      <c r="D17" s="336">
        <v>47</v>
      </c>
      <c r="E17" s="327"/>
      <c r="F17" s="216"/>
    </row>
    <row r="18" spans="1:7" ht="14.25">
      <c r="A18" s="337">
        <v>305</v>
      </c>
      <c r="B18" s="336">
        <v>54487.33</v>
      </c>
      <c r="C18" s="337">
        <v>1659.33</v>
      </c>
      <c r="D18" s="336">
        <v>30</v>
      </c>
      <c r="E18" s="327"/>
      <c r="F18" s="216"/>
    </row>
    <row r="19" spans="1:7" ht="14.25">
      <c r="A19" s="337">
        <v>305</v>
      </c>
      <c r="B19" s="336">
        <v>54487.33</v>
      </c>
      <c r="C19" s="337">
        <v>1659.33</v>
      </c>
      <c r="D19" s="336">
        <v>30</v>
      </c>
      <c r="E19" s="327"/>
      <c r="F19" s="216"/>
    </row>
    <row r="20" spans="1:7" ht="14.25">
      <c r="A20" s="337"/>
      <c r="B20" s="336">
        <f>SUM(B14:B19)</f>
        <v>497458.04000000004</v>
      </c>
      <c r="C20" s="337">
        <f>SUM(C14:C19)</f>
        <v>9991.3599999999988</v>
      </c>
      <c r="D20" s="336">
        <f>AVERAGE(D14:D19)</f>
        <v>36.833333333333336</v>
      </c>
      <c r="E20" s="216" t="s">
        <v>4379</v>
      </c>
      <c r="F20" s="216"/>
    </row>
    <row r="21" spans="1:7" ht="21">
      <c r="A21" s="327"/>
      <c r="B21" s="327"/>
      <c r="C21" s="327"/>
      <c r="D21" s="327"/>
      <c r="E21" s="359">
        <f>B20/C20</f>
        <v>49.788821541812133</v>
      </c>
      <c r="F21" s="216"/>
      <c r="G21" s="216"/>
    </row>
    <row r="23" spans="1:7" ht="14.25">
      <c r="A23" s="318" t="s">
        <v>11238</v>
      </c>
      <c r="B23" s="318"/>
      <c r="C23" s="318"/>
      <c r="D23" s="318"/>
      <c r="E23" s="318" t="s">
        <v>11246</v>
      </c>
      <c r="F23" s="319"/>
      <c r="G23" s="319"/>
    </row>
    <row r="24" spans="1:7" ht="14.25">
      <c r="A24" s="358" t="s">
        <v>11240</v>
      </c>
      <c r="B24" s="600" t="s">
        <v>11245</v>
      </c>
      <c r="C24" s="358" t="s">
        <v>11242</v>
      </c>
      <c r="D24" s="358" t="s">
        <v>11247</v>
      </c>
      <c r="E24" s="320"/>
      <c r="F24" s="216"/>
      <c r="G24" s="216"/>
    </row>
    <row r="25" spans="1:7" ht="14.25">
      <c r="A25" s="337">
        <v>2</v>
      </c>
      <c r="B25" s="336">
        <f>78177.7+19431.68</f>
        <v>97609.38</v>
      </c>
      <c r="C25" s="594">
        <v>1702.54</v>
      </c>
      <c r="D25" s="336">
        <v>57.33</v>
      </c>
      <c r="E25" s="327" t="s">
        <v>11248</v>
      </c>
      <c r="F25" s="587"/>
      <c r="G25" s="216"/>
    </row>
    <row r="26" spans="1:7" ht="14.25">
      <c r="A26" s="337">
        <v>144</v>
      </c>
      <c r="B26" s="336">
        <f>42021.56+9905.3</f>
        <v>51926.86</v>
      </c>
      <c r="C26" s="594">
        <v>1149.8800000000001</v>
      </c>
      <c r="D26" s="336">
        <v>45.16</v>
      </c>
      <c r="E26" s="327" t="s">
        <v>11249</v>
      </c>
      <c r="F26" s="587"/>
      <c r="G26" s="216"/>
    </row>
    <row r="27" spans="1:7" ht="14.25">
      <c r="A27" s="337">
        <v>188</v>
      </c>
      <c r="B27" s="336">
        <f>90270.01+18161.56</f>
        <v>108431.56999999999</v>
      </c>
      <c r="C27" s="594">
        <v>1911.49</v>
      </c>
      <c r="D27" s="336">
        <v>56.73</v>
      </c>
      <c r="E27" s="327" t="s">
        <v>11248</v>
      </c>
      <c r="F27" s="587"/>
      <c r="G27" s="216"/>
    </row>
    <row r="28" spans="1:7" ht="14.25">
      <c r="A28" s="337">
        <v>204</v>
      </c>
      <c r="B28" s="336">
        <f>104577.73+19702.06</f>
        <v>124279.79</v>
      </c>
      <c r="C28" s="594">
        <v>1983.05</v>
      </c>
      <c r="D28" s="336">
        <v>62.67</v>
      </c>
      <c r="E28" s="327" t="s">
        <v>11250</v>
      </c>
      <c r="F28" s="587"/>
      <c r="G28" s="216"/>
    </row>
    <row r="29" spans="1:7" ht="14.25">
      <c r="A29" s="337">
        <v>313</v>
      </c>
      <c r="B29" s="336">
        <f>46810.45+10118.79</f>
        <v>56929.24</v>
      </c>
      <c r="C29" s="594">
        <v>1733.07</v>
      </c>
      <c r="D29" s="336">
        <v>32.85</v>
      </c>
      <c r="E29" s="327" t="s">
        <v>11249</v>
      </c>
      <c r="F29" s="587"/>
      <c r="G29" s="216"/>
    </row>
    <row r="30" spans="1:7" ht="14.65" thickBot="1">
      <c r="A30" s="592">
        <v>313</v>
      </c>
      <c r="B30" s="591">
        <f>46810.45+10118.79</f>
        <v>56929.24</v>
      </c>
      <c r="C30" s="595">
        <v>1733.07</v>
      </c>
      <c r="D30" s="591">
        <v>32.85</v>
      </c>
      <c r="E30" s="327" t="s">
        <v>11249</v>
      </c>
      <c r="F30" s="587"/>
      <c r="G30" s="216"/>
    </row>
    <row r="31" spans="1:7" ht="14.65" thickTop="1">
      <c r="A31" s="590"/>
      <c r="B31" s="589">
        <f>SUM(B25:B30)</f>
        <v>496106.07999999996</v>
      </c>
      <c r="C31" s="593">
        <f>SUM(C25:C30)</f>
        <v>10213.1</v>
      </c>
      <c r="D31" s="589"/>
      <c r="F31" s="216"/>
      <c r="G31" s="216"/>
    </row>
    <row r="32" spans="1:7" ht="21">
      <c r="A32" s="588"/>
      <c r="B32" s="327"/>
      <c r="C32" s="327"/>
      <c r="E32" s="359">
        <f>(B31/C31)</f>
        <v>48.575464844170718</v>
      </c>
      <c r="F32" s="216" t="s">
        <v>11247</v>
      </c>
      <c r="G32" s="216"/>
    </row>
    <row r="34" spans="1:7" ht="14.25">
      <c r="A34" s="318" t="s">
        <v>11238</v>
      </c>
      <c r="B34" s="318"/>
      <c r="C34" s="318"/>
      <c r="D34" s="318"/>
      <c r="E34" s="318" t="s">
        <v>11251</v>
      </c>
      <c r="F34" s="319"/>
      <c r="G34" s="319"/>
    </row>
    <row r="35" spans="1:7" ht="14.25">
      <c r="A35" s="358" t="s">
        <v>11240</v>
      </c>
      <c r="B35" s="600" t="s">
        <v>11252</v>
      </c>
      <c r="C35" s="358" t="s">
        <v>11242</v>
      </c>
      <c r="D35" s="358" t="s">
        <v>11247</v>
      </c>
      <c r="E35" s="320"/>
      <c r="F35" s="216"/>
      <c r="G35" s="216"/>
    </row>
    <row r="36" spans="1:7" ht="14.25">
      <c r="A36">
        <v>2</v>
      </c>
      <c r="B36" s="709">
        <v>115458.68</v>
      </c>
      <c r="C36" s="710">
        <v>1818.64</v>
      </c>
      <c r="D36" s="709">
        <f t="shared" ref="D36:D41" si="0">B36/C36</f>
        <v>63.48627545858443</v>
      </c>
      <c r="E36" t="s">
        <v>11248</v>
      </c>
      <c r="F36" s="587"/>
      <c r="G36" s="216"/>
    </row>
    <row r="37" spans="1:7" ht="14.25">
      <c r="A37">
        <v>188</v>
      </c>
      <c r="B37" s="709">
        <v>109337.25</v>
      </c>
      <c r="C37" s="710">
        <v>1977.12</v>
      </c>
      <c r="D37" s="709">
        <f t="shared" si="0"/>
        <v>55.301271546491868</v>
      </c>
      <c r="E37" t="s">
        <v>11248</v>
      </c>
      <c r="F37" s="587"/>
      <c r="G37" s="216"/>
    </row>
    <row r="38" spans="1:7" ht="14.25">
      <c r="A38">
        <v>314</v>
      </c>
      <c r="B38" s="709">
        <v>59720.53</v>
      </c>
      <c r="C38" s="710">
        <v>1786.34</v>
      </c>
      <c r="D38" s="709">
        <f t="shared" si="0"/>
        <v>33.431782303480858</v>
      </c>
      <c r="E38" t="s">
        <v>11249</v>
      </c>
      <c r="F38" s="587"/>
      <c r="G38" s="216"/>
    </row>
    <row r="39" spans="1:7" ht="14.25">
      <c r="A39">
        <v>348</v>
      </c>
      <c r="B39" s="709">
        <v>83383.320000000007</v>
      </c>
      <c r="C39" s="710">
        <v>2161.9899999999998</v>
      </c>
      <c r="D39" s="709">
        <f t="shared" si="0"/>
        <v>38.567856465571076</v>
      </c>
      <c r="E39" t="s">
        <v>11249</v>
      </c>
      <c r="F39" s="587"/>
      <c r="G39" s="216"/>
    </row>
    <row r="40" spans="1:7" ht="14.25">
      <c r="A40">
        <v>347</v>
      </c>
      <c r="B40" s="709">
        <v>71256.929999999993</v>
      </c>
      <c r="C40" s="710">
        <v>1918.28</v>
      </c>
      <c r="D40" s="709">
        <f t="shared" si="0"/>
        <v>37.146261234022141</v>
      </c>
      <c r="E40" t="s">
        <v>11249</v>
      </c>
      <c r="F40" s="587"/>
      <c r="G40" s="216"/>
    </row>
    <row r="41" spans="1:7" ht="14.25">
      <c r="A41">
        <v>204</v>
      </c>
      <c r="B41" s="709">
        <v>121692.25</v>
      </c>
      <c r="C41" s="710">
        <v>1907.97</v>
      </c>
      <c r="D41" s="709">
        <f t="shared" si="0"/>
        <v>63.781008087129251</v>
      </c>
      <c r="E41" t="s">
        <v>11250</v>
      </c>
      <c r="F41" s="587"/>
      <c r="G41" s="216"/>
    </row>
    <row r="42" spans="1:7" ht="14.25">
      <c r="A42" s="590"/>
      <c r="B42" s="589">
        <f>SUM(B36:B41)</f>
        <v>560848.96</v>
      </c>
      <c r="C42" s="593">
        <f>SUM(C36:C41)</f>
        <v>11570.34</v>
      </c>
      <c r="D42" s="589"/>
      <c r="F42" s="216"/>
      <c r="G42" s="216"/>
    </row>
    <row r="43" spans="1:7" ht="21">
      <c r="A43" s="588"/>
      <c r="B43" s="327"/>
      <c r="C43" s="327"/>
      <c r="E43" s="359">
        <f>(B42/C42)</f>
        <v>48.472988693504249</v>
      </c>
      <c r="F43" s="216" t="s">
        <v>11247</v>
      </c>
      <c r="G43" s="21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d3c71a9-9bf5-4117-aac6-5189802fd592" xsi:nil="true"/>
    <lcf76f155ced4ddcb4097134ff3c332f xmlns="548a479d-5bd2-423a-814f-39edf0d6bc0b">
      <Terms xmlns="http://schemas.microsoft.com/office/infopath/2007/PartnerControls"/>
    </lcf76f155ced4ddcb4097134ff3c332f>
    <MediaLengthInSeconds xmlns="548a479d-5bd2-423a-814f-39edf0d6bc0b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21185657E504468124CE5E5E0A76E1" ma:contentTypeVersion="16" ma:contentTypeDescription="Create a new document." ma:contentTypeScope="" ma:versionID="f05f6a9fe8ab7aad5fb99dd7116225ed">
  <xsd:schema xmlns:xsd="http://www.w3.org/2001/XMLSchema" xmlns:xs="http://www.w3.org/2001/XMLSchema" xmlns:p="http://schemas.microsoft.com/office/2006/metadata/properties" xmlns:ns2="548a479d-5bd2-423a-814f-39edf0d6bc0b" xmlns:ns3="bd3c71a9-9bf5-4117-aac6-5189802fd592" targetNamespace="http://schemas.microsoft.com/office/2006/metadata/properties" ma:root="true" ma:fieldsID="ed22b2990dac772a78402c2572851b84" ns2:_="" ns3:_="">
    <xsd:import namespace="548a479d-5bd2-423a-814f-39edf0d6bc0b"/>
    <xsd:import namespace="bd3c71a9-9bf5-4117-aac6-5189802fd59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8a479d-5bd2-423a-814f-39edf0d6bc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41d90bef-81bf-4115-bfb7-3270b8e7e12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3c71a9-9bf5-4117-aac6-5189802fd59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e797fa10-74d6-4a31-83d2-e08ca8c18e2e}" ma:internalName="TaxCatchAll" ma:showField="CatchAllData" ma:web="bd3c71a9-9bf5-4117-aac6-5189802fd59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6719CC-F664-4378-943A-FD7E59921597}"/>
</file>

<file path=customXml/itemProps2.xml><?xml version="1.0" encoding="utf-8"?>
<ds:datastoreItem xmlns:ds="http://schemas.openxmlformats.org/officeDocument/2006/customXml" ds:itemID="{06A91525-5AE6-4DDF-B0DD-7BEAA200C955}"/>
</file>

<file path=customXml/itemProps3.xml><?xml version="1.0" encoding="utf-8"?>
<ds:datastoreItem xmlns:ds="http://schemas.openxmlformats.org/officeDocument/2006/customXml" ds:itemID="{7250EAF6-A06E-4FC7-815D-504BCF683767}"/>
</file>

<file path=customXml/itemProps4.xml><?xml version="1.0" encoding="utf-8"?>
<ds:datastoreItem xmlns:ds="http://schemas.openxmlformats.org/officeDocument/2006/customXml" ds:itemID="{CD2B09B1-E433-4DC9-AA88-DA747358524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231178__333 5TH AVE RJC.xlsm</dc:title>
  <dc:subject/>
  <dc:creator>Ryan Cornforth</dc:creator>
  <cp:keywords/>
  <dc:description/>
  <cp:lastModifiedBy>LWR Temp</cp:lastModifiedBy>
  <cp:revision>66</cp:revision>
  <dcterms:created xsi:type="dcterms:W3CDTF">2012-03-31T12:03:12Z</dcterms:created>
  <dcterms:modified xsi:type="dcterms:W3CDTF">2026-03-03T17:58:22Z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0x0101007521185657E504468124CE5E5E0A76E1</vt:lpwstr>
  </property>
  <property fmtid="{D5CDD505-2E9C-101B-9397-08002B2CF9AE}" pid="3" name="Order">
    <vt:r8>16366000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MediaServiceImageTags">
    <vt:lpwstr/>
  </property>
</Properties>
</file>